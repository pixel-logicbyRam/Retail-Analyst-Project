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cha\Downloads\"/>
    </mc:Choice>
  </mc:AlternateContent>
  <xr:revisionPtr revIDLastSave="0" documentId="13_ncr:1_{14424346-EAA1-4A81-89D3-EE5EB8E5A745}" xr6:coauthVersionLast="47" xr6:coauthVersionMax="47" xr10:uidLastSave="{00000000-0000-0000-0000-000000000000}"/>
  <bookViews>
    <workbookView xWindow="-90" yWindow="0" windowWidth="9780" windowHeight="10170" firstSheet="5" activeTab="6" xr2:uid="{00000000-000D-0000-FFFF-FFFF00000000}"/>
  </bookViews>
  <sheets>
    <sheet name="raw_sales" sheetId="1" r:id="rId1"/>
    <sheet name="clean_sales" sheetId="4" r:id="rId2"/>
    <sheet name="Dim_Customer" sheetId="3" r:id="rId3"/>
    <sheet name="Dim_Product" sheetId="5" r:id="rId4"/>
    <sheet name="Dim_Date" sheetId="6" r:id="rId5"/>
    <sheet name="Fact_Sales" sheetId="7" r:id="rId6"/>
    <sheet name="RFM_Analysi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2" i="8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A3" i="7" a="1"/>
  <c r="A3" i="7" s="1"/>
  <c r="A2" i="7"/>
  <c r="F2" i="7"/>
  <c r="E2" i="7"/>
  <c r="D2" i="7"/>
  <c r="C2" i="7"/>
  <c r="B2" i="7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2" i="6"/>
  <c r="A2" i="6"/>
  <c r="A3" i="5"/>
  <c r="A4" i="5"/>
  <c r="A5" i="5"/>
  <c r="A6" i="5"/>
  <c r="A7" i="5"/>
  <c r="A8" i="5"/>
  <c r="A2" i="5"/>
  <c r="E3" i="5"/>
  <c r="E4" i="5"/>
  <c r="E5" i="5"/>
  <c r="E6" i="5"/>
  <c r="E7" i="5"/>
  <c r="E8" i="5"/>
  <c r="E2" i="5"/>
  <c r="C3" i="5"/>
  <c r="C4" i="5"/>
  <c r="C5" i="5"/>
  <c r="C6" i="5"/>
  <c r="C7" i="5"/>
  <c r="C8" i="5"/>
  <c r="C2" i="5"/>
  <c r="D3" i="5"/>
  <c r="D4" i="5"/>
  <c r="D5" i="5"/>
  <c r="D6" i="5"/>
  <c r="D7" i="5"/>
  <c r="D8" i="5"/>
  <c r="D2" i="5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2" i="3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T1071" i="4"/>
  <c r="T1072" i="4"/>
  <c r="T1073" i="4"/>
  <c r="T1074" i="4"/>
  <c r="T1075" i="4"/>
  <c r="T1076" i="4"/>
  <c r="T1077" i="4"/>
  <c r="T1078" i="4"/>
  <c r="T1079" i="4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T1112" i="4"/>
  <c r="T1113" i="4"/>
  <c r="T1114" i="4"/>
  <c r="T1115" i="4"/>
  <c r="T1116" i="4"/>
  <c r="T1117" i="4"/>
  <c r="T1118" i="4"/>
  <c r="T1119" i="4"/>
  <c r="T1120" i="4"/>
  <c r="T1121" i="4"/>
  <c r="T1122" i="4"/>
  <c r="T1123" i="4"/>
  <c r="T1124" i="4"/>
  <c r="T1125" i="4"/>
  <c r="T1126" i="4"/>
  <c r="T1127" i="4"/>
  <c r="T1128" i="4"/>
  <c r="T1129" i="4"/>
  <c r="T1130" i="4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T1143" i="4"/>
  <c r="T1144" i="4"/>
  <c r="T1145" i="4"/>
  <c r="T1146" i="4"/>
  <c r="T1147" i="4"/>
  <c r="T1148" i="4"/>
  <c r="T1149" i="4"/>
  <c r="T1150" i="4"/>
  <c r="T1151" i="4"/>
  <c r="T1152" i="4"/>
  <c r="T1153" i="4"/>
  <c r="T1154" i="4"/>
  <c r="T1155" i="4"/>
  <c r="T1156" i="4"/>
  <c r="T1157" i="4"/>
  <c r="T1158" i="4"/>
  <c r="T1159" i="4"/>
  <c r="T1160" i="4"/>
  <c r="T1161" i="4"/>
  <c r="T1162" i="4"/>
  <c r="T1163" i="4"/>
  <c r="T1164" i="4"/>
  <c r="T1165" i="4"/>
  <c r="T1166" i="4"/>
  <c r="T1167" i="4"/>
  <c r="T1168" i="4"/>
  <c r="T1169" i="4"/>
  <c r="T1170" i="4"/>
  <c r="T1171" i="4"/>
  <c r="T1172" i="4"/>
  <c r="T1173" i="4"/>
  <c r="T1174" i="4"/>
  <c r="T1175" i="4"/>
  <c r="T1176" i="4"/>
  <c r="T1177" i="4"/>
  <c r="T1178" i="4"/>
  <c r="T1179" i="4"/>
  <c r="T1180" i="4"/>
  <c r="T1181" i="4"/>
  <c r="T1182" i="4"/>
  <c r="T1183" i="4"/>
  <c r="T1184" i="4"/>
  <c r="T1185" i="4"/>
  <c r="T1186" i="4"/>
  <c r="T1187" i="4"/>
  <c r="T1188" i="4"/>
  <c r="T1189" i="4"/>
  <c r="T1190" i="4"/>
  <c r="T1191" i="4"/>
  <c r="T1192" i="4"/>
  <c r="T1193" i="4"/>
  <c r="T1194" i="4"/>
  <c r="T1195" i="4"/>
  <c r="T1196" i="4"/>
  <c r="T1197" i="4"/>
  <c r="T1198" i="4"/>
  <c r="T1199" i="4"/>
  <c r="T1200" i="4"/>
  <c r="T1201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2" i="4"/>
  <c r="F661" i="8" l="1"/>
  <c r="I661" i="8" s="1"/>
  <c r="J661" i="8" s="1"/>
  <c r="F660" i="8"/>
  <c r="I660" i="8" s="1"/>
  <c r="J660" i="8" s="1"/>
  <c r="F50" i="8"/>
  <c r="I50" i="8" s="1"/>
  <c r="J50" i="8" s="1"/>
  <c r="F577" i="8"/>
  <c r="I577" i="8" s="1"/>
  <c r="J577" i="8" s="1"/>
  <c r="F229" i="8"/>
  <c r="I229" i="8" s="1"/>
  <c r="J229" i="8" s="1"/>
  <c r="F444" i="8"/>
  <c r="I444" i="8" s="1"/>
  <c r="J444" i="8" s="1"/>
  <c r="F576" i="8"/>
  <c r="I576" i="8" s="1"/>
  <c r="J576" i="8" s="1"/>
  <c r="F228" i="8"/>
  <c r="I228" i="8" s="1"/>
  <c r="J228" i="8" s="1"/>
  <c r="F275" i="8"/>
  <c r="I275" i="8" s="1"/>
  <c r="J275" i="8" s="1"/>
  <c r="F227" i="8"/>
  <c r="I227" i="8" s="1"/>
  <c r="J227" i="8" s="1"/>
  <c r="F573" i="8"/>
  <c r="I573" i="8" s="1"/>
  <c r="J573" i="8" s="1"/>
  <c r="F620" i="8"/>
  <c r="I620" i="8" s="1"/>
  <c r="J620" i="8" s="1"/>
  <c r="F404" i="8"/>
  <c r="I404" i="8" s="1"/>
  <c r="J404" i="8" s="1"/>
  <c r="F56" i="8"/>
  <c r="I56" i="8" s="1"/>
  <c r="J56" i="8" s="1"/>
  <c r="F405" i="8"/>
  <c r="I405" i="8" s="1"/>
  <c r="J405" i="8" s="1"/>
  <c r="F57" i="8"/>
  <c r="I57" i="8" s="1"/>
  <c r="J57" i="8" s="1"/>
  <c r="F619" i="8"/>
  <c r="I619" i="8" s="1"/>
  <c r="J619" i="8" s="1"/>
  <c r="F535" i="8"/>
  <c r="I535" i="8" s="1"/>
  <c r="J535" i="8" s="1"/>
  <c r="F403" i="8"/>
  <c r="I403" i="8" s="1"/>
  <c r="J403" i="8" s="1"/>
  <c r="F103" i="8"/>
  <c r="I103" i="8" s="1"/>
  <c r="J103" i="8" s="1"/>
  <c r="F98" i="8"/>
  <c r="I98" i="8" s="1"/>
  <c r="J98" i="8" s="1"/>
  <c r="F445" i="8"/>
  <c r="I445" i="8" s="1"/>
  <c r="J445" i="8" s="1"/>
  <c r="F443" i="8"/>
  <c r="I443" i="8" s="1"/>
  <c r="J443" i="8" s="1"/>
  <c r="F274" i="8"/>
  <c r="I274" i="8" s="1"/>
  <c r="J274" i="8" s="1"/>
  <c r="F621" i="8"/>
  <c r="I621" i="8" s="1"/>
  <c r="J621" i="8" s="1"/>
  <c r="F678" i="8"/>
  <c r="I678" i="8" s="1"/>
  <c r="J678" i="8" s="1"/>
  <c r="F529" i="8"/>
  <c r="I529" i="8" s="1"/>
  <c r="J529" i="8" s="1"/>
  <c r="F96" i="8"/>
  <c r="I96" i="8" s="1"/>
  <c r="J96" i="8" s="1"/>
  <c r="F360" i="8"/>
  <c r="I360" i="8" s="1"/>
  <c r="J360" i="8" s="1"/>
  <c r="F357" i="8"/>
  <c r="I357" i="8" s="1"/>
  <c r="J357" i="8" s="1"/>
  <c r="F491" i="8"/>
  <c r="I491" i="8" s="1"/>
  <c r="J491" i="8" s="1"/>
  <c r="F74" i="8"/>
  <c r="I74" i="8" s="1"/>
  <c r="J74" i="8" s="1"/>
  <c r="F144" i="8"/>
  <c r="I144" i="8" s="1"/>
  <c r="J144" i="8" s="1"/>
  <c r="F659" i="8"/>
  <c r="I659" i="8" s="1"/>
  <c r="J659" i="8" s="1"/>
  <c r="F489" i="8"/>
  <c r="I489" i="8" s="1"/>
  <c r="J489" i="8" s="1"/>
  <c r="F141" i="8"/>
  <c r="I141" i="8" s="1"/>
  <c r="J141" i="8" s="1"/>
  <c r="F273" i="8"/>
  <c r="I273" i="8" s="1"/>
  <c r="J273" i="8" s="1"/>
  <c r="F97" i="8"/>
  <c r="I97" i="8" s="1"/>
  <c r="J97" i="8" s="1"/>
  <c r="F658" i="8"/>
  <c r="I658" i="8" s="1"/>
  <c r="J658" i="8" s="1"/>
  <c r="F188" i="8"/>
  <c r="I188" i="8" s="1"/>
  <c r="J188" i="8" s="1"/>
  <c r="F187" i="8"/>
  <c r="I187" i="8" s="1"/>
  <c r="J187" i="8" s="1"/>
  <c r="F319" i="8"/>
  <c r="I319" i="8" s="1"/>
  <c r="J319" i="8" s="1"/>
  <c r="F490" i="8"/>
  <c r="I490" i="8" s="1"/>
  <c r="J490" i="8" s="1"/>
  <c r="F314" i="8"/>
  <c r="I314" i="8" s="1"/>
  <c r="J314" i="8" s="1"/>
  <c r="F313" i="8"/>
  <c r="I313" i="8" s="1"/>
  <c r="J313" i="8" s="1"/>
  <c r="F690" i="8"/>
  <c r="I690" i="8" s="1"/>
  <c r="J690" i="8" s="1"/>
  <c r="F530" i="8"/>
  <c r="I530" i="8" s="1"/>
  <c r="J530" i="8" s="1"/>
  <c r="F145" i="8"/>
  <c r="I145" i="8" s="1"/>
  <c r="J145" i="8" s="1"/>
  <c r="F361" i="8"/>
  <c r="I361" i="8" s="1"/>
  <c r="J361" i="8" s="1"/>
  <c r="F189" i="8"/>
  <c r="I189" i="8" s="1"/>
  <c r="J189" i="8" s="1"/>
  <c r="F654" i="8"/>
  <c r="I654" i="8" s="1"/>
  <c r="J654" i="8" s="1"/>
  <c r="F618" i="8"/>
  <c r="I618" i="8" s="1"/>
  <c r="J618" i="8" s="1"/>
  <c r="F594" i="8"/>
  <c r="I594" i="8" s="1"/>
  <c r="J594" i="8" s="1"/>
  <c r="F488" i="8"/>
  <c r="I488" i="8" s="1"/>
  <c r="J488" i="8" s="1"/>
  <c r="F398" i="8"/>
  <c r="I398" i="8" s="1"/>
  <c r="J398" i="8" s="1"/>
  <c r="F226" i="8"/>
  <c r="I226" i="8" s="1"/>
  <c r="J226" i="8" s="1"/>
  <c r="F140" i="8"/>
  <c r="I140" i="8" s="1"/>
  <c r="J140" i="8" s="1"/>
  <c r="F677" i="8"/>
  <c r="I677" i="8" s="1"/>
  <c r="J677" i="8" s="1"/>
  <c r="F641" i="8"/>
  <c r="I641" i="8" s="1"/>
  <c r="J641" i="8" s="1"/>
  <c r="F605" i="8"/>
  <c r="I605" i="8" s="1"/>
  <c r="J605" i="8" s="1"/>
  <c r="F569" i="8"/>
  <c r="I569" i="8" s="1"/>
  <c r="J569" i="8" s="1"/>
  <c r="F533" i="8"/>
  <c r="I533" i="8" s="1"/>
  <c r="J533" i="8" s="1"/>
  <c r="F497" i="8"/>
  <c r="I497" i="8" s="1"/>
  <c r="J497" i="8" s="1"/>
  <c r="F461" i="8"/>
  <c r="I461" i="8" s="1"/>
  <c r="J461" i="8" s="1"/>
  <c r="F425" i="8"/>
  <c r="I425" i="8" s="1"/>
  <c r="J425" i="8" s="1"/>
  <c r="F377" i="8"/>
  <c r="I377" i="8" s="1"/>
  <c r="J377" i="8" s="1"/>
  <c r="F341" i="8"/>
  <c r="I341" i="8" s="1"/>
  <c r="J341" i="8" s="1"/>
  <c r="F305" i="8"/>
  <c r="I305" i="8" s="1"/>
  <c r="J305" i="8" s="1"/>
  <c r="F257" i="8"/>
  <c r="I257" i="8" s="1"/>
  <c r="J257" i="8" s="1"/>
  <c r="F221" i="8"/>
  <c r="I221" i="8" s="1"/>
  <c r="J221" i="8" s="1"/>
  <c r="F185" i="8"/>
  <c r="I185" i="8" s="1"/>
  <c r="J185" i="8" s="1"/>
  <c r="F161" i="8"/>
  <c r="I161" i="8" s="1"/>
  <c r="J161" i="8" s="1"/>
  <c r="F125" i="8"/>
  <c r="I125" i="8" s="1"/>
  <c r="J125" i="8" s="1"/>
  <c r="F77" i="8"/>
  <c r="I77" i="8" s="1"/>
  <c r="J77" i="8" s="1"/>
  <c r="F41" i="8"/>
  <c r="I41" i="8" s="1"/>
  <c r="J41" i="8" s="1"/>
  <c r="F5" i="8"/>
  <c r="I5" i="8" s="1"/>
  <c r="J5" i="8" s="1"/>
  <c r="F613" i="8"/>
  <c r="I613" i="8" s="1"/>
  <c r="J613" i="8" s="1"/>
  <c r="F527" i="8"/>
  <c r="I527" i="8" s="1"/>
  <c r="J527" i="8" s="1"/>
  <c r="F441" i="8"/>
  <c r="I441" i="8" s="1"/>
  <c r="J441" i="8" s="1"/>
  <c r="F397" i="8"/>
  <c r="I397" i="8" s="1"/>
  <c r="J397" i="8" s="1"/>
  <c r="F311" i="8"/>
  <c r="I311" i="8" s="1"/>
  <c r="J311" i="8" s="1"/>
  <c r="F225" i="8"/>
  <c r="I225" i="8" s="1"/>
  <c r="J225" i="8" s="1"/>
  <c r="F46" i="8"/>
  <c r="I46" i="8" s="1"/>
  <c r="J46" i="8" s="1"/>
  <c r="F652" i="8"/>
  <c r="I652" i="8" s="1"/>
  <c r="J652" i="8" s="1"/>
  <c r="F616" i="8"/>
  <c r="I616" i="8" s="1"/>
  <c r="J616" i="8" s="1"/>
  <c r="F580" i="8"/>
  <c r="I580" i="8" s="1"/>
  <c r="J580" i="8" s="1"/>
  <c r="F544" i="8"/>
  <c r="I544" i="8" s="1"/>
  <c r="J544" i="8" s="1"/>
  <c r="F508" i="8"/>
  <c r="I508" i="8" s="1"/>
  <c r="J508" i="8" s="1"/>
  <c r="F460" i="8"/>
  <c r="I460" i="8" s="1"/>
  <c r="J460" i="8" s="1"/>
  <c r="F412" i="8"/>
  <c r="I412" i="8" s="1"/>
  <c r="J412" i="8" s="1"/>
  <c r="F376" i="8"/>
  <c r="I376" i="8" s="1"/>
  <c r="J376" i="8" s="1"/>
  <c r="F340" i="8"/>
  <c r="I340" i="8" s="1"/>
  <c r="J340" i="8" s="1"/>
  <c r="F304" i="8"/>
  <c r="I304" i="8" s="1"/>
  <c r="J304" i="8" s="1"/>
  <c r="F280" i="8"/>
  <c r="I280" i="8" s="1"/>
  <c r="J280" i="8" s="1"/>
  <c r="F256" i="8"/>
  <c r="I256" i="8" s="1"/>
  <c r="J256" i="8" s="1"/>
  <c r="F232" i="8"/>
  <c r="I232" i="8" s="1"/>
  <c r="J232" i="8" s="1"/>
  <c r="F208" i="8"/>
  <c r="I208" i="8" s="1"/>
  <c r="J208" i="8" s="1"/>
  <c r="F172" i="8"/>
  <c r="I172" i="8" s="1"/>
  <c r="J172" i="8" s="1"/>
  <c r="F148" i="8"/>
  <c r="I148" i="8" s="1"/>
  <c r="J148" i="8" s="1"/>
  <c r="F124" i="8"/>
  <c r="I124" i="8" s="1"/>
  <c r="J124" i="8" s="1"/>
  <c r="F100" i="8"/>
  <c r="I100" i="8" s="1"/>
  <c r="J100" i="8" s="1"/>
  <c r="F76" i="8"/>
  <c r="I76" i="8" s="1"/>
  <c r="J76" i="8" s="1"/>
  <c r="F52" i="8"/>
  <c r="I52" i="8" s="1"/>
  <c r="J52" i="8" s="1"/>
  <c r="F28" i="8"/>
  <c r="I28" i="8" s="1"/>
  <c r="J28" i="8" s="1"/>
  <c r="F4" i="8"/>
  <c r="I4" i="8" s="1"/>
  <c r="J4" i="8" s="1"/>
  <c r="F656" i="8"/>
  <c r="I656" i="8" s="1"/>
  <c r="J656" i="8" s="1"/>
  <c r="F566" i="8"/>
  <c r="I566" i="8" s="1"/>
  <c r="J566" i="8" s="1"/>
  <c r="F480" i="8"/>
  <c r="I480" i="8" s="1"/>
  <c r="J480" i="8" s="1"/>
  <c r="F396" i="8"/>
  <c r="I396" i="8" s="1"/>
  <c r="J396" i="8" s="1"/>
  <c r="F310" i="8"/>
  <c r="I310" i="8" s="1"/>
  <c r="J310" i="8" s="1"/>
  <c r="F224" i="8"/>
  <c r="I224" i="8" s="1"/>
  <c r="J224" i="8" s="1"/>
  <c r="F45" i="8"/>
  <c r="I45" i="8" s="1"/>
  <c r="J45" i="8" s="1"/>
  <c r="F651" i="8"/>
  <c r="I651" i="8" s="1"/>
  <c r="J651" i="8" s="1"/>
  <c r="F615" i="8"/>
  <c r="I615" i="8" s="1"/>
  <c r="J615" i="8" s="1"/>
  <c r="F579" i="8"/>
  <c r="I579" i="8" s="1"/>
  <c r="J579" i="8" s="1"/>
  <c r="F543" i="8"/>
  <c r="I543" i="8" s="1"/>
  <c r="J543" i="8" s="1"/>
  <c r="F507" i="8"/>
  <c r="I507" i="8" s="1"/>
  <c r="J507" i="8" s="1"/>
  <c r="F471" i="8"/>
  <c r="I471" i="8" s="1"/>
  <c r="J471" i="8" s="1"/>
  <c r="F447" i="8"/>
  <c r="I447" i="8" s="1"/>
  <c r="J447" i="8" s="1"/>
  <c r="F411" i="8"/>
  <c r="I411" i="8" s="1"/>
  <c r="J411" i="8" s="1"/>
  <c r="F363" i="8"/>
  <c r="I363" i="8" s="1"/>
  <c r="J363" i="8" s="1"/>
  <c r="F327" i="8"/>
  <c r="I327" i="8" s="1"/>
  <c r="J327" i="8" s="1"/>
  <c r="F291" i="8"/>
  <c r="I291" i="8" s="1"/>
  <c r="J291" i="8" s="1"/>
  <c r="F255" i="8"/>
  <c r="I255" i="8" s="1"/>
  <c r="J255" i="8" s="1"/>
  <c r="F219" i="8"/>
  <c r="I219" i="8" s="1"/>
  <c r="J219" i="8" s="1"/>
  <c r="F183" i="8"/>
  <c r="I183" i="8" s="1"/>
  <c r="J183" i="8" s="1"/>
  <c r="F135" i="8"/>
  <c r="I135" i="8" s="1"/>
  <c r="J135" i="8" s="1"/>
  <c r="F99" i="8"/>
  <c r="I99" i="8" s="1"/>
  <c r="J99" i="8" s="1"/>
  <c r="F51" i="8"/>
  <c r="I51" i="8" s="1"/>
  <c r="J51" i="8" s="1"/>
  <c r="F27" i="8"/>
  <c r="I27" i="8" s="1"/>
  <c r="J27" i="8" s="1"/>
  <c r="F685" i="8"/>
  <c r="I685" i="8" s="1"/>
  <c r="J685" i="8" s="1"/>
  <c r="F599" i="8"/>
  <c r="I599" i="8" s="1"/>
  <c r="J599" i="8" s="1"/>
  <c r="F513" i="8"/>
  <c r="I513" i="8" s="1"/>
  <c r="J513" i="8" s="1"/>
  <c r="F427" i="8"/>
  <c r="I427" i="8" s="1"/>
  <c r="J427" i="8" s="1"/>
  <c r="F383" i="8"/>
  <c r="I383" i="8" s="1"/>
  <c r="J383" i="8" s="1"/>
  <c r="F297" i="8"/>
  <c r="I297" i="8" s="1"/>
  <c r="J297" i="8" s="1"/>
  <c r="F211" i="8"/>
  <c r="I211" i="8" s="1"/>
  <c r="J211" i="8" s="1"/>
  <c r="F121" i="8"/>
  <c r="I121" i="8" s="1"/>
  <c r="J121" i="8" s="1"/>
  <c r="F686" i="8"/>
  <c r="I686" i="8" s="1"/>
  <c r="J686" i="8" s="1"/>
  <c r="F578" i="8"/>
  <c r="I578" i="8" s="1"/>
  <c r="J578" i="8" s="1"/>
  <c r="F494" i="8"/>
  <c r="I494" i="8" s="1"/>
  <c r="J494" i="8" s="1"/>
  <c r="F434" i="8"/>
  <c r="I434" i="8" s="1"/>
  <c r="J434" i="8" s="1"/>
  <c r="F362" i="8"/>
  <c r="I362" i="8" s="1"/>
  <c r="J362" i="8" s="1"/>
  <c r="F326" i="8"/>
  <c r="I326" i="8" s="1"/>
  <c r="J326" i="8" s="1"/>
  <c r="F254" i="8"/>
  <c r="I254" i="8" s="1"/>
  <c r="J254" i="8" s="1"/>
  <c r="F170" i="8"/>
  <c r="I170" i="8" s="1"/>
  <c r="J170" i="8" s="1"/>
  <c r="F110" i="8"/>
  <c r="I110" i="8" s="1"/>
  <c r="J110" i="8" s="1"/>
  <c r="F38" i="8"/>
  <c r="I38" i="8" s="1"/>
  <c r="J38" i="8" s="1"/>
  <c r="F684" i="8"/>
  <c r="I684" i="8" s="1"/>
  <c r="J684" i="8" s="1"/>
  <c r="F598" i="8"/>
  <c r="I598" i="8" s="1"/>
  <c r="J598" i="8" s="1"/>
  <c r="F512" i="8"/>
  <c r="I512" i="8" s="1"/>
  <c r="J512" i="8" s="1"/>
  <c r="F422" i="8"/>
  <c r="I422" i="8" s="1"/>
  <c r="J422" i="8" s="1"/>
  <c r="F336" i="8"/>
  <c r="I336" i="8" s="1"/>
  <c r="J336" i="8" s="1"/>
  <c r="F252" i="8"/>
  <c r="I252" i="8" s="1"/>
  <c r="J252" i="8" s="1"/>
  <c r="F666" i="8"/>
  <c r="I666" i="8" s="1"/>
  <c r="J666" i="8" s="1"/>
  <c r="F630" i="8"/>
  <c r="I630" i="8" s="1"/>
  <c r="J630" i="8" s="1"/>
  <c r="F582" i="8"/>
  <c r="I582" i="8" s="1"/>
  <c r="J582" i="8" s="1"/>
  <c r="F614" i="8"/>
  <c r="I614" i="8" s="1"/>
  <c r="J614" i="8" s="1"/>
  <c r="F528" i="8"/>
  <c r="I528" i="8" s="1"/>
  <c r="J528" i="8" s="1"/>
  <c r="F356" i="8"/>
  <c r="I356" i="8" s="1"/>
  <c r="J356" i="8" s="1"/>
  <c r="F182" i="8"/>
  <c r="I182" i="8" s="1"/>
  <c r="J182" i="8" s="1"/>
  <c r="F665" i="8"/>
  <c r="I665" i="8" s="1"/>
  <c r="J665" i="8" s="1"/>
  <c r="F629" i="8"/>
  <c r="I629" i="8" s="1"/>
  <c r="J629" i="8" s="1"/>
  <c r="F593" i="8"/>
  <c r="I593" i="8" s="1"/>
  <c r="J593" i="8" s="1"/>
  <c r="F557" i="8"/>
  <c r="I557" i="8" s="1"/>
  <c r="J557" i="8" s="1"/>
  <c r="F521" i="8"/>
  <c r="I521" i="8" s="1"/>
  <c r="J521" i="8" s="1"/>
  <c r="F485" i="8"/>
  <c r="I485" i="8" s="1"/>
  <c r="J485" i="8" s="1"/>
  <c r="F449" i="8"/>
  <c r="I449" i="8" s="1"/>
  <c r="J449" i="8" s="1"/>
  <c r="F401" i="8"/>
  <c r="I401" i="8" s="1"/>
  <c r="J401" i="8" s="1"/>
  <c r="F365" i="8"/>
  <c r="I365" i="8" s="1"/>
  <c r="J365" i="8" s="1"/>
  <c r="F329" i="8"/>
  <c r="I329" i="8" s="1"/>
  <c r="J329" i="8" s="1"/>
  <c r="F293" i="8"/>
  <c r="I293" i="8" s="1"/>
  <c r="J293" i="8" s="1"/>
  <c r="F269" i="8"/>
  <c r="I269" i="8" s="1"/>
  <c r="J269" i="8" s="1"/>
  <c r="F233" i="8"/>
  <c r="I233" i="8" s="1"/>
  <c r="J233" i="8" s="1"/>
  <c r="F197" i="8"/>
  <c r="I197" i="8" s="1"/>
  <c r="J197" i="8" s="1"/>
  <c r="F149" i="8"/>
  <c r="I149" i="8" s="1"/>
  <c r="J149" i="8" s="1"/>
  <c r="F113" i="8"/>
  <c r="I113" i="8" s="1"/>
  <c r="J113" i="8" s="1"/>
  <c r="F89" i="8"/>
  <c r="I89" i="8" s="1"/>
  <c r="J89" i="8" s="1"/>
  <c r="F53" i="8"/>
  <c r="I53" i="8" s="1"/>
  <c r="J53" i="8" s="1"/>
  <c r="F17" i="8"/>
  <c r="I17" i="8" s="1"/>
  <c r="J17" i="8" s="1"/>
  <c r="F657" i="8"/>
  <c r="I657" i="8" s="1"/>
  <c r="J657" i="8" s="1"/>
  <c r="F571" i="8"/>
  <c r="I571" i="8" s="1"/>
  <c r="J571" i="8" s="1"/>
  <c r="F481" i="8"/>
  <c r="I481" i="8" s="1"/>
  <c r="J481" i="8" s="1"/>
  <c r="F355" i="8"/>
  <c r="I355" i="8" s="1"/>
  <c r="J355" i="8" s="1"/>
  <c r="F265" i="8"/>
  <c r="I265" i="8" s="1"/>
  <c r="J265" i="8" s="1"/>
  <c r="F181" i="8"/>
  <c r="I181" i="8" s="1"/>
  <c r="J181" i="8" s="1"/>
  <c r="F139" i="8"/>
  <c r="I139" i="8" s="1"/>
  <c r="J139" i="8" s="1"/>
  <c r="F676" i="8"/>
  <c r="I676" i="8" s="1"/>
  <c r="J676" i="8" s="1"/>
  <c r="F640" i="8"/>
  <c r="I640" i="8" s="1"/>
  <c r="J640" i="8" s="1"/>
  <c r="F604" i="8"/>
  <c r="I604" i="8" s="1"/>
  <c r="J604" i="8" s="1"/>
  <c r="F568" i="8"/>
  <c r="I568" i="8" s="1"/>
  <c r="J568" i="8" s="1"/>
  <c r="F532" i="8"/>
  <c r="I532" i="8" s="1"/>
  <c r="J532" i="8" s="1"/>
  <c r="F496" i="8"/>
  <c r="I496" i="8" s="1"/>
  <c r="J496" i="8" s="1"/>
  <c r="F472" i="8"/>
  <c r="I472" i="8" s="1"/>
  <c r="J472" i="8" s="1"/>
  <c r="F436" i="8"/>
  <c r="I436" i="8" s="1"/>
  <c r="J436" i="8" s="1"/>
  <c r="F400" i="8"/>
  <c r="I400" i="8" s="1"/>
  <c r="J400" i="8" s="1"/>
  <c r="F364" i="8"/>
  <c r="I364" i="8" s="1"/>
  <c r="J364" i="8" s="1"/>
  <c r="F328" i="8"/>
  <c r="I328" i="8" s="1"/>
  <c r="J328" i="8" s="1"/>
  <c r="F292" i="8"/>
  <c r="I292" i="8" s="1"/>
  <c r="J292" i="8" s="1"/>
  <c r="F268" i="8"/>
  <c r="I268" i="8" s="1"/>
  <c r="J268" i="8" s="1"/>
  <c r="F244" i="8"/>
  <c r="I244" i="8" s="1"/>
  <c r="J244" i="8" s="1"/>
  <c r="F220" i="8"/>
  <c r="I220" i="8" s="1"/>
  <c r="J220" i="8" s="1"/>
  <c r="F184" i="8"/>
  <c r="I184" i="8" s="1"/>
  <c r="J184" i="8" s="1"/>
  <c r="F160" i="8"/>
  <c r="I160" i="8" s="1"/>
  <c r="J160" i="8" s="1"/>
  <c r="F136" i="8"/>
  <c r="I136" i="8" s="1"/>
  <c r="J136" i="8" s="1"/>
  <c r="F112" i="8"/>
  <c r="I112" i="8" s="1"/>
  <c r="J112" i="8" s="1"/>
  <c r="F88" i="8"/>
  <c r="I88" i="8" s="1"/>
  <c r="J88" i="8" s="1"/>
  <c r="F64" i="8"/>
  <c r="I64" i="8" s="1"/>
  <c r="J64" i="8" s="1"/>
  <c r="F40" i="8"/>
  <c r="I40" i="8" s="1"/>
  <c r="J40" i="8" s="1"/>
  <c r="F16" i="8"/>
  <c r="I16" i="8" s="1"/>
  <c r="J16" i="8" s="1"/>
  <c r="F696" i="8"/>
  <c r="I696" i="8" s="1"/>
  <c r="J696" i="8" s="1"/>
  <c r="F612" i="8"/>
  <c r="I612" i="8" s="1"/>
  <c r="J612" i="8" s="1"/>
  <c r="F526" i="8"/>
  <c r="I526" i="8" s="1"/>
  <c r="J526" i="8" s="1"/>
  <c r="F440" i="8"/>
  <c r="I440" i="8" s="1"/>
  <c r="J440" i="8" s="1"/>
  <c r="F350" i="8"/>
  <c r="I350" i="8" s="1"/>
  <c r="J350" i="8" s="1"/>
  <c r="F264" i="8"/>
  <c r="I264" i="8" s="1"/>
  <c r="J264" i="8" s="1"/>
  <c r="F180" i="8"/>
  <c r="I180" i="8" s="1"/>
  <c r="J180" i="8" s="1"/>
  <c r="F94" i="8"/>
  <c r="I94" i="8" s="1"/>
  <c r="J94" i="8" s="1"/>
  <c r="F675" i="8"/>
  <c r="I675" i="8" s="1"/>
  <c r="J675" i="8" s="1"/>
  <c r="F639" i="8"/>
  <c r="I639" i="8" s="1"/>
  <c r="J639" i="8" s="1"/>
  <c r="F603" i="8"/>
  <c r="I603" i="8" s="1"/>
  <c r="J603" i="8" s="1"/>
  <c r="F567" i="8"/>
  <c r="I567" i="8" s="1"/>
  <c r="J567" i="8" s="1"/>
  <c r="F519" i="8"/>
  <c r="I519" i="8" s="1"/>
  <c r="J519" i="8" s="1"/>
  <c r="F483" i="8"/>
  <c r="I483" i="8" s="1"/>
  <c r="J483" i="8" s="1"/>
  <c r="F435" i="8"/>
  <c r="I435" i="8" s="1"/>
  <c r="J435" i="8" s="1"/>
  <c r="F387" i="8"/>
  <c r="I387" i="8" s="1"/>
  <c r="J387" i="8" s="1"/>
  <c r="F351" i="8"/>
  <c r="I351" i="8" s="1"/>
  <c r="J351" i="8" s="1"/>
  <c r="F315" i="8"/>
  <c r="I315" i="8" s="1"/>
  <c r="J315" i="8" s="1"/>
  <c r="F279" i="8"/>
  <c r="I279" i="8" s="1"/>
  <c r="J279" i="8" s="1"/>
  <c r="F243" i="8"/>
  <c r="I243" i="8" s="1"/>
  <c r="J243" i="8" s="1"/>
  <c r="F207" i="8"/>
  <c r="I207" i="8" s="1"/>
  <c r="J207" i="8" s="1"/>
  <c r="F171" i="8"/>
  <c r="I171" i="8" s="1"/>
  <c r="J171" i="8" s="1"/>
  <c r="F147" i="8"/>
  <c r="I147" i="8" s="1"/>
  <c r="J147" i="8" s="1"/>
  <c r="F111" i="8"/>
  <c r="I111" i="8" s="1"/>
  <c r="J111" i="8" s="1"/>
  <c r="F75" i="8"/>
  <c r="I75" i="8" s="1"/>
  <c r="J75" i="8" s="1"/>
  <c r="F39" i="8"/>
  <c r="I39" i="8" s="1"/>
  <c r="J39" i="8" s="1"/>
  <c r="F3" i="8"/>
  <c r="I3" i="8" s="1"/>
  <c r="J3" i="8" s="1"/>
  <c r="F392" i="8"/>
  <c r="I392" i="8" s="1"/>
  <c r="J392" i="8" s="1"/>
  <c r="F632" i="8"/>
  <c r="I632" i="8" s="1"/>
  <c r="J632" i="8" s="1"/>
  <c r="F694" i="8"/>
  <c r="I694" i="8" s="1"/>
  <c r="J694" i="8" s="1"/>
  <c r="F20" i="8"/>
  <c r="I20" i="8" s="1"/>
  <c r="J20" i="8" s="1"/>
  <c r="F285" i="8"/>
  <c r="I285" i="8" s="1"/>
  <c r="J285" i="8" s="1"/>
  <c r="F371" i="8"/>
  <c r="I371" i="8" s="1"/>
  <c r="J371" i="8" s="1"/>
  <c r="F439" i="8"/>
  <c r="I439" i="8" s="1"/>
  <c r="J439" i="8" s="1"/>
  <c r="F501" i="8"/>
  <c r="I501" i="8" s="1"/>
  <c r="J501" i="8" s="1"/>
  <c r="F565" i="8"/>
  <c r="I565" i="8" s="1"/>
  <c r="J565" i="8" s="1"/>
  <c r="F609" i="8"/>
  <c r="I609" i="8" s="1"/>
  <c r="J609" i="8" s="1"/>
  <c r="F673" i="8"/>
  <c r="I673" i="8" s="1"/>
  <c r="J673" i="8" s="1"/>
  <c r="F92" i="8"/>
  <c r="I92" i="8" s="1"/>
  <c r="J92" i="8" s="1"/>
  <c r="F154" i="8"/>
  <c r="I154" i="8" s="1"/>
  <c r="J154" i="8" s="1"/>
  <c r="F240" i="8"/>
  <c r="I240" i="8" s="1"/>
  <c r="J240" i="8" s="1"/>
  <c r="F284" i="8"/>
  <c r="I284" i="8" s="1"/>
  <c r="J284" i="8" s="1"/>
  <c r="F370" i="8"/>
  <c r="I370" i="8" s="1"/>
  <c r="J370" i="8" s="1"/>
  <c r="F456" i="8"/>
  <c r="I456" i="8" s="1"/>
  <c r="J456" i="8" s="1"/>
  <c r="F500" i="8"/>
  <c r="I500" i="8" s="1"/>
  <c r="J500" i="8" s="1"/>
  <c r="F564" i="8"/>
  <c r="I564" i="8" s="1"/>
  <c r="J564" i="8" s="1"/>
  <c r="F608" i="8"/>
  <c r="I608" i="8" s="1"/>
  <c r="J608" i="8" s="1"/>
  <c r="F672" i="8"/>
  <c r="I672" i="8" s="1"/>
  <c r="J672" i="8" s="1"/>
  <c r="F67" i="8"/>
  <c r="I67" i="8" s="1"/>
  <c r="J67" i="8" s="1"/>
  <c r="F93" i="8"/>
  <c r="I93" i="8" s="1"/>
  <c r="J93" i="8" s="1"/>
  <c r="F133" i="8"/>
  <c r="I133" i="8" s="1"/>
  <c r="J133" i="8" s="1"/>
  <c r="F177" i="8"/>
  <c r="I177" i="8" s="1"/>
  <c r="J177" i="8" s="1"/>
  <c r="F223" i="8"/>
  <c r="I223" i="8" s="1"/>
  <c r="J223" i="8" s="1"/>
  <c r="F263" i="8"/>
  <c r="I263" i="8" s="1"/>
  <c r="J263" i="8" s="1"/>
  <c r="F331" i="8"/>
  <c r="I331" i="8" s="1"/>
  <c r="J331" i="8" s="1"/>
  <c r="F393" i="8"/>
  <c r="I393" i="8" s="1"/>
  <c r="J393" i="8" s="1"/>
  <c r="F457" i="8"/>
  <c r="I457" i="8" s="1"/>
  <c r="J457" i="8" s="1"/>
  <c r="F525" i="8"/>
  <c r="I525" i="8" s="1"/>
  <c r="J525" i="8" s="1"/>
  <c r="F587" i="8"/>
  <c r="I587" i="8" s="1"/>
  <c r="J587" i="8" s="1"/>
  <c r="F655" i="8"/>
  <c r="I655" i="8" s="1"/>
  <c r="J655" i="8" s="1"/>
  <c r="F132" i="8"/>
  <c r="I132" i="8" s="1"/>
  <c r="J132" i="8" s="1"/>
  <c r="F176" i="8"/>
  <c r="I176" i="8" s="1"/>
  <c r="J176" i="8" s="1"/>
  <c r="F200" i="8"/>
  <c r="I200" i="8" s="1"/>
  <c r="J200" i="8" s="1"/>
  <c r="F262" i="8"/>
  <c r="I262" i="8" s="1"/>
  <c r="J262" i="8" s="1"/>
  <c r="F308" i="8"/>
  <c r="I308" i="8" s="1"/>
  <c r="J308" i="8" s="1"/>
  <c r="F348" i="8"/>
  <c r="I348" i="8" s="1"/>
  <c r="J348" i="8" s="1"/>
  <c r="F416" i="8"/>
  <c r="I416" i="8" s="1"/>
  <c r="J416" i="8" s="1"/>
  <c r="F478" i="8"/>
  <c r="I478" i="8" s="1"/>
  <c r="J478" i="8" s="1"/>
  <c r="F524" i="8"/>
  <c r="I524" i="8" s="1"/>
  <c r="J524" i="8" s="1"/>
  <c r="F586" i="8"/>
  <c r="I586" i="8" s="1"/>
  <c r="J586" i="8" s="1"/>
  <c r="F44" i="8"/>
  <c r="I44" i="8" s="1"/>
  <c r="J44" i="8" s="1"/>
  <c r="F115" i="8"/>
  <c r="I115" i="8" s="1"/>
  <c r="J115" i="8" s="1"/>
  <c r="F155" i="8"/>
  <c r="I155" i="8" s="1"/>
  <c r="J155" i="8" s="1"/>
  <c r="F201" i="8"/>
  <c r="I201" i="8" s="1"/>
  <c r="J201" i="8" s="1"/>
  <c r="F241" i="8"/>
  <c r="I241" i="8" s="1"/>
  <c r="J241" i="8" s="1"/>
  <c r="F309" i="8"/>
  <c r="I309" i="8" s="1"/>
  <c r="J309" i="8" s="1"/>
  <c r="F349" i="8"/>
  <c r="I349" i="8" s="1"/>
  <c r="J349" i="8" s="1"/>
  <c r="F417" i="8"/>
  <c r="I417" i="8" s="1"/>
  <c r="J417" i="8" s="1"/>
  <c r="F479" i="8"/>
  <c r="I479" i="8" s="1"/>
  <c r="J479" i="8" s="1"/>
  <c r="F547" i="8"/>
  <c r="I547" i="8" s="1"/>
  <c r="J547" i="8" s="1"/>
  <c r="F633" i="8"/>
  <c r="I633" i="8" s="1"/>
  <c r="J633" i="8" s="1"/>
  <c r="F695" i="8"/>
  <c r="I695" i="8" s="1"/>
  <c r="J695" i="8" s="1"/>
  <c r="F643" i="8"/>
  <c r="I643" i="8" s="1"/>
  <c r="J643" i="8" s="1"/>
  <c r="F553" i="8"/>
  <c r="I553" i="8" s="1"/>
  <c r="J553" i="8" s="1"/>
  <c r="F469" i="8"/>
  <c r="I469" i="8" s="1"/>
  <c r="J469" i="8" s="1"/>
  <c r="F337" i="8"/>
  <c r="I337" i="8" s="1"/>
  <c r="J337" i="8" s="1"/>
  <c r="F253" i="8"/>
  <c r="I253" i="8" s="1"/>
  <c r="J253" i="8" s="1"/>
  <c r="F167" i="8"/>
  <c r="I167" i="8" s="1"/>
  <c r="J167" i="8" s="1"/>
  <c r="F33" i="8"/>
  <c r="I33" i="8" s="1"/>
  <c r="J33" i="8" s="1"/>
  <c r="F650" i="8"/>
  <c r="I650" i="8" s="1"/>
  <c r="J650" i="8" s="1"/>
  <c r="F120" i="8"/>
  <c r="I120" i="8" s="1"/>
  <c r="J120" i="8" s="1"/>
  <c r="F649" i="8"/>
  <c r="I649" i="8" s="1"/>
  <c r="J649" i="8" s="1"/>
  <c r="F601" i="8"/>
  <c r="I601" i="8" s="1"/>
  <c r="J601" i="8" s="1"/>
  <c r="F517" i="8"/>
  <c r="I517" i="8" s="1"/>
  <c r="J517" i="8" s="1"/>
  <c r="F433" i="8"/>
  <c r="I433" i="8" s="1"/>
  <c r="J433" i="8" s="1"/>
  <c r="F385" i="8"/>
  <c r="I385" i="8" s="1"/>
  <c r="J385" i="8" s="1"/>
  <c r="F301" i="8"/>
  <c r="I301" i="8" s="1"/>
  <c r="J301" i="8" s="1"/>
  <c r="F193" i="8"/>
  <c r="I193" i="8" s="1"/>
  <c r="J193" i="8" s="1"/>
  <c r="F109" i="8"/>
  <c r="I109" i="8" s="1"/>
  <c r="J109" i="8" s="1"/>
  <c r="F37" i="8"/>
  <c r="I37" i="8" s="1"/>
  <c r="J37" i="8" s="1"/>
  <c r="F681" i="8"/>
  <c r="I681" i="8" s="1"/>
  <c r="J681" i="8" s="1"/>
  <c r="F597" i="8"/>
  <c r="I597" i="8" s="1"/>
  <c r="J597" i="8" s="1"/>
  <c r="F511" i="8"/>
  <c r="I511" i="8" s="1"/>
  <c r="J511" i="8" s="1"/>
  <c r="F465" i="8"/>
  <c r="I465" i="8" s="1"/>
  <c r="J465" i="8" s="1"/>
  <c r="F381" i="8"/>
  <c r="I381" i="8" s="1"/>
  <c r="J381" i="8" s="1"/>
  <c r="F335" i="8"/>
  <c r="I335" i="8" s="1"/>
  <c r="J335" i="8" s="1"/>
  <c r="F249" i="8"/>
  <c r="I249" i="8" s="1"/>
  <c r="J249" i="8" s="1"/>
  <c r="F205" i="8"/>
  <c r="I205" i="8" s="1"/>
  <c r="J205" i="8" s="1"/>
  <c r="F165" i="8"/>
  <c r="I165" i="8" s="1"/>
  <c r="J165" i="8" s="1"/>
  <c r="F119" i="8"/>
  <c r="I119" i="8" s="1"/>
  <c r="J119" i="8" s="1"/>
  <c r="F24" i="8"/>
  <c r="I24" i="8" s="1"/>
  <c r="J24" i="8" s="1"/>
  <c r="F648" i="8"/>
  <c r="I648" i="8" s="1"/>
  <c r="J648" i="8" s="1"/>
  <c r="F600" i="8"/>
  <c r="I600" i="8" s="1"/>
  <c r="J600" i="8" s="1"/>
  <c r="F516" i="8"/>
  <c r="I516" i="8" s="1"/>
  <c r="J516" i="8" s="1"/>
  <c r="F492" i="8"/>
  <c r="I492" i="8" s="1"/>
  <c r="J492" i="8" s="1"/>
  <c r="F384" i="8"/>
  <c r="I384" i="8" s="1"/>
  <c r="J384" i="8" s="1"/>
  <c r="F300" i="8"/>
  <c r="I300" i="8" s="1"/>
  <c r="J300" i="8" s="1"/>
  <c r="F276" i="8"/>
  <c r="I276" i="8" s="1"/>
  <c r="J276" i="8" s="1"/>
  <c r="F192" i="8"/>
  <c r="I192" i="8" s="1"/>
  <c r="J192" i="8" s="1"/>
  <c r="F108" i="8"/>
  <c r="I108" i="8" s="1"/>
  <c r="J108" i="8" s="1"/>
  <c r="F12" i="8"/>
  <c r="I12" i="8" s="1"/>
  <c r="J12" i="8" s="1"/>
  <c r="F680" i="8"/>
  <c r="I680" i="8" s="1"/>
  <c r="J680" i="8" s="1"/>
  <c r="F636" i="8"/>
  <c r="I636" i="8" s="1"/>
  <c r="J636" i="8" s="1"/>
  <c r="F550" i="8"/>
  <c r="I550" i="8" s="1"/>
  <c r="J550" i="8" s="1"/>
  <c r="F506" i="8"/>
  <c r="I506" i="8" s="1"/>
  <c r="J506" i="8" s="1"/>
  <c r="F464" i="8"/>
  <c r="I464" i="8" s="1"/>
  <c r="J464" i="8" s="1"/>
  <c r="F420" i="8"/>
  <c r="I420" i="8" s="1"/>
  <c r="J420" i="8" s="1"/>
  <c r="F380" i="8"/>
  <c r="I380" i="8" s="1"/>
  <c r="J380" i="8" s="1"/>
  <c r="F334" i="8"/>
  <c r="I334" i="8" s="1"/>
  <c r="J334" i="8" s="1"/>
  <c r="F290" i="8"/>
  <c r="I290" i="8" s="1"/>
  <c r="J290" i="8" s="1"/>
  <c r="F248" i="8"/>
  <c r="I248" i="8" s="1"/>
  <c r="J248" i="8" s="1"/>
  <c r="F204" i="8"/>
  <c r="I204" i="8" s="1"/>
  <c r="J204" i="8" s="1"/>
  <c r="F164" i="8"/>
  <c r="I164" i="8" s="1"/>
  <c r="J164" i="8" s="1"/>
  <c r="F118" i="8"/>
  <c r="I118" i="8" s="1"/>
  <c r="J118" i="8" s="1"/>
  <c r="F23" i="8"/>
  <c r="I23" i="8" s="1"/>
  <c r="J23" i="8" s="1"/>
  <c r="F623" i="8"/>
  <c r="I623" i="8" s="1"/>
  <c r="J623" i="8" s="1"/>
  <c r="F515" i="8"/>
  <c r="I515" i="8" s="1"/>
  <c r="J515" i="8" s="1"/>
  <c r="F407" i="8"/>
  <c r="I407" i="8" s="1"/>
  <c r="J407" i="8" s="1"/>
  <c r="F299" i="8"/>
  <c r="I299" i="8" s="1"/>
  <c r="J299" i="8" s="1"/>
  <c r="F191" i="8"/>
  <c r="I191" i="8" s="1"/>
  <c r="J191" i="8" s="1"/>
  <c r="F59" i="8"/>
  <c r="I59" i="8" s="1"/>
  <c r="J59" i="8" s="1"/>
  <c r="F35" i="8"/>
  <c r="I35" i="8" s="1"/>
  <c r="J35" i="8" s="1"/>
  <c r="F11" i="8"/>
  <c r="I11" i="8" s="1"/>
  <c r="J11" i="8" s="1"/>
  <c r="F679" i="8"/>
  <c r="I679" i="8" s="1"/>
  <c r="J679" i="8" s="1"/>
  <c r="F635" i="8"/>
  <c r="I635" i="8" s="1"/>
  <c r="J635" i="8" s="1"/>
  <c r="F589" i="8"/>
  <c r="I589" i="8" s="1"/>
  <c r="J589" i="8" s="1"/>
  <c r="F549" i="8"/>
  <c r="I549" i="8" s="1"/>
  <c r="J549" i="8" s="1"/>
  <c r="F505" i="8"/>
  <c r="I505" i="8" s="1"/>
  <c r="J505" i="8" s="1"/>
  <c r="F463" i="8"/>
  <c r="I463" i="8" s="1"/>
  <c r="J463" i="8" s="1"/>
  <c r="F419" i="8"/>
  <c r="I419" i="8" s="1"/>
  <c r="J419" i="8" s="1"/>
  <c r="F373" i="8"/>
  <c r="I373" i="8" s="1"/>
  <c r="J373" i="8" s="1"/>
  <c r="F333" i="8"/>
  <c r="I333" i="8" s="1"/>
  <c r="J333" i="8" s="1"/>
  <c r="F289" i="8"/>
  <c r="I289" i="8" s="1"/>
  <c r="J289" i="8" s="1"/>
  <c r="F247" i="8"/>
  <c r="I247" i="8" s="1"/>
  <c r="J247" i="8" s="1"/>
  <c r="F203" i="8"/>
  <c r="I203" i="8" s="1"/>
  <c r="J203" i="8" s="1"/>
  <c r="F157" i="8"/>
  <c r="I157" i="8" s="1"/>
  <c r="J157" i="8" s="1"/>
  <c r="F117" i="8"/>
  <c r="I117" i="8" s="1"/>
  <c r="J117" i="8" s="1"/>
  <c r="F71" i="8"/>
  <c r="I71" i="8" s="1"/>
  <c r="J71" i="8" s="1"/>
  <c r="F22" i="8"/>
  <c r="I22" i="8" s="1"/>
  <c r="J22" i="8" s="1"/>
  <c r="F642" i="8"/>
  <c r="I642" i="8" s="1"/>
  <c r="J642" i="8" s="1"/>
  <c r="F606" i="8"/>
  <c r="I606" i="8" s="1"/>
  <c r="J606" i="8" s="1"/>
  <c r="F570" i="8"/>
  <c r="I570" i="8" s="1"/>
  <c r="J570" i="8" s="1"/>
  <c r="F572" i="8"/>
  <c r="I572" i="8" s="1"/>
  <c r="J572" i="8" s="1"/>
  <c r="F442" i="8"/>
  <c r="I442" i="8" s="1"/>
  <c r="J442" i="8" s="1"/>
  <c r="F312" i="8"/>
  <c r="I312" i="8" s="1"/>
  <c r="J312" i="8" s="1"/>
  <c r="F272" i="8"/>
  <c r="I272" i="8" s="1"/>
  <c r="J272" i="8" s="1"/>
  <c r="F49" i="8"/>
  <c r="I49" i="8" s="1"/>
  <c r="J49" i="8" s="1"/>
  <c r="F689" i="8"/>
  <c r="I689" i="8" s="1"/>
  <c r="J689" i="8" s="1"/>
  <c r="F653" i="8"/>
  <c r="I653" i="8" s="1"/>
  <c r="J653" i="8" s="1"/>
  <c r="F617" i="8"/>
  <c r="I617" i="8" s="1"/>
  <c r="J617" i="8" s="1"/>
  <c r="F581" i="8"/>
  <c r="I581" i="8" s="1"/>
  <c r="J581" i="8" s="1"/>
  <c r="F545" i="8"/>
  <c r="I545" i="8" s="1"/>
  <c r="J545" i="8" s="1"/>
  <c r="F509" i="8"/>
  <c r="I509" i="8" s="1"/>
  <c r="J509" i="8" s="1"/>
  <c r="F473" i="8"/>
  <c r="I473" i="8" s="1"/>
  <c r="J473" i="8" s="1"/>
  <c r="F437" i="8"/>
  <c r="I437" i="8" s="1"/>
  <c r="J437" i="8" s="1"/>
  <c r="F413" i="8"/>
  <c r="I413" i="8" s="1"/>
  <c r="J413" i="8" s="1"/>
  <c r="F389" i="8"/>
  <c r="I389" i="8" s="1"/>
  <c r="J389" i="8" s="1"/>
  <c r="F353" i="8"/>
  <c r="I353" i="8" s="1"/>
  <c r="J353" i="8" s="1"/>
  <c r="F317" i="8"/>
  <c r="I317" i="8" s="1"/>
  <c r="J317" i="8" s="1"/>
  <c r="F281" i="8"/>
  <c r="I281" i="8" s="1"/>
  <c r="J281" i="8" s="1"/>
  <c r="F245" i="8"/>
  <c r="I245" i="8" s="1"/>
  <c r="J245" i="8" s="1"/>
  <c r="F209" i="8"/>
  <c r="I209" i="8" s="1"/>
  <c r="J209" i="8" s="1"/>
  <c r="F173" i="8"/>
  <c r="I173" i="8" s="1"/>
  <c r="J173" i="8" s="1"/>
  <c r="F137" i="8"/>
  <c r="I137" i="8" s="1"/>
  <c r="J137" i="8" s="1"/>
  <c r="F101" i="8"/>
  <c r="I101" i="8" s="1"/>
  <c r="J101" i="8" s="1"/>
  <c r="F65" i="8"/>
  <c r="I65" i="8" s="1"/>
  <c r="J65" i="8" s="1"/>
  <c r="F29" i="8"/>
  <c r="I29" i="8" s="1"/>
  <c r="J29" i="8" s="1"/>
  <c r="F95" i="8"/>
  <c r="I95" i="8" s="1"/>
  <c r="J95" i="8" s="1"/>
  <c r="F688" i="8"/>
  <c r="I688" i="8" s="1"/>
  <c r="J688" i="8" s="1"/>
  <c r="F664" i="8"/>
  <c r="I664" i="8" s="1"/>
  <c r="J664" i="8" s="1"/>
  <c r="F628" i="8"/>
  <c r="I628" i="8" s="1"/>
  <c r="J628" i="8" s="1"/>
  <c r="F592" i="8"/>
  <c r="I592" i="8" s="1"/>
  <c r="J592" i="8" s="1"/>
  <c r="F556" i="8"/>
  <c r="I556" i="8" s="1"/>
  <c r="J556" i="8" s="1"/>
  <c r="F520" i="8"/>
  <c r="I520" i="8" s="1"/>
  <c r="J520" i="8" s="1"/>
  <c r="F484" i="8"/>
  <c r="I484" i="8" s="1"/>
  <c r="J484" i="8" s="1"/>
  <c r="F448" i="8"/>
  <c r="I448" i="8" s="1"/>
  <c r="J448" i="8" s="1"/>
  <c r="F424" i="8"/>
  <c r="I424" i="8" s="1"/>
  <c r="J424" i="8" s="1"/>
  <c r="F388" i="8"/>
  <c r="I388" i="8" s="1"/>
  <c r="J388" i="8" s="1"/>
  <c r="F352" i="8"/>
  <c r="I352" i="8" s="1"/>
  <c r="J352" i="8" s="1"/>
  <c r="F316" i="8"/>
  <c r="I316" i="8" s="1"/>
  <c r="J316" i="8" s="1"/>
  <c r="F196" i="8"/>
  <c r="I196" i="8" s="1"/>
  <c r="J196" i="8" s="1"/>
  <c r="F134" i="8"/>
  <c r="I134" i="8" s="1"/>
  <c r="J134" i="8" s="1"/>
  <c r="F687" i="8"/>
  <c r="I687" i="8" s="1"/>
  <c r="J687" i="8" s="1"/>
  <c r="F663" i="8"/>
  <c r="I663" i="8" s="1"/>
  <c r="J663" i="8" s="1"/>
  <c r="F627" i="8"/>
  <c r="I627" i="8" s="1"/>
  <c r="J627" i="8" s="1"/>
  <c r="F591" i="8"/>
  <c r="I591" i="8" s="1"/>
  <c r="J591" i="8" s="1"/>
  <c r="F555" i="8"/>
  <c r="I555" i="8" s="1"/>
  <c r="J555" i="8" s="1"/>
  <c r="F531" i="8"/>
  <c r="I531" i="8" s="1"/>
  <c r="J531" i="8" s="1"/>
  <c r="F495" i="8"/>
  <c r="I495" i="8" s="1"/>
  <c r="J495" i="8" s="1"/>
  <c r="F459" i="8"/>
  <c r="I459" i="8" s="1"/>
  <c r="J459" i="8" s="1"/>
  <c r="F423" i="8"/>
  <c r="I423" i="8" s="1"/>
  <c r="J423" i="8" s="1"/>
  <c r="F399" i="8"/>
  <c r="I399" i="8" s="1"/>
  <c r="J399" i="8" s="1"/>
  <c r="F375" i="8"/>
  <c r="I375" i="8" s="1"/>
  <c r="J375" i="8" s="1"/>
  <c r="F339" i="8"/>
  <c r="I339" i="8" s="1"/>
  <c r="J339" i="8" s="1"/>
  <c r="F303" i="8"/>
  <c r="I303" i="8" s="1"/>
  <c r="J303" i="8" s="1"/>
  <c r="F267" i="8"/>
  <c r="I267" i="8" s="1"/>
  <c r="J267" i="8" s="1"/>
  <c r="F231" i="8"/>
  <c r="I231" i="8" s="1"/>
  <c r="J231" i="8" s="1"/>
  <c r="F195" i="8"/>
  <c r="I195" i="8" s="1"/>
  <c r="J195" i="8" s="1"/>
  <c r="F159" i="8"/>
  <c r="I159" i="8" s="1"/>
  <c r="J159" i="8" s="1"/>
  <c r="F123" i="8"/>
  <c r="I123" i="8" s="1"/>
  <c r="J123" i="8" s="1"/>
  <c r="F87" i="8"/>
  <c r="I87" i="8" s="1"/>
  <c r="J87" i="8" s="1"/>
  <c r="F63" i="8"/>
  <c r="I63" i="8" s="1"/>
  <c r="J63" i="8" s="1"/>
  <c r="F15" i="8"/>
  <c r="I15" i="8" s="1"/>
  <c r="J15" i="8" s="1"/>
  <c r="F80" i="8"/>
  <c r="I80" i="8" s="1"/>
  <c r="J80" i="8" s="1"/>
  <c r="F602" i="8"/>
  <c r="I602" i="8" s="1"/>
  <c r="J602" i="8" s="1"/>
  <c r="F542" i="8"/>
  <c r="I542" i="8" s="1"/>
  <c r="J542" i="8" s="1"/>
  <c r="F470" i="8"/>
  <c r="I470" i="8" s="1"/>
  <c r="J470" i="8" s="1"/>
  <c r="F386" i="8"/>
  <c r="I386" i="8" s="1"/>
  <c r="J386" i="8" s="1"/>
  <c r="F278" i="8"/>
  <c r="I278" i="8" s="1"/>
  <c r="J278" i="8" s="1"/>
  <c r="F218" i="8"/>
  <c r="I218" i="8" s="1"/>
  <c r="J218" i="8" s="1"/>
  <c r="F146" i="8"/>
  <c r="I146" i="8" s="1"/>
  <c r="J146" i="8" s="1"/>
  <c r="F62" i="8"/>
  <c r="I62" i="8" s="1"/>
  <c r="J62" i="8" s="1"/>
  <c r="F14" i="8"/>
  <c r="I14" i="8" s="1"/>
  <c r="J14" i="8" s="1"/>
  <c r="F638" i="8"/>
  <c r="I638" i="8" s="1"/>
  <c r="J638" i="8" s="1"/>
  <c r="F552" i="8"/>
  <c r="I552" i="8" s="1"/>
  <c r="J552" i="8" s="1"/>
  <c r="F468" i="8"/>
  <c r="I468" i="8" s="1"/>
  <c r="J468" i="8" s="1"/>
  <c r="F382" i="8"/>
  <c r="I382" i="8" s="1"/>
  <c r="J382" i="8" s="1"/>
  <c r="F296" i="8"/>
  <c r="I296" i="8" s="1"/>
  <c r="J296" i="8" s="1"/>
  <c r="F206" i="8"/>
  <c r="I206" i="8" s="1"/>
  <c r="J206" i="8" s="1"/>
  <c r="F166" i="8"/>
  <c r="I166" i="8" s="1"/>
  <c r="J166" i="8" s="1"/>
  <c r="F32" i="8"/>
  <c r="I32" i="8" s="1"/>
  <c r="J32" i="8" s="1"/>
  <c r="F625" i="8"/>
  <c r="I625" i="8" s="1"/>
  <c r="J625" i="8" s="1"/>
  <c r="F541" i="8"/>
  <c r="I541" i="8" s="1"/>
  <c r="J541" i="8" s="1"/>
  <c r="F493" i="8"/>
  <c r="I493" i="8" s="1"/>
  <c r="J493" i="8" s="1"/>
  <c r="F409" i="8"/>
  <c r="I409" i="8" s="1"/>
  <c r="J409" i="8" s="1"/>
  <c r="F325" i="8"/>
  <c r="I325" i="8" s="1"/>
  <c r="J325" i="8" s="1"/>
  <c r="F277" i="8"/>
  <c r="I277" i="8" s="1"/>
  <c r="J277" i="8" s="1"/>
  <c r="F217" i="8"/>
  <c r="I217" i="8" s="1"/>
  <c r="J217" i="8" s="1"/>
  <c r="F169" i="8"/>
  <c r="I169" i="8" s="1"/>
  <c r="J169" i="8" s="1"/>
  <c r="F13" i="8"/>
  <c r="I13" i="8" s="1"/>
  <c r="J13" i="8" s="1"/>
  <c r="F637" i="8"/>
  <c r="I637" i="8" s="1"/>
  <c r="J637" i="8" s="1"/>
  <c r="F551" i="8"/>
  <c r="I551" i="8" s="1"/>
  <c r="J551" i="8" s="1"/>
  <c r="F421" i="8"/>
  <c r="I421" i="8" s="1"/>
  <c r="J421" i="8" s="1"/>
  <c r="F295" i="8"/>
  <c r="I295" i="8" s="1"/>
  <c r="J295" i="8" s="1"/>
  <c r="F73" i="8"/>
  <c r="I73" i="8" s="1"/>
  <c r="J73" i="8" s="1"/>
  <c r="F624" i="8"/>
  <c r="I624" i="8" s="1"/>
  <c r="J624" i="8" s="1"/>
  <c r="F540" i="8"/>
  <c r="I540" i="8" s="1"/>
  <c r="J540" i="8" s="1"/>
  <c r="F432" i="8"/>
  <c r="I432" i="8" s="1"/>
  <c r="J432" i="8" s="1"/>
  <c r="F408" i="8"/>
  <c r="I408" i="8" s="1"/>
  <c r="J408" i="8" s="1"/>
  <c r="F324" i="8"/>
  <c r="I324" i="8" s="1"/>
  <c r="J324" i="8" s="1"/>
  <c r="F216" i="8"/>
  <c r="I216" i="8" s="1"/>
  <c r="J216" i="8" s="1"/>
  <c r="F168" i="8"/>
  <c r="I168" i="8" s="1"/>
  <c r="J168" i="8" s="1"/>
  <c r="F60" i="8"/>
  <c r="I60" i="8" s="1"/>
  <c r="J60" i="8" s="1"/>
  <c r="F36" i="8"/>
  <c r="I36" i="8" s="1"/>
  <c r="J36" i="8" s="1"/>
  <c r="F596" i="8"/>
  <c r="I596" i="8" s="1"/>
  <c r="J596" i="8" s="1"/>
  <c r="F72" i="8"/>
  <c r="I72" i="8" s="1"/>
  <c r="J72" i="8" s="1"/>
  <c r="F674" i="8"/>
  <c r="I674" i="8" s="1"/>
  <c r="J674" i="8" s="1"/>
  <c r="F634" i="8"/>
  <c r="I634" i="8" s="1"/>
  <c r="J634" i="8" s="1"/>
  <c r="F588" i="8"/>
  <c r="I588" i="8" s="1"/>
  <c r="J588" i="8" s="1"/>
  <c r="F548" i="8"/>
  <c r="I548" i="8" s="1"/>
  <c r="J548" i="8" s="1"/>
  <c r="F504" i="8"/>
  <c r="I504" i="8" s="1"/>
  <c r="J504" i="8" s="1"/>
  <c r="F458" i="8"/>
  <c r="I458" i="8" s="1"/>
  <c r="J458" i="8" s="1"/>
  <c r="F418" i="8"/>
  <c r="I418" i="8" s="1"/>
  <c r="J418" i="8" s="1"/>
  <c r="F372" i="8"/>
  <c r="I372" i="8" s="1"/>
  <c r="J372" i="8" s="1"/>
  <c r="F332" i="8"/>
  <c r="I332" i="8" s="1"/>
  <c r="J332" i="8" s="1"/>
  <c r="F288" i="8"/>
  <c r="I288" i="8" s="1"/>
  <c r="J288" i="8" s="1"/>
  <c r="F242" i="8"/>
  <c r="I242" i="8" s="1"/>
  <c r="J242" i="8" s="1"/>
  <c r="F202" i="8"/>
  <c r="I202" i="8" s="1"/>
  <c r="J202" i="8" s="1"/>
  <c r="F156" i="8"/>
  <c r="I156" i="8" s="1"/>
  <c r="J156" i="8" s="1"/>
  <c r="F116" i="8"/>
  <c r="I116" i="8" s="1"/>
  <c r="J116" i="8" s="1"/>
  <c r="F70" i="8"/>
  <c r="I70" i="8" s="1"/>
  <c r="J70" i="8" s="1"/>
  <c r="F21" i="8"/>
  <c r="I21" i="8" s="1"/>
  <c r="J21" i="8" s="1"/>
  <c r="F590" i="8"/>
  <c r="I590" i="8" s="1"/>
  <c r="J590" i="8" s="1"/>
  <c r="F482" i="8"/>
  <c r="I482" i="8" s="1"/>
  <c r="J482" i="8" s="1"/>
  <c r="F374" i="8"/>
  <c r="I374" i="8" s="1"/>
  <c r="J374" i="8" s="1"/>
  <c r="F230" i="8"/>
  <c r="I230" i="8" s="1"/>
  <c r="J230" i="8" s="1"/>
  <c r="F2" i="8"/>
  <c r="I2" i="8" s="1"/>
  <c r="J2" i="8" s="1"/>
  <c r="F7" i="8"/>
  <c r="I7" i="8" s="1"/>
  <c r="J7" i="8" s="1"/>
  <c r="F55" i="8"/>
  <c r="I55" i="8" s="1"/>
  <c r="J55" i="8" s="1"/>
  <c r="F79" i="8"/>
  <c r="I79" i="8" s="1"/>
  <c r="J79" i="8" s="1"/>
  <c r="F91" i="8"/>
  <c r="I91" i="8" s="1"/>
  <c r="J91" i="8" s="1"/>
  <c r="F19" i="8"/>
  <c r="I19" i="8" s="1"/>
  <c r="J19" i="8" s="1"/>
  <c r="F31" i="8"/>
  <c r="I31" i="8" s="1"/>
  <c r="J31" i="8" s="1"/>
  <c r="F43" i="8"/>
  <c r="I43" i="8" s="1"/>
  <c r="J43" i="8" s="1"/>
  <c r="F8" i="8"/>
  <c r="I8" i="8" s="1"/>
  <c r="J8" i="8" s="1"/>
  <c r="F68" i="8"/>
  <c r="I68" i="8" s="1"/>
  <c r="J68" i="8" s="1"/>
  <c r="F106" i="8"/>
  <c r="I106" i="8" s="1"/>
  <c r="J106" i="8" s="1"/>
  <c r="F142" i="8"/>
  <c r="I142" i="8" s="1"/>
  <c r="J142" i="8" s="1"/>
  <c r="F178" i="8"/>
  <c r="I178" i="8" s="1"/>
  <c r="J178" i="8" s="1"/>
  <c r="F214" i="8"/>
  <c r="I214" i="8" s="1"/>
  <c r="J214" i="8" s="1"/>
  <c r="F250" i="8"/>
  <c r="I250" i="8" s="1"/>
  <c r="J250" i="8" s="1"/>
  <c r="F286" i="8"/>
  <c r="I286" i="8" s="1"/>
  <c r="J286" i="8" s="1"/>
  <c r="F322" i="8"/>
  <c r="I322" i="8" s="1"/>
  <c r="J322" i="8" s="1"/>
  <c r="F358" i="8"/>
  <c r="I358" i="8" s="1"/>
  <c r="J358" i="8" s="1"/>
  <c r="F394" i="8"/>
  <c r="I394" i="8" s="1"/>
  <c r="J394" i="8" s="1"/>
  <c r="F430" i="8"/>
  <c r="I430" i="8" s="1"/>
  <c r="J430" i="8" s="1"/>
  <c r="F466" i="8"/>
  <c r="I466" i="8" s="1"/>
  <c r="J466" i="8" s="1"/>
  <c r="F502" i="8"/>
  <c r="I502" i="8" s="1"/>
  <c r="J502" i="8" s="1"/>
  <c r="F538" i="8"/>
  <c r="I538" i="8" s="1"/>
  <c r="J538" i="8" s="1"/>
  <c r="F574" i="8"/>
  <c r="I574" i="8" s="1"/>
  <c r="J574" i="8" s="1"/>
  <c r="F610" i="8"/>
  <c r="I610" i="8" s="1"/>
  <c r="J610" i="8" s="1"/>
  <c r="F646" i="8"/>
  <c r="I646" i="8" s="1"/>
  <c r="J646" i="8" s="1"/>
  <c r="F682" i="8"/>
  <c r="I682" i="8" s="1"/>
  <c r="J682" i="8" s="1"/>
  <c r="F9" i="8"/>
  <c r="I9" i="8" s="1"/>
  <c r="J9" i="8" s="1"/>
  <c r="F69" i="8"/>
  <c r="I69" i="8" s="1"/>
  <c r="J69" i="8" s="1"/>
  <c r="F127" i="8"/>
  <c r="I127" i="8" s="1"/>
  <c r="J127" i="8" s="1"/>
  <c r="F163" i="8"/>
  <c r="I163" i="8" s="1"/>
  <c r="J163" i="8" s="1"/>
  <c r="F199" i="8"/>
  <c r="I199" i="8" s="1"/>
  <c r="J199" i="8" s="1"/>
  <c r="F235" i="8"/>
  <c r="I235" i="8" s="1"/>
  <c r="J235" i="8" s="1"/>
  <c r="F271" i="8"/>
  <c r="I271" i="8" s="1"/>
  <c r="J271" i="8" s="1"/>
  <c r="F307" i="8"/>
  <c r="I307" i="8" s="1"/>
  <c r="J307" i="8" s="1"/>
  <c r="F343" i="8"/>
  <c r="I343" i="8" s="1"/>
  <c r="J343" i="8" s="1"/>
  <c r="F379" i="8"/>
  <c r="I379" i="8" s="1"/>
  <c r="J379" i="8" s="1"/>
  <c r="F415" i="8"/>
  <c r="I415" i="8" s="1"/>
  <c r="J415" i="8" s="1"/>
  <c r="F451" i="8"/>
  <c r="I451" i="8" s="1"/>
  <c r="J451" i="8" s="1"/>
  <c r="F487" i="8"/>
  <c r="I487" i="8" s="1"/>
  <c r="J487" i="8" s="1"/>
  <c r="F523" i="8"/>
  <c r="I523" i="8" s="1"/>
  <c r="J523" i="8" s="1"/>
  <c r="F559" i="8"/>
  <c r="I559" i="8" s="1"/>
  <c r="J559" i="8" s="1"/>
  <c r="F595" i="8"/>
  <c r="I595" i="8" s="1"/>
  <c r="J595" i="8" s="1"/>
  <c r="F631" i="8"/>
  <c r="I631" i="8" s="1"/>
  <c r="J631" i="8" s="1"/>
  <c r="F667" i="8"/>
  <c r="I667" i="8" s="1"/>
  <c r="J667" i="8" s="1"/>
  <c r="F25" i="8"/>
  <c r="I25" i="8" s="1"/>
  <c r="J25" i="8" s="1"/>
  <c r="F693" i="8"/>
  <c r="I693" i="8" s="1"/>
  <c r="J693" i="8" s="1"/>
  <c r="F671" i="8"/>
  <c r="I671" i="8" s="1"/>
  <c r="J671" i="8" s="1"/>
  <c r="F607" i="8"/>
  <c r="I607" i="8" s="1"/>
  <c r="J607" i="8" s="1"/>
  <c r="F585" i="8"/>
  <c r="I585" i="8" s="1"/>
  <c r="J585" i="8" s="1"/>
  <c r="F563" i="8"/>
  <c r="I563" i="8" s="1"/>
  <c r="J563" i="8" s="1"/>
  <c r="F499" i="8"/>
  <c r="I499" i="8" s="1"/>
  <c r="J499" i="8" s="1"/>
  <c r="F477" i="8"/>
  <c r="I477" i="8" s="1"/>
  <c r="J477" i="8" s="1"/>
  <c r="F455" i="8"/>
  <c r="I455" i="8" s="1"/>
  <c r="J455" i="8" s="1"/>
  <c r="F391" i="8"/>
  <c r="I391" i="8" s="1"/>
  <c r="J391" i="8" s="1"/>
  <c r="F369" i="8"/>
  <c r="I369" i="8" s="1"/>
  <c r="J369" i="8" s="1"/>
  <c r="F347" i="8"/>
  <c r="I347" i="8" s="1"/>
  <c r="J347" i="8" s="1"/>
  <c r="F283" i="8"/>
  <c r="I283" i="8" s="1"/>
  <c r="J283" i="8" s="1"/>
  <c r="F261" i="8"/>
  <c r="I261" i="8" s="1"/>
  <c r="J261" i="8" s="1"/>
  <c r="F239" i="8"/>
  <c r="I239" i="8" s="1"/>
  <c r="J239" i="8" s="1"/>
  <c r="F175" i="8"/>
  <c r="I175" i="8" s="1"/>
  <c r="J175" i="8" s="1"/>
  <c r="F153" i="8"/>
  <c r="I153" i="8" s="1"/>
  <c r="J153" i="8" s="1"/>
  <c r="F131" i="8"/>
  <c r="I131" i="8" s="1"/>
  <c r="J131" i="8" s="1"/>
  <c r="F84" i="8"/>
  <c r="I84" i="8" s="1"/>
  <c r="J84" i="8" s="1"/>
  <c r="F48" i="8"/>
  <c r="I48" i="8" s="1"/>
  <c r="J48" i="8" s="1"/>
  <c r="F692" i="8"/>
  <c r="I692" i="8" s="1"/>
  <c r="J692" i="8" s="1"/>
  <c r="F670" i="8"/>
  <c r="I670" i="8" s="1"/>
  <c r="J670" i="8" s="1"/>
  <c r="F584" i="8"/>
  <c r="I584" i="8" s="1"/>
  <c r="J584" i="8" s="1"/>
  <c r="F562" i="8"/>
  <c r="I562" i="8" s="1"/>
  <c r="J562" i="8" s="1"/>
  <c r="F476" i="8"/>
  <c r="I476" i="8" s="1"/>
  <c r="J476" i="8" s="1"/>
  <c r="F454" i="8"/>
  <c r="I454" i="8" s="1"/>
  <c r="J454" i="8" s="1"/>
  <c r="F368" i="8"/>
  <c r="I368" i="8" s="1"/>
  <c r="J368" i="8" s="1"/>
  <c r="F346" i="8"/>
  <c r="I346" i="8" s="1"/>
  <c r="J346" i="8" s="1"/>
  <c r="F260" i="8"/>
  <c r="I260" i="8" s="1"/>
  <c r="J260" i="8" s="1"/>
  <c r="F238" i="8"/>
  <c r="I238" i="8" s="1"/>
  <c r="J238" i="8" s="1"/>
  <c r="F152" i="8"/>
  <c r="I152" i="8" s="1"/>
  <c r="J152" i="8" s="1"/>
  <c r="F130" i="8"/>
  <c r="I130" i="8" s="1"/>
  <c r="J130" i="8" s="1"/>
  <c r="F83" i="8"/>
  <c r="I83" i="8" s="1"/>
  <c r="J83" i="8" s="1"/>
  <c r="F626" i="8"/>
  <c r="I626" i="8" s="1"/>
  <c r="J626" i="8" s="1"/>
  <c r="F518" i="8"/>
  <c r="I518" i="8" s="1"/>
  <c r="J518" i="8" s="1"/>
  <c r="F410" i="8"/>
  <c r="I410" i="8" s="1"/>
  <c r="J410" i="8" s="1"/>
  <c r="F302" i="8"/>
  <c r="I302" i="8" s="1"/>
  <c r="J302" i="8" s="1"/>
  <c r="F266" i="8"/>
  <c r="I266" i="8" s="1"/>
  <c r="J266" i="8" s="1"/>
  <c r="F158" i="8"/>
  <c r="I158" i="8" s="1"/>
  <c r="J158" i="8" s="1"/>
  <c r="F86" i="8"/>
  <c r="I86" i="8" s="1"/>
  <c r="J86" i="8" s="1"/>
  <c r="F85" i="8"/>
  <c r="I85" i="8" s="1"/>
  <c r="J85" i="8" s="1"/>
  <c r="F683" i="8"/>
  <c r="I683" i="8" s="1"/>
  <c r="J683" i="8" s="1"/>
  <c r="F647" i="8"/>
  <c r="I647" i="8" s="1"/>
  <c r="J647" i="8" s="1"/>
  <c r="F611" i="8"/>
  <c r="I611" i="8" s="1"/>
  <c r="J611" i="8" s="1"/>
  <c r="F575" i="8"/>
  <c r="I575" i="8" s="1"/>
  <c r="J575" i="8" s="1"/>
  <c r="F539" i="8"/>
  <c r="I539" i="8" s="1"/>
  <c r="J539" i="8" s="1"/>
  <c r="F503" i="8"/>
  <c r="I503" i="8" s="1"/>
  <c r="J503" i="8" s="1"/>
  <c r="F467" i="8"/>
  <c r="I467" i="8" s="1"/>
  <c r="J467" i="8" s="1"/>
  <c r="F431" i="8"/>
  <c r="I431" i="8" s="1"/>
  <c r="J431" i="8" s="1"/>
  <c r="F395" i="8"/>
  <c r="I395" i="8" s="1"/>
  <c r="J395" i="8" s="1"/>
  <c r="F359" i="8"/>
  <c r="I359" i="8" s="1"/>
  <c r="J359" i="8" s="1"/>
  <c r="F323" i="8"/>
  <c r="I323" i="8" s="1"/>
  <c r="J323" i="8" s="1"/>
  <c r="F287" i="8"/>
  <c r="I287" i="8" s="1"/>
  <c r="J287" i="8" s="1"/>
  <c r="F251" i="8"/>
  <c r="I251" i="8" s="1"/>
  <c r="J251" i="8" s="1"/>
  <c r="F215" i="8"/>
  <c r="I215" i="8" s="1"/>
  <c r="J215" i="8" s="1"/>
  <c r="F179" i="8"/>
  <c r="I179" i="8" s="1"/>
  <c r="J179" i="8" s="1"/>
  <c r="F143" i="8"/>
  <c r="I143" i="8" s="1"/>
  <c r="J143" i="8" s="1"/>
  <c r="F107" i="8"/>
  <c r="I107" i="8" s="1"/>
  <c r="J107" i="8" s="1"/>
  <c r="F47" i="8"/>
  <c r="I47" i="8" s="1"/>
  <c r="J47" i="8" s="1"/>
  <c r="F691" i="8"/>
  <c r="I691" i="8" s="1"/>
  <c r="J691" i="8" s="1"/>
  <c r="F669" i="8"/>
  <c r="I669" i="8" s="1"/>
  <c r="J669" i="8" s="1"/>
  <c r="F645" i="8"/>
  <c r="I645" i="8" s="1"/>
  <c r="J645" i="8" s="1"/>
  <c r="F583" i="8"/>
  <c r="I583" i="8" s="1"/>
  <c r="J583" i="8" s="1"/>
  <c r="F561" i="8"/>
  <c r="I561" i="8" s="1"/>
  <c r="J561" i="8" s="1"/>
  <c r="F537" i="8"/>
  <c r="I537" i="8" s="1"/>
  <c r="J537" i="8" s="1"/>
  <c r="F475" i="8"/>
  <c r="I475" i="8" s="1"/>
  <c r="J475" i="8" s="1"/>
  <c r="F453" i="8"/>
  <c r="I453" i="8" s="1"/>
  <c r="J453" i="8" s="1"/>
  <c r="F429" i="8"/>
  <c r="I429" i="8" s="1"/>
  <c r="J429" i="8" s="1"/>
  <c r="F367" i="8"/>
  <c r="I367" i="8" s="1"/>
  <c r="J367" i="8" s="1"/>
  <c r="F345" i="8"/>
  <c r="I345" i="8" s="1"/>
  <c r="J345" i="8" s="1"/>
  <c r="F321" i="8"/>
  <c r="I321" i="8" s="1"/>
  <c r="J321" i="8" s="1"/>
  <c r="F259" i="8"/>
  <c r="I259" i="8" s="1"/>
  <c r="J259" i="8" s="1"/>
  <c r="F237" i="8"/>
  <c r="I237" i="8" s="1"/>
  <c r="J237" i="8" s="1"/>
  <c r="F213" i="8"/>
  <c r="I213" i="8" s="1"/>
  <c r="J213" i="8" s="1"/>
  <c r="F151" i="8"/>
  <c r="I151" i="8" s="1"/>
  <c r="J151" i="8" s="1"/>
  <c r="F129" i="8"/>
  <c r="I129" i="8" s="1"/>
  <c r="J129" i="8" s="1"/>
  <c r="F105" i="8"/>
  <c r="I105" i="8" s="1"/>
  <c r="J105" i="8" s="1"/>
  <c r="F82" i="8"/>
  <c r="I82" i="8" s="1"/>
  <c r="J82" i="8" s="1"/>
  <c r="F662" i="8"/>
  <c r="I662" i="8" s="1"/>
  <c r="J662" i="8" s="1"/>
  <c r="F554" i="8"/>
  <c r="I554" i="8" s="1"/>
  <c r="J554" i="8" s="1"/>
  <c r="F446" i="8"/>
  <c r="I446" i="8" s="1"/>
  <c r="J446" i="8" s="1"/>
  <c r="F338" i="8"/>
  <c r="I338" i="8" s="1"/>
  <c r="J338" i="8" s="1"/>
  <c r="F194" i="8"/>
  <c r="I194" i="8" s="1"/>
  <c r="J194" i="8" s="1"/>
  <c r="F122" i="8"/>
  <c r="I122" i="8" s="1"/>
  <c r="J122" i="8" s="1"/>
  <c r="F26" i="8"/>
  <c r="I26" i="8" s="1"/>
  <c r="J26" i="8" s="1"/>
  <c r="F61" i="8"/>
  <c r="I61" i="8" s="1"/>
  <c r="J61" i="8" s="1"/>
  <c r="F668" i="8"/>
  <c r="I668" i="8" s="1"/>
  <c r="J668" i="8" s="1"/>
  <c r="F644" i="8"/>
  <c r="I644" i="8" s="1"/>
  <c r="J644" i="8" s="1"/>
  <c r="F622" i="8"/>
  <c r="I622" i="8" s="1"/>
  <c r="J622" i="8" s="1"/>
  <c r="F560" i="8"/>
  <c r="I560" i="8" s="1"/>
  <c r="J560" i="8" s="1"/>
  <c r="F536" i="8"/>
  <c r="I536" i="8" s="1"/>
  <c r="J536" i="8" s="1"/>
  <c r="F514" i="8"/>
  <c r="I514" i="8" s="1"/>
  <c r="J514" i="8" s="1"/>
  <c r="F452" i="8"/>
  <c r="I452" i="8" s="1"/>
  <c r="J452" i="8" s="1"/>
  <c r="F428" i="8"/>
  <c r="I428" i="8" s="1"/>
  <c r="J428" i="8" s="1"/>
  <c r="F406" i="8"/>
  <c r="I406" i="8" s="1"/>
  <c r="J406" i="8" s="1"/>
  <c r="F344" i="8"/>
  <c r="I344" i="8" s="1"/>
  <c r="J344" i="8" s="1"/>
  <c r="F320" i="8"/>
  <c r="I320" i="8" s="1"/>
  <c r="J320" i="8" s="1"/>
  <c r="F298" i="8"/>
  <c r="I298" i="8" s="1"/>
  <c r="J298" i="8" s="1"/>
  <c r="F236" i="8"/>
  <c r="I236" i="8" s="1"/>
  <c r="J236" i="8" s="1"/>
  <c r="F212" i="8"/>
  <c r="I212" i="8" s="1"/>
  <c r="J212" i="8" s="1"/>
  <c r="F190" i="8"/>
  <c r="I190" i="8" s="1"/>
  <c r="J190" i="8" s="1"/>
  <c r="F128" i="8"/>
  <c r="I128" i="8" s="1"/>
  <c r="J128" i="8" s="1"/>
  <c r="F104" i="8"/>
  <c r="I104" i="8" s="1"/>
  <c r="J104" i="8" s="1"/>
  <c r="F81" i="8"/>
  <c r="I81" i="8" s="1"/>
  <c r="J81" i="8" s="1"/>
  <c r="F58" i="8"/>
  <c r="I58" i="8" s="1"/>
  <c r="J58" i="8" s="1"/>
  <c r="F34" i="8"/>
  <c r="I34" i="8" s="1"/>
  <c r="J34" i="8" s="1"/>
  <c r="F10" i="8"/>
  <c r="I10" i="8" s="1"/>
  <c r="J10" i="8" s="1"/>
  <c r="F558" i="8"/>
  <c r="I558" i="8" s="1"/>
  <c r="J558" i="8" s="1"/>
  <c r="F546" i="8"/>
  <c r="I546" i="8" s="1"/>
  <c r="J546" i="8" s="1"/>
  <c r="F534" i="8"/>
  <c r="I534" i="8" s="1"/>
  <c r="J534" i="8" s="1"/>
  <c r="F522" i="8"/>
  <c r="I522" i="8" s="1"/>
  <c r="J522" i="8" s="1"/>
  <c r="F510" i="8"/>
  <c r="I510" i="8" s="1"/>
  <c r="J510" i="8" s="1"/>
  <c r="F498" i="8"/>
  <c r="I498" i="8" s="1"/>
  <c r="J498" i="8" s="1"/>
  <c r="F486" i="8"/>
  <c r="I486" i="8" s="1"/>
  <c r="J486" i="8" s="1"/>
  <c r="F474" i="8"/>
  <c r="I474" i="8" s="1"/>
  <c r="J474" i="8" s="1"/>
  <c r="F462" i="8"/>
  <c r="I462" i="8" s="1"/>
  <c r="J462" i="8" s="1"/>
  <c r="F450" i="8"/>
  <c r="I450" i="8" s="1"/>
  <c r="J450" i="8" s="1"/>
  <c r="F438" i="8"/>
  <c r="I438" i="8" s="1"/>
  <c r="J438" i="8" s="1"/>
  <c r="F426" i="8"/>
  <c r="I426" i="8" s="1"/>
  <c r="J426" i="8" s="1"/>
  <c r="F414" i="8"/>
  <c r="I414" i="8" s="1"/>
  <c r="J414" i="8" s="1"/>
  <c r="F402" i="8"/>
  <c r="I402" i="8" s="1"/>
  <c r="J402" i="8" s="1"/>
  <c r="F390" i="8"/>
  <c r="I390" i="8" s="1"/>
  <c r="J390" i="8" s="1"/>
  <c r="F378" i="8"/>
  <c r="I378" i="8" s="1"/>
  <c r="J378" i="8" s="1"/>
  <c r="F366" i="8"/>
  <c r="I366" i="8" s="1"/>
  <c r="J366" i="8" s="1"/>
  <c r="F354" i="8"/>
  <c r="I354" i="8" s="1"/>
  <c r="J354" i="8" s="1"/>
  <c r="F342" i="8"/>
  <c r="I342" i="8" s="1"/>
  <c r="J342" i="8" s="1"/>
  <c r="F330" i="8"/>
  <c r="I330" i="8" s="1"/>
  <c r="J330" i="8" s="1"/>
  <c r="F318" i="8"/>
  <c r="I318" i="8" s="1"/>
  <c r="J318" i="8" s="1"/>
  <c r="F306" i="8"/>
  <c r="I306" i="8" s="1"/>
  <c r="J306" i="8" s="1"/>
  <c r="F294" i="8"/>
  <c r="I294" i="8" s="1"/>
  <c r="J294" i="8" s="1"/>
  <c r="F282" i="8"/>
  <c r="I282" i="8" s="1"/>
  <c r="J282" i="8" s="1"/>
  <c r="F270" i="8"/>
  <c r="I270" i="8" s="1"/>
  <c r="J270" i="8" s="1"/>
  <c r="F258" i="8"/>
  <c r="I258" i="8" s="1"/>
  <c r="J258" i="8" s="1"/>
  <c r="F246" i="8"/>
  <c r="I246" i="8" s="1"/>
  <c r="J246" i="8" s="1"/>
  <c r="F234" i="8"/>
  <c r="I234" i="8" s="1"/>
  <c r="J234" i="8" s="1"/>
  <c r="F222" i="8"/>
  <c r="I222" i="8" s="1"/>
  <c r="J222" i="8" s="1"/>
  <c r="F210" i="8"/>
  <c r="I210" i="8" s="1"/>
  <c r="J210" i="8" s="1"/>
  <c r="F198" i="8"/>
  <c r="I198" i="8" s="1"/>
  <c r="J198" i="8" s="1"/>
  <c r="F186" i="8"/>
  <c r="I186" i="8" s="1"/>
  <c r="J186" i="8" s="1"/>
  <c r="F174" i="8"/>
  <c r="I174" i="8" s="1"/>
  <c r="J174" i="8" s="1"/>
  <c r="F162" i="8"/>
  <c r="I162" i="8" s="1"/>
  <c r="J162" i="8" s="1"/>
  <c r="F150" i="8"/>
  <c r="I150" i="8" s="1"/>
  <c r="J150" i="8" s="1"/>
  <c r="F138" i="8"/>
  <c r="I138" i="8" s="1"/>
  <c r="J138" i="8" s="1"/>
  <c r="F126" i="8"/>
  <c r="I126" i="8" s="1"/>
  <c r="J126" i="8" s="1"/>
  <c r="F114" i="8"/>
  <c r="I114" i="8" s="1"/>
  <c r="J114" i="8" s="1"/>
  <c r="F102" i="8"/>
  <c r="I102" i="8" s="1"/>
  <c r="J102" i="8" s="1"/>
  <c r="F90" i="8"/>
  <c r="I90" i="8" s="1"/>
  <c r="J90" i="8" s="1"/>
  <c r="F78" i="8"/>
  <c r="I78" i="8" s="1"/>
  <c r="J78" i="8" s="1"/>
  <c r="F66" i="8"/>
  <c r="I66" i="8" s="1"/>
  <c r="J66" i="8" s="1"/>
  <c r="F54" i="8"/>
  <c r="I54" i="8" s="1"/>
  <c r="J54" i="8" s="1"/>
  <c r="F42" i="8"/>
  <c r="I42" i="8" s="1"/>
  <c r="J42" i="8" s="1"/>
  <c r="F30" i="8"/>
  <c r="I30" i="8" s="1"/>
  <c r="J30" i="8" s="1"/>
  <c r="F18" i="8"/>
  <c r="I18" i="8" s="1"/>
  <c r="J18" i="8" s="1"/>
  <c r="F6" i="8"/>
  <c r="I6" i="8" s="1"/>
  <c r="J6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<sst xmlns="http://schemas.openxmlformats.org/spreadsheetml/2006/main" count="30263" uniqueCount="3729">
  <si>
    <t>TransactionID</t>
  </si>
  <si>
    <t>TransactionDate</t>
  </si>
  <si>
    <t>CustomerID</t>
  </si>
  <si>
    <t>CustomerName</t>
  </si>
  <si>
    <t>Gender</t>
  </si>
  <si>
    <t>Age</t>
  </si>
  <si>
    <t>City</t>
  </si>
  <si>
    <t>State</t>
  </si>
  <si>
    <t>ProductName</t>
  </si>
  <si>
    <t>Category</t>
  </si>
  <si>
    <t>SubCategory</t>
  </si>
  <si>
    <t>Quantity</t>
  </si>
  <si>
    <t>Price</t>
  </si>
  <si>
    <t>PaymentMode</t>
  </si>
  <si>
    <t>OrderStatus</t>
  </si>
  <si>
    <t>TXN100000</t>
  </si>
  <si>
    <t>TXN100001</t>
  </si>
  <si>
    <t>TXN100002</t>
  </si>
  <si>
    <t>TXN100003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</si>
  <si>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</si>
  <si>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</si>
  <si>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</si>
  <si>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</si>
  <si>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</si>
  <si>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</si>
  <si>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</si>
  <si>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</si>
  <si>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</si>
  <si>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</si>
  <si>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</si>
  <si>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</si>
  <si>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</si>
  <si>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</si>
  <si>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</si>
  <si>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</si>
  <si>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</si>
  <si>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</si>
  <si>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</si>
  <si>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</si>
  <si>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</si>
  <si>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</si>
  <si>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</si>
  <si>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</si>
  <si>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</si>
  <si>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</si>
  <si>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</si>
  <si>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</si>
  <si>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</si>
  <si>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</si>
  <si>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</si>
  <si>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</si>
  <si>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</si>
  <si>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</si>
  <si>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</si>
  <si>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</si>
  <si>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</si>
  <si>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</si>
  <si>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</si>
  <si>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</si>
  <si>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</si>
  <si>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</si>
  <si>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</si>
  <si>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</si>
  <si>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</si>
  <si>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</si>
  <si>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</si>
  <si>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</si>
  <si>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</si>
  <si>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</si>
  <si>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</si>
  <si>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</si>
  <si>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</si>
  <si>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</si>
  <si>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</si>
  <si>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</si>
  <si>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</si>
  <si>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</si>
  <si>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</si>
  <si>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</si>
  <si>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</si>
  <si>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</si>
  <si>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</si>
  <si>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</si>
  <si>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</si>
  <si>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</si>
  <si>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</si>
  <si>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</si>
  <si>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</si>
  <si>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</si>
  <si>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</si>
  <si>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</si>
  <si>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</si>
  <si>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</si>
  <si>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</si>
  <si>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</si>
  <si>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</si>
  <si>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</si>
  <si>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</si>
  <si>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</si>
  <si>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</si>
  <si>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</si>
  <si>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</si>
  <si>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</si>
  <si>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</si>
  <si>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</si>
  <si>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</si>
  <si>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</si>
  <si>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</si>
  <si>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</si>
  <si>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</si>
  <si>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</si>
  <si>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</si>
  <si>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</si>
  <si>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</si>
  <si>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</si>
  <si>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</si>
  <si>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</si>
  <si>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</si>
  <si>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</si>
  <si>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</si>
  <si>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</si>
  <si>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</si>
  <si>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</si>
  <si>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</si>
  <si>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</si>
  <si>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</si>
  <si>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</si>
  <si>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</si>
  <si>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</si>
  <si>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</si>
  <si>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</si>
  <si>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</si>
  <si>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</si>
  <si>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</si>
  <si>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</si>
  <si>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</si>
  <si>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</si>
  <si>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</si>
  <si>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</si>
  <si>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</si>
  <si>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</si>
  <si>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</si>
  <si>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</si>
  <si>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</si>
  <si>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</si>
  <si>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</si>
  <si>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</si>
  <si>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</si>
  <si>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</si>
  <si>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</si>
  <si>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</si>
  <si>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</si>
  <si>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</si>
  <si>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</si>
  <si>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</si>
  <si>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</si>
  <si>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</si>
  <si>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</si>
  <si>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</si>
  <si>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</si>
  <si>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</si>
  <si>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</si>
  <si>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</si>
  <si>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</si>
  <si>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</si>
  <si>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</si>
  <si>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</si>
  <si>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</si>
  <si>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</si>
  <si>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</si>
  <si>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</si>
  <si>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</si>
  <si>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</si>
  <si>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</si>
  <si>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</si>
  <si>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</si>
  <si>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</si>
  <si>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</si>
  <si>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</si>
  <si>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</si>
  <si>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</si>
  <si>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</si>
  <si>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</si>
  <si>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</si>
  <si>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</si>
  <si>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</si>
  <si>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</si>
  <si>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</si>
  <si>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</si>
  <si>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</si>
  <si>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</si>
  <si>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</si>
  <si>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</si>
  <si>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</si>
  <si>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</si>
  <si>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</si>
  <si>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</si>
  <si>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</si>
  <si>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</si>
  <si>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</si>
  <si>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</si>
  <si>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</si>
  <si>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</si>
  <si>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</si>
  <si>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</si>
  <si>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</si>
  <si>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</si>
  <si>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</si>
  <si>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</si>
  <si>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</si>
  <si>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</si>
  <si>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</si>
  <si>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</si>
  <si>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</si>
  <si>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</si>
  <si>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</si>
  <si>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</si>
  <si>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</si>
  <si>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</si>
  <si>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</si>
  <si>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</si>
  <si>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</si>
  <si>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</si>
  <si>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</si>
  <si>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</si>
  <si>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</si>
  <si>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</si>
  <si>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</si>
  <si>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</si>
  <si>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</si>
  <si>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</si>
  <si>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</si>
  <si>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</si>
  <si>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</si>
  <si>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</si>
  <si>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</si>
  <si>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</si>
  <si>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</si>
  <si>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</si>
  <si>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</si>
  <si>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</si>
  <si>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</si>
  <si>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</si>
  <si>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</si>
  <si>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</si>
  <si>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</si>
  <si>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</si>
  <si>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</si>
  <si>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</si>
  <si>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</si>
  <si>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</si>
  <si>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</si>
  <si>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</si>
  <si>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</si>
  <si>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</si>
  <si>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</si>
  <si>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</si>
  <si>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</si>
  <si>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</si>
  <si>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</si>
  <si>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</si>
  <si>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</si>
  <si>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</si>
  <si>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</si>
  <si>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</si>
  <si>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</si>
  <si>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</si>
  <si>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</si>
  <si>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</si>
  <si>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</si>
  <si>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</si>
  <si>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</si>
  <si>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</si>
  <si>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</si>
  <si>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</si>
  <si>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</si>
  <si>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</si>
  <si>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</si>
  <si>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</si>
  <si>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</si>
  <si>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</si>
  <si>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</si>
  <si>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</si>
  <si>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</si>
  <si>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</si>
  <si>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</si>
  <si>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</si>
  <si>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</si>
  <si>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</si>
  <si>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</si>
  <si>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</si>
  <si>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</si>
  <si>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</si>
  <si>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</si>
  <si>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</si>
  <si>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</si>
  <si>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</si>
  <si>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</si>
  <si>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</si>
  <si>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</si>
  <si>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</si>
  <si>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</si>
  <si>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</si>
  <si>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</si>
  <si>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</si>
  <si>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</si>
  <si>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</si>
  <si>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</si>
  <si>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</si>
  <si>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</si>
  <si>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</si>
  <si>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</si>
  <si>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</si>
  <si>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</si>
  <si>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</si>
  <si>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</si>
  <si>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</si>
  <si>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</si>
  <si>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</si>
  <si>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</si>
  <si>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</si>
  <si>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</si>
  <si>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</si>
  <si>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</si>
  <si>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</si>
  <si>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</si>
  <si>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</si>
  <si>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</si>
  <si>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</si>
  <si>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</si>
  <si>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</si>
  <si>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</si>
  <si>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</si>
  <si>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</si>
  <si>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</si>
  <si>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</si>
  <si>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</si>
  <si>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</si>
  <si>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</si>
  <si>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</si>
  <si>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</si>
  <si>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</si>
  <si>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</si>
  <si>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</si>
  <si>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</si>
  <si>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</si>
  <si>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</si>
  <si>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</si>
  <si>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</si>
  <si>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</si>
  <si>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</si>
  <si>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</si>
  <si>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</si>
  <si>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</si>
  <si>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</si>
  <si>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</si>
  <si>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</si>
  <si>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</si>
  <si>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</si>
  <si>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</si>
  <si>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</si>
  <si>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</si>
  <si>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</si>
  <si>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</si>
  <si>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</si>
  <si>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</si>
  <si>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</si>
  <si>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</si>
  <si>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</si>
  <si>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</si>
  <si>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</si>
  <si>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</si>
  <si>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</si>
  <si>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</si>
  <si>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</si>
  <si>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</si>
  <si>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</si>
  <si>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</si>
  <si>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</si>
  <si>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</si>
  <si>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</si>
  <si>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</si>
  <si>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</si>
  <si>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</si>
  <si>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</si>
  <si>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</si>
  <si>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</si>
  <si>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</si>
  <si>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</si>
  <si>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</si>
  <si>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</si>
  <si>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</si>
  <si>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</si>
  <si>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</si>
  <si>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</si>
  <si>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</si>
  <si>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</si>
  <si>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</si>
  <si>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</si>
  <si>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</si>
  <si>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</si>
  <si>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</si>
  <si>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</si>
  <si>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</si>
  <si>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</si>
  <si>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</si>
  <si>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</si>
  <si>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</si>
  <si>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</si>
  <si>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</si>
  <si>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</si>
  <si>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</si>
  <si>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</si>
  <si>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</si>
  <si>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</si>
  <si>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</si>
  <si>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</si>
  <si>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</si>
  <si>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</si>
  <si>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</si>
  <si>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</si>
  <si>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</si>
  <si>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</si>
  <si>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</si>
  <si>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</si>
  <si>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</si>
  <si>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</si>
  <si>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</si>
  <si>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</si>
  <si>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</si>
  <si>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</si>
  <si>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</si>
  <si>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</si>
  <si>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</si>
  <si>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</si>
  <si>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</si>
  <si>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</si>
  <si>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</si>
  <si>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</si>
  <si>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</si>
  <si>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</si>
  <si>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</si>
  <si>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</si>
  <si>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</si>
  <si>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</si>
  <si>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</si>
  <si>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</si>
  <si>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</si>
  <si>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</si>
  <si>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</si>
  <si>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</si>
  <si>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</si>
  <si>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</si>
  <si>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</si>
  <si>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</si>
  <si>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</si>
  <si>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</si>
  <si>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</si>
  <si>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</si>
  <si>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</si>
  <si>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</si>
  <si>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</si>
  <si>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</si>
  <si>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</si>
  <si>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</si>
  <si>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</si>
  <si>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</si>
  <si>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</si>
  <si>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</si>
  <si>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</si>
  <si>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</si>
  <si>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</si>
  <si>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</si>
  <si>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</si>
  <si>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</si>
  <si>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</si>
  <si>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</si>
  <si>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</si>
  <si>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</si>
  <si>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</si>
  <si>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</si>
  <si>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</si>
  <si>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</si>
  <si>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</si>
  <si>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</si>
  <si>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</si>
  <si>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</si>
  <si>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</si>
  <si>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</si>
  <si>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</si>
  <si>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</si>
  <si>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</si>
  <si>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</si>
  <si>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</si>
  <si>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</si>
  <si>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</si>
  <si>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</si>
  <si>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</si>
  <si>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</si>
  <si>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</si>
  <si>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</si>
  <si>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</si>
  <si>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</si>
  <si>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</si>
  <si>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</si>
  <si>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</si>
  <si>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</si>
  <si>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</si>
  <si>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</si>
  <si>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</si>
  <si>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</si>
  <si>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</si>
  <si>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</si>
  <si>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</si>
  <si>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</si>
  <si>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</si>
  <si>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</si>
  <si>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</si>
  <si>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</si>
  <si>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</si>
  <si>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</si>
  <si>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</si>
  <si>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</si>
  <si>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</si>
  <si>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</si>
  <si>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</si>
  <si>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</si>
  <si>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</si>
  <si>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</si>
  <si>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</si>
  <si>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</si>
  <si>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</si>
  <si>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</si>
  <si>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</si>
  <si>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</si>
  <si>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</si>
  <si>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</si>
  <si>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</si>
  <si>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</si>
  <si>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</si>
  <si>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</si>
  <si>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</si>
  <si>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</si>
  <si>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</si>
  <si>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</si>
  <si>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</si>
  <si>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</si>
  <si>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</si>
  <si>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</si>
  <si>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</si>
  <si>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</si>
  <si>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</si>
  <si>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</si>
  <si>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</si>
  <si>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</si>
  <si>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</si>
  <si>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</si>
  <si>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</si>
  <si>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</si>
  <si>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</si>
  <si>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</si>
  <si>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</si>
  <si>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</si>
  <si>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</si>
  <si>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</si>
  <si>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</si>
  <si>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</si>
  <si>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</si>
  <si>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</si>
  <si>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</si>
  <si>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</si>
  <si>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</si>
  <si>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</si>
  <si>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</si>
  <si>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</si>
  <si>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</si>
  <si>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</si>
  <si>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</si>
  <si>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</si>
  <si>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</si>
  <si>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</si>
  <si>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</si>
  <si>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</si>
  <si>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</si>
  <si>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</si>
  <si>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</si>
  <si>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</si>
  <si>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</si>
  <si>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</si>
  <si>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</si>
  <si>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</si>
  <si>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</si>
  <si>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</si>
  <si>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</si>
  <si>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</si>
  <si>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</si>
  <si>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</si>
  <si>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</si>
  <si>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</si>
  <si>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</si>
  <si>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</si>
  <si>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</si>
  <si>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</si>
  <si>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</si>
  <si>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</si>
  <si>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</si>
  <si>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</si>
  <si>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</si>
  <si>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</si>
  <si>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</si>
  <si>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</si>
  <si>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</si>
  <si>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</si>
  <si>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</si>
  <si>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</si>
  <si>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</si>
  <si>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</si>
  <si>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</si>
  <si>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</si>
  <si>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</si>
  <si>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</si>
  <si>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</si>
  <si>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</si>
  <si>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</si>
  <si>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</si>
  <si>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</si>
  <si>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</si>
  <si>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</si>
  <si>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</si>
  <si>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</si>
  <si>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</si>
  <si>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</si>
  <si>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</si>
  <si>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</si>
  <si>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</si>
  <si>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</si>
  <si>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</si>
  <si>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</si>
  <si>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</si>
  <si>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</si>
  <si>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</si>
  <si>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</si>
  <si>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</si>
  <si>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</si>
  <si>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</si>
  <si>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</si>
  <si>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</si>
  <si>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</si>
  <si>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</si>
  <si>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</si>
  <si>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</si>
  <si>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</si>
  <si>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</si>
  <si>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</si>
  <si>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</si>
  <si>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</si>
  <si>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</si>
  <si>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</si>
  <si>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</si>
  <si>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</si>
  <si>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</si>
  <si>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</si>
  <si>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</si>
  <si>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</si>
  <si>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</si>
  <si>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</si>
  <si>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</si>
  <si>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</si>
  <si>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</si>
  <si>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</si>
  <si>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</si>
  <si>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</si>
  <si>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</si>
  <si>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</si>
  <si>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</si>
  <si>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</si>
  <si>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</si>
  <si>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</si>
  <si>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</si>
  <si>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</si>
  <si>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</si>
  <si>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</si>
  <si>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</si>
  <si>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</si>
  <si>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</si>
  <si>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</si>
  <si>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</si>
  <si>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</si>
  <si>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</si>
  <si>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</si>
  <si>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</si>
  <si>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</si>
  <si>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</si>
  <si>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</si>
  <si>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</si>
  <si>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</si>
  <si>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</si>
  <si>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</si>
  <si>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</si>
  <si>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</si>
  <si>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</si>
  <si>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</si>
  <si>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</si>
  <si>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</si>
  <si>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</si>
  <si>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</si>
  <si>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</si>
  <si>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</si>
  <si>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</si>
  <si>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</si>
  <si>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</si>
  <si>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</si>
  <si>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</si>
  <si>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</si>
  <si>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</si>
  <si>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</si>
  <si>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</si>
  <si>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</si>
  <si>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</si>
  <si>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</si>
  <si>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</si>
  <si>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</si>
  <si>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</si>
  <si>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</si>
  <si>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</si>
  <si>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</si>
  <si>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</si>
  <si>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</si>
  <si>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</si>
  <si>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</si>
  <si>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</si>
  <si>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</si>
  <si>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</si>
  <si>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</si>
  <si>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</si>
  <si>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</si>
  <si>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</si>
  <si>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</si>
  <si>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</si>
  <si>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</si>
  <si>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</si>
  <si>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</si>
  <si>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</si>
  <si>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</si>
  <si>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</si>
  <si>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</si>
  <si>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</si>
  <si>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</si>
  <si>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</si>
  <si>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</si>
  <si>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</si>
  <si>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</si>
  <si>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</si>
  <si>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</si>
  <si>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</si>
  <si>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</si>
  <si>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</si>
  <si>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</si>
  <si>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</si>
  <si>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</si>
  <si>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</si>
  <si>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</si>
  <si>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</si>
  <si>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</si>
  <si>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</si>
  <si>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</si>
  <si>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</si>
  <si>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</si>
  <si>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</si>
  <si>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</si>
  <si>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</si>
  <si>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</si>
  <si>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</si>
  <si>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</si>
  <si>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</si>
  <si>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</si>
  <si>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</si>
  <si>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</si>
  <si>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</si>
  <si>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</si>
  <si>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</si>
  <si>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</si>
  <si>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</si>
  <si>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</si>
  <si>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</si>
  <si>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</si>
  <si>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</si>
  <si>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</si>
  <si>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</si>
  <si>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</si>
  <si>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</si>
  <si>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</si>
  <si>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</si>
  <si>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</si>
  <si>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</si>
  <si>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</si>
  <si>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</si>
  <si>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</si>
  <si>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</si>
  <si>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</si>
  <si>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</si>
  <si>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</si>
  <si>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</si>
  <si>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</si>
  <si>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</si>
  <si>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</si>
  <si>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</si>
  <si>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</si>
  <si>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</si>
  <si>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</si>
  <si>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</si>
  <si>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</si>
  <si>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</si>
  <si>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</si>
  <si>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</si>
  <si>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</si>
  <si>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</si>
  <si>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</si>
  <si>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</si>
  <si>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</si>
  <si>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</si>
  <si>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</si>
  <si>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</si>
  <si>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</si>
  <si>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</si>
  <si>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</si>
  <si>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</si>
  <si>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</si>
  <si>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</si>
  <si>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</si>
  <si>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</si>
  <si>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</si>
  <si>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</si>
  <si>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</si>
  <si>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</si>
  <si>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</si>
  <si>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</si>
  <si>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</si>
  <si>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</si>
  <si>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</si>
  <si>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</si>
  <si>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</si>
  <si>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</si>
  <si>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</si>
  <si>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</si>
  <si>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</si>
  <si>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</si>
  <si>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</si>
  <si>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</si>
  <si>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</si>
  <si>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</si>
  <si>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</si>
  <si>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</si>
  <si>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</si>
  <si>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</si>
  <si>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</si>
  <si>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</si>
  <si>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</si>
  <si>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</si>
  <si>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</si>
  <si>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</si>
  <si>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</si>
  <si>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</si>
  <si>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</si>
  <si>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</si>
  <si>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</si>
  <si>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</si>
  <si>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</si>
  <si>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</si>
  <si>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</si>
  <si>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</si>
  <si>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</si>
  <si>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</si>
  <si>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</si>
  <si>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</si>
  <si>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</si>
  <si>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</si>
  <si>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</si>
  <si>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</si>
  <si>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</si>
  <si>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</si>
  <si>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</si>
  <si>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</si>
  <si>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</si>
  <si>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</si>
  <si>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</si>
  <si>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</si>
  <si>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</si>
  <si>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</si>
  <si>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</si>
  <si>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</si>
  <si>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</si>
  <si>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</si>
  <si>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</si>
  <si>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</si>
  <si>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</si>
  <si>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</si>
  <si>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</si>
  <si>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</si>
  <si>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</si>
  <si>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</si>
  <si>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</si>
  <si>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</si>
  <si>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</si>
  <si>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</si>
  <si>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</si>
  <si>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</si>
  <si>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</si>
  <si>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</si>
  <si>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</si>
  <si>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</si>
  <si>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</si>
  <si>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</si>
  <si>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</si>
  <si>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</si>
  <si>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</si>
  <si>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</si>
  <si>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</si>
  <si>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</si>
  <si>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</si>
  <si>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</si>
  <si>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</si>
  <si>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</si>
  <si>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</si>
  <si>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</si>
  <si>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</si>
  <si>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</si>
  <si>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</si>
  <si>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</si>
  <si>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</si>
  <si>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</si>
  <si>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</si>
  <si>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</si>
  <si>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</si>
  <si>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</si>
  <si>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</si>
  <si>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</si>
  <si>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</si>
  <si>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</si>
  <si>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</si>
  <si>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</si>
  <si>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</si>
  <si>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</si>
  <si>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</si>
  <si>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</si>
  <si>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</si>
  <si>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</si>
  <si>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</si>
  <si>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</si>
  <si>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</si>
  <si>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</si>
  <si>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</si>
  <si>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</si>
  <si>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</si>
  <si>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</si>
  <si>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</si>
  <si>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</si>
  <si>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</si>
  <si>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</si>
  <si>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</si>
  <si>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</si>
  <si>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</si>
  <si>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</si>
  <si>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</si>
  <si>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</si>
  <si>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</si>
  <si>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</si>
  <si>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</si>
  <si>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</si>
  <si>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</si>
  <si>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</si>
  <si>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</si>
  <si>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</si>
  <si>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</si>
  <si>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</si>
  <si>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</si>
  <si>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</si>
  <si>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</si>
  <si>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</si>
  <si>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</si>
  <si>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</si>
  <si>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</si>
  <si>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</si>
  <si>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</si>
  <si>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</si>
  <si>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</si>
  <si>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</si>
  <si>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</si>
  <si>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</si>
  <si>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</si>
  <si>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</si>
  <si>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</si>
  <si>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</si>
  <si>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</si>
  <si>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</si>
  <si>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</si>
  <si>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</si>
  <si>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</si>
  <si>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</si>
  <si>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</si>
  <si>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</si>
  <si>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</si>
  <si>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</si>
  <si>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</si>
  <si>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</si>
  <si>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</si>
  <si>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</si>
  <si>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</si>
  <si>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</si>
  <si>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</si>
  <si>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</si>
  <si>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</si>
  <si>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</si>
  <si>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</si>
  <si>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</si>
  <si>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</si>
  <si>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</si>
  <si>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</si>
  <si>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</si>
  <si>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</si>
  <si>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</si>
  <si>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</si>
  <si>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</si>
  <si>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</si>
  <si>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</si>
  <si>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</si>
  <si>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</si>
  <si>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</si>
  <si>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</si>
  <si>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</si>
  <si>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</si>
  <si>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</si>
  <si>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</si>
  <si>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</si>
  <si>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</si>
  <si>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</si>
  <si>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</si>
  <si>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</si>
  <si>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</si>
  <si>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</si>
  <si>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</si>
  <si>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</si>
  <si>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</si>
  <si>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</si>
  <si>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</si>
  <si>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</si>
  <si>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</si>
  <si>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</si>
  <si>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</si>
  <si>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</si>
  <si>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</si>
  <si>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</si>
  <si>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</si>
  <si>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</si>
  <si>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</si>
  <si>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</si>
  <si>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</si>
  <si>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</si>
  <si>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</si>
  <si>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</si>
  <si>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</si>
  <si>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</si>
  <si>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</si>
  <si>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</si>
  <si>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</si>
  <si>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</si>
  <si>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</si>
  <si>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</si>
  <si>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</si>
  <si>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</si>
  <si>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</si>
  <si>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</si>
  <si>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</si>
  <si>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</si>
  <si>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</si>
  <si>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</si>
  <si>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</si>
  <si>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</si>
  <si>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</si>
  <si>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</si>
  <si>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</si>
  <si>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</si>
  <si>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</si>
  <si>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</si>
  <si>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</si>
  <si>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</si>
  <si>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</si>
  <si>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</si>
  <si>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</si>
  <si>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</si>
  <si>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</si>
  <si>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</si>
  <si>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</si>
  <si>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</si>
  <si>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</si>
  <si>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</si>
  <si>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</si>
  <si>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</si>
  <si>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</si>
  <si>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</si>
  <si>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</si>
  <si>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</si>
  <si>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</si>
  <si>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</si>
  <si>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</si>
  <si>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</si>
  <si>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</si>
  <si>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</si>
  <si>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</si>
  <si>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</si>
  <si>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</si>
  <si>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</si>
  <si>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</si>
  <si>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</si>
  <si>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</si>
  <si>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</si>
  <si>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</si>
  <si>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</si>
  <si>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</si>
  <si>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</si>
  <si>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</si>
  <si>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</si>
  <si>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</si>
  <si>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</si>
  <si>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</si>
  <si>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</si>
  <si>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</si>
  <si>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</si>
  <si>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</si>
  <si>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</si>
  <si>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</si>
  <si>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</si>
  <si>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</si>
  <si>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</si>
  <si>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</si>
  <si>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</si>
  <si>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</si>
  <si>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</si>
  <si>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</si>
  <si>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</si>
  <si>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</si>
  <si>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</si>
  <si>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</si>
  <si>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</si>
  <si>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</si>
  <si>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</si>
  <si>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</si>
  <si>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</si>
  <si>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</si>
  <si>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</si>
  <si>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</si>
  <si>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</si>
  <si>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</si>
  <si>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</si>
  <si>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</si>
  <si>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</si>
  <si>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</si>
  <si>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</si>
  <si>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</si>
  <si>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</si>
  <si>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</si>
  <si>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</si>
  <si>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</si>
  <si>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</si>
  <si>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</si>
  <si>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</si>
  <si>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</si>
  <si>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</si>
  <si>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</si>
  <si>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</si>
  <si>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</si>
  <si>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</si>
  <si>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</si>
  <si>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</si>
  <si>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</si>
  <si>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</si>
  <si>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</si>
  <si>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</si>
  <si>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</si>
  <si>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</si>
  <si>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</si>
  <si>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</si>
  <si>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</si>
  <si>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</si>
  <si>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</si>
  <si>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</si>
  <si>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</si>
  <si>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</si>
  <si>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</si>
  <si>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</si>
  <si>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</si>
  <si>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</si>
  <si>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</si>
  <si>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</si>
  <si>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</si>
  <si>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</si>
  <si>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</si>
  <si>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</si>
  <si>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</si>
  <si>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</si>
  <si>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</si>
  <si>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</si>
  <si>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</si>
  <si>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</si>
  <si>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</si>
  <si>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</si>
  <si>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</si>
  <si>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</si>
  <si>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</si>
  <si>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</si>
  <si>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</si>
  <si>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</si>
  <si>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</si>
  <si>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</si>
  <si>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</si>
  <si>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13-08-2025</t>
  </si>
  <si>
    <t>2025/01/31</t>
  </si>
  <si>
    <t>2025/08/10</t>
  </si>
  <si>
    <t>19-12-2025</t>
  </si>
  <si>
    <t>01-05-2025</t>
  </si>
  <si>
    <t>2025/08/03</t>
  </si>
  <si>
    <t>22-05-2025</t>
  </si>
  <si>
    <t>2025/07/05</t>
  </si>
  <si>
    <t>2025/05/12</t>
  </si>
  <si>
    <t>24-05-2025</t>
  </si>
  <si>
    <t>2025/07/25</t>
  </si>
  <si>
    <t>2025/07/20</t>
  </si>
  <si>
    <t>2025/02/20</t>
  </si>
  <si>
    <t>2025/12/05</t>
  </si>
  <si>
    <t>2025/03/16</t>
  </si>
  <si>
    <t>2025/05/13</t>
  </si>
  <si>
    <t>2025/08/21</t>
  </si>
  <si>
    <t>02-04-2025</t>
  </si>
  <si>
    <t>2025/09/21</t>
  </si>
  <si>
    <t>10-06-2025</t>
  </si>
  <si>
    <t>2025/07/08</t>
  </si>
  <si>
    <t>2025/06/25</t>
  </si>
  <si>
    <t>2025/08/23</t>
  </si>
  <si>
    <t>2025/07/07</t>
  </si>
  <si>
    <t>2025/01/10</t>
  </si>
  <si>
    <t>15-07-2025</t>
  </si>
  <si>
    <t>26-12-2025</t>
  </si>
  <si>
    <t>06-11-2025</t>
  </si>
  <si>
    <t>2025/02/05</t>
  </si>
  <si>
    <t>2025/01/21</t>
  </si>
  <si>
    <t>2025/12/19</t>
  </si>
  <si>
    <t>2025/09/14</t>
  </si>
  <si>
    <t>2025/03/13</t>
  </si>
  <si>
    <t>20-05-2025</t>
  </si>
  <si>
    <t>20-06-2025</t>
  </si>
  <si>
    <t>27-10-2025</t>
  </si>
  <si>
    <t>2025/06/08</t>
  </si>
  <si>
    <t>2025/12/23</t>
  </si>
  <si>
    <t>29-05-2025</t>
  </si>
  <si>
    <t>03-12-2025</t>
  </si>
  <si>
    <t>30-01-2025</t>
  </si>
  <si>
    <t>17-09-2025</t>
  </si>
  <si>
    <t>15-02-2025</t>
  </si>
  <si>
    <t>2025/06/10</t>
  </si>
  <si>
    <t>2025/09/24</t>
  </si>
  <si>
    <t>08-08-2025</t>
  </si>
  <si>
    <t>19-07-2025</t>
  </si>
  <si>
    <t>2025/08/20</t>
  </si>
  <si>
    <t>10-04-2025</t>
  </si>
  <si>
    <t>2025/10/29</t>
  </si>
  <si>
    <t>18-11-2025</t>
  </si>
  <si>
    <t>23-11-2025</t>
  </si>
  <si>
    <t>2025/10/15</t>
  </si>
  <si>
    <t>2025/02/26</t>
  </si>
  <si>
    <t>2025/04/05</t>
  </si>
  <si>
    <t>2025/07/10</t>
  </si>
  <si>
    <t>04-04-2025</t>
  </si>
  <si>
    <t>19-06-2025</t>
  </si>
  <si>
    <t>2025/07/21</t>
  </si>
  <si>
    <t>09-01-2025</t>
  </si>
  <si>
    <t>28-07-2025</t>
  </si>
  <si>
    <t>2025/12/01</t>
  </si>
  <si>
    <t>25-07-2025</t>
  </si>
  <si>
    <t>24-09-2025</t>
  </si>
  <si>
    <t>2025/03/01</t>
  </si>
  <si>
    <t>03-05-2025</t>
  </si>
  <si>
    <t>2025/06/17</t>
  </si>
  <si>
    <t>2025/12/28</t>
  </si>
  <si>
    <t>2025/01/26</t>
  </si>
  <si>
    <t>12-12-2025</t>
  </si>
  <si>
    <t>10-11-2025</t>
  </si>
  <si>
    <t>08-10-2025</t>
  </si>
  <si>
    <t>2025/11/06</t>
  </si>
  <si>
    <t>11-02-2025</t>
  </si>
  <si>
    <t>2025/04/29</t>
  </si>
  <si>
    <t>2025/08/26</t>
  </si>
  <si>
    <t>26-10-2025</t>
  </si>
  <si>
    <t>03-04-2025</t>
  </si>
  <si>
    <t>01-12-2025</t>
  </si>
  <si>
    <t>20-12-2025</t>
  </si>
  <si>
    <t>28-11-2025</t>
  </si>
  <si>
    <t>27-08-2025</t>
  </si>
  <si>
    <t>2025/08/02</t>
  </si>
  <si>
    <t>2025/04/08</t>
  </si>
  <si>
    <t>17-02-2025</t>
  </si>
  <si>
    <t>2025/09/05</t>
  </si>
  <si>
    <t>07-06-2025</t>
  </si>
  <si>
    <t>29-07-2025</t>
  </si>
  <si>
    <t>2025/03/27</t>
  </si>
  <si>
    <t>09-03-2025</t>
  </si>
  <si>
    <t>2025/02/08</t>
  </si>
  <si>
    <t>14-01-2025</t>
  </si>
  <si>
    <t>2025/11/04</t>
  </si>
  <si>
    <t>2025/06/29</t>
  </si>
  <si>
    <t>25-05-2025</t>
  </si>
  <si>
    <t>28-10-2025</t>
  </si>
  <si>
    <t>2026/01/04</t>
  </si>
  <si>
    <t>2025/09/03</t>
  </si>
  <si>
    <t>2025/04/04</t>
  </si>
  <si>
    <t>2025/03/10</t>
  </si>
  <si>
    <t>2025/12/13</t>
  </si>
  <si>
    <t>15-12-2025</t>
  </si>
  <si>
    <t>18-03-2025</t>
  </si>
  <si>
    <t>2025/10/11</t>
  </si>
  <si>
    <t>2025/01/18</t>
  </si>
  <si>
    <t>03-07-2025</t>
  </si>
  <si>
    <t>23-03-2025</t>
  </si>
  <si>
    <t>11-06-2025</t>
  </si>
  <si>
    <t>26-02-2025</t>
  </si>
  <si>
    <t>13-07-2025</t>
  </si>
  <si>
    <t>30-06-2025</t>
  </si>
  <si>
    <t>13-04-2025</t>
  </si>
  <si>
    <t>2025/08/29</t>
  </si>
  <si>
    <t>2025/07/13</t>
  </si>
  <si>
    <t>01-01-2026</t>
  </si>
  <si>
    <t>18-10-2025</t>
  </si>
  <si>
    <t>03-09-2025</t>
  </si>
  <si>
    <t>2025/02/11</t>
  </si>
  <si>
    <t>2025/07/31</t>
  </si>
  <si>
    <t>20-04-2025</t>
  </si>
  <si>
    <t>01-08-2025</t>
  </si>
  <si>
    <t>31-01-2025</t>
  </si>
  <si>
    <t>11-08-2025</t>
  </si>
  <si>
    <t>02-03-2025</t>
  </si>
  <si>
    <t>19-09-2025</t>
  </si>
  <si>
    <t>02-01-2026</t>
  </si>
  <si>
    <t>2025/10/20</t>
  </si>
  <si>
    <t>26-01-2025</t>
  </si>
  <si>
    <t>2025/02/21</t>
  </si>
  <si>
    <t>05-09-2025</t>
  </si>
  <si>
    <t>2025/09/26</t>
  </si>
  <si>
    <t>2025/07/03</t>
  </si>
  <si>
    <t>28-03-2025</t>
  </si>
  <si>
    <t>2026/01/03</t>
  </si>
  <si>
    <t>2025/04/11</t>
  </si>
  <si>
    <t>21-10-2025</t>
  </si>
  <si>
    <t>12-03-2025</t>
  </si>
  <si>
    <t>2025/04/06</t>
  </si>
  <si>
    <t>2025/04/26</t>
  </si>
  <si>
    <t>17-03-2025</t>
  </si>
  <si>
    <t>06-08-2025</t>
  </si>
  <si>
    <t>2025/03/07</t>
  </si>
  <si>
    <t>2025/06/04</t>
  </si>
  <si>
    <t>16-06-2025</t>
  </si>
  <si>
    <t>05-07-2025</t>
  </si>
  <si>
    <t>01-06-2025</t>
  </si>
  <si>
    <t>2025/11/23</t>
  </si>
  <si>
    <t>17-01-2025</t>
  </si>
  <si>
    <t>2025/06/22</t>
  </si>
  <si>
    <t>09-10-2025</t>
  </si>
  <si>
    <t>2025/11/20</t>
  </si>
  <si>
    <t>2025/04/13</t>
  </si>
  <si>
    <t>2025/02/25</t>
  </si>
  <si>
    <t>26-05-2025</t>
  </si>
  <si>
    <t>26-07-2025</t>
  </si>
  <si>
    <t>2025/05/27</t>
  </si>
  <si>
    <t>2025/01/04</t>
  </si>
  <si>
    <t>21-09-2025</t>
  </si>
  <si>
    <t>16-05-2025</t>
  </si>
  <si>
    <t>2025/06/28</t>
  </si>
  <si>
    <t>2025/05/29</t>
  </si>
  <si>
    <t>2025/12/04</t>
  </si>
  <si>
    <t>16-02-2025</t>
  </si>
  <si>
    <t>06-05-2025</t>
  </si>
  <si>
    <t>04-08-2025</t>
  </si>
  <si>
    <t>2025/05/05</t>
  </si>
  <si>
    <t>2025/12/27</t>
  </si>
  <si>
    <t>03-10-2025</t>
  </si>
  <si>
    <t>10-02-2025</t>
  </si>
  <si>
    <t>22-08-2025</t>
  </si>
  <si>
    <t>23-07-2025</t>
  </si>
  <si>
    <t>2025/10/22</t>
  </si>
  <si>
    <t>26-04-2025</t>
  </si>
  <si>
    <t>2025/05/23</t>
  </si>
  <si>
    <t>29-01-2025</t>
  </si>
  <si>
    <t>2025/11/01</t>
  </si>
  <si>
    <t>2025/02/17</t>
  </si>
  <si>
    <t>2025/05/16</t>
  </si>
  <si>
    <t>11-11-2025</t>
  </si>
  <si>
    <t>25-12-2025</t>
  </si>
  <si>
    <t>2025/07/09</t>
  </si>
  <si>
    <t>10-12-2025</t>
  </si>
  <si>
    <t>31-07-2025</t>
  </si>
  <si>
    <t>11-01-2025</t>
  </si>
  <si>
    <t>11-09-2025</t>
  </si>
  <si>
    <t>14-03-2025</t>
  </si>
  <si>
    <t>2025/03/18</t>
  </si>
  <si>
    <t>23-04-2025</t>
  </si>
  <si>
    <t>23-02-2025</t>
  </si>
  <si>
    <t>20-09-2025</t>
  </si>
  <si>
    <t>2025/08/31</t>
  </si>
  <si>
    <t>2025/09/27</t>
  </si>
  <si>
    <t>02-09-2025</t>
  </si>
  <si>
    <t>28-12-2025</t>
  </si>
  <si>
    <t>11-03-2025</t>
  </si>
  <si>
    <t>2025/04/18</t>
  </si>
  <si>
    <t>2025/07/19</t>
  </si>
  <si>
    <t>2025/11/18</t>
  </si>
  <si>
    <t>2025/03/14</t>
  </si>
  <si>
    <t>2025/08/14</t>
  </si>
  <si>
    <t>2025/10/21</t>
  </si>
  <si>
    <t>09-05-2025</t>
  </si>
  <si>
    <t>18-01-2025</t>
  </si>
  <si>
    <t>2025/07/26</t>
  </si>
  <si>
    <t>05-08-2025</t>
  </si>
  <si>
    <t>26-03-2025</t>
  </si>
  <si>
    <t>2025/04/23</t>
  </si>
  <si>
    <t>04-11-2025</t>
  </si>
  <si>
    <t>20-07-2025</t>
  </si>
  <si>
    <t>27-03-2025</t>
  </si>
  <si>
    <t>2025/02/12</t>
  </si>
  <si>
    <t>2025/09/09</t>
  </si>
  <si>
    <t>2025/08/19</t>
  </si>
  <si>
    <t>2025/10/30</t>
  </si>
  <si>
    <t>16-10-2025</t>
  </si>
  <si>
    <t>25-10-2025</t>
  </si>
  <si>
    <t>20-03-2025</t>
  </si>
  <si>
    <t>21-07-2025</t>
  </si>
  <si>
    <t>2025/05/07</t>
  </si>
  <si>
    <t>2025/03/20</t>
  </si>
  <si>
    <t>01-11-2025</t>
  </si>
  <si>
    <t>2025/11/22</t>
  </si>
  <si>
    <t>25-02-2025</t>
  </si>
  <si>
    <t>2025/08/25</t>
  </si>
  <si>
    <t>06-09-2025</t>
  </si>
  <si>
    <t>18-05-2025</t>
  </si>
  <si>
    <t>2025/08/11</t>
  </si>
  <si>
    <t>22-12-2025</t>
  </si>
  <si>
    <t>2025/09/17</t>
  </si>
  <si>
    <t>21-06-2025</t>
  </si>
  <si>
    <t>2025/12/21</t>
  </si>
  <si>
    <t>2025/10/16</t>
  </si>
  <si>
    <t>19-08-2025</t>
  </si>
  <si>
    <t>22-10-2025</t>
  </si>
  <si>
    <t>19-02-2025</t>
  </si>
  <si>
    <t>2025/10/14</t>
  </si>
  <si>
    <t>24-01-2025</t>
  </si>
  <si>
    <t>24-07-2025</t>
  </si>
  <si>
    <t>01-03-2025</t>
  </si>
  <si>
    <t>23-09-2025</t>
  </si>
  <si>
    <t>2025/08/22</t>
  </si>
  <si>
    <t>2025/08/18</t>
  </si>
  <si>
    <t>2025/10/09</t>
  </si>
  <si>
    <t>2025/03/28</t>
  </si>
  <si>
    <t>2025/08/04</t>
  </si>
  <si>
    <t>29-08-2025</t>
  </si>
  <si>
    <t>2025/06/13</t>
  </si>
  <si>
    <t>2025/07/22</t>
  </si>
  <si>
    <t>2025/07/14</t>
  </si>
  <si>
    <t>30-11-2025</t>
  </si>
  <si>
    <t>2025/03/06</t>
  </si>
  <si>
    <t>27-11-2025</t>
  </si>
  <si>
    <t>02-05-2025</t>
  </si>
  <si>
    <t>2025/09/01</t>
  </si>
  <si>
    <t>11-05-2025</t>
  </si>
  <si>
    <t>2025/11/10</t>
  </si>
  <si>
    <t>10-08-2025</t>
  </si>
  <si>
    <t>24-03-2025</t>
  </si>
  <si>
    <t>30-10-2025</t>
  </si>
  <si>
    <t>2025/06/26</t>
  </si>
  <si>
    <t>10-07-2025</t>
  </si>
  <si>
    <t>2025/12/18</t>
  </si>
  <si>
    <t>30-09-2025</t>
  </si>
  <si>
    <t>19-03-2025</t>
  </si>
  <si>
    <t>25-09-2025</t>
  </si>
  <si>
    <t>2025/04/27</t>
  </si>
  <si>
    <t>2025/08/15</t>
  </si>
  <si>
    <t>2025/03/29</t>
  </si>
  <si>
    <t>04-02-2025</t>
  </si>
  <si>
    <t>2025/06/27</t>
  </si>
  <si>
    <t>24-12-2025</t>
  </si>
  <si>
    <t>2025/09/06</t>
  </si>
  <si>
    <t>13-06-2025</t>
  </si>
  <si>
    <t>24-08-2025</t>
  </si>
  <si>
    <t>2025/06/07</t>
  </si>
  <si>
    <t>14-02-2025</t>
  </si>
  <si>
    <t>2025/05/17</t>
  </si>
  <si>
    <t>04-03-2025</t>
  </si>
  <si>
    <t>2025/01/06</t>
  </si>
  <si>
    <t>2025/02/10</t>
  </si>
  <si>
    <t>06-02-2025</t>
  </si>
  <si>
    <t>23-08-2025</t>
  </si>
  <si>
    <t>2025/02/06</t>
  </si>
  <si>
    <t>2025/07/28</t>
  </si>
  <si>
    <t>2025/07/23</t>
  </si>
  <si>
    <t>2025/07/02</t>
  </si>
  <si>
    <t>2025/01/09</t>
  </si>
  <si>
    <t>2025/05/24</t>
  </si>
  <si>
    <t>27-05-2025</t>
  </si>
  <si>
    <t>2025/06/06</t>
  </si>
  <si>
    <t>2025/04/17</t>
  </si>
  <si>
    <t>2025/01/30</t>
  </si>
  <si>
    <t>06-03-2025</t>
  </si>
  <si>
    <t>2025/09/30</t>
  </si>
  <si>
    <t>15-11-2025</t>
  </si>
  <si>
    <t>29-06-2025</t>
  </si>
  <si>
    <t>2025/06/02</t>
  </si>
  <si>
    <t>20-02-2025</t>
  </si>
  <si>
    <t>18-12-2025</t>
  </si>
  <si>
    <t>2025/05/08</t>
  </si>
  <si>
    <t>18-07-2025</t>
  </si>
  <si>
    <t>07-12-2025</t>
  </si>
  <si>
    <t>2025/04/30</t>
  </si>
  <si>
    <t>2025/10/31</t>
  </si>
  <si>
    <t>14-09-2025</t>
  </si>
  <si>
    <t>04-06-2025</t>
  </si>
  <si>
    <t>05-01-2025</t>
  </si>
  <si>
    <t>2025/05/04</t>
  </si>
  <si>
    <t>10-09-2025</t>
  </si>
  <si>
    <t>2025/08/24</t>
  </si>
  <si>
    <t>2025/05/26</t>
  </si>
  <si>
    <t>2025/03/15</t>
  </si>
  <si>
    <t>12-09-2025</t>
  </si>
  <si>
    <t>2025/05/20</t>
  </si>
  <si>
    <t>2025/12/31</t>
  </si>
  <si>
    <t>2025/06/01</t>
  </si>
  <si>
    <t>2025/05/18</t>
  </si>
  <si>
    <t>2025/11/08</t>
  </si>
  <si>
    <t>2025/12/08</t>
  </si>
  <si>
    <t>2025/12/09</t>
  </si>
  <si>
    <t>04-09-2025</t>
  </si>
  <si>
    <t>16-07-2025</t>
  </si>
  <si>
    <t>2025/05/09</t>
  </si>
  <si>
    <t>2025/10/26</t>
  </si>
  <si>
    <t>16-01-2025</t>
  </si>
  <si>
    <t>13-05-2025</t>
  </si>
  <si>
    <t>2025/11/29</t>
  </si>
  <si>
    <t>2025/12/07</t>
  </si>
  <si>
    <t>16-09-2025</t>
  </si>
  <si>
    <t>2025/12/20</t>
  </si>
  <si>
    <t>2025/02/01</t>
  </si>
  <si>
    <t>21-05-2025</t>
  </si>
  <si>
    <t>2025/10/03</t>
  </si>
  <si>
    <t>2025/12/15</t>
  </si>
  <si>
    <t>2025/10/17</t>
  </si>
  <si>
    <t>01-02-2025</t>
  </si>
  <si>
    <t>13-10-2025</t>
  </si>
  <si>
    <t>14-11-2025</t>
  </si>
  <si>
    <t>12-05-2025</t>
  </si>
  <si>
    <t>2025/03/04</t>
  </si>
  <si>
    <t>11-04-2025</t>
  </si>
  <si>
    <t>2025/09/10</t>
  </si>
  <si>
    <t>2025/04/22</t>
  </si>
  <si>
    <t>22-06-2025</t>
  </si>
  <si>
    <t>14-05-2025</t>
  </si>
  <si>
    <t>2025/04/25</t>
  </si>
  <si>
    <t>27-07-2025</t>
  </si>
  <si>
    <t>2025/01/08</t>
  </si>
  <si>
    <t>22-07-2025</t>
  </si>
  <si>
    <t>13-01-2025</t>
  </si>
  <si>
    <t>19-04-2025</t>
  </si>
  <si>
    <t>17-07-2025</t>
  </si>
  <si>
    <t>18-09-2025</t>
  </si>
  <si>
    <t>21-02-2025</t>
  </si>
  <si>
    <t>05-12-2025</t>
  </si>
  <si>
    <t>18-08-2025</t>
  </si>
  <si>
    <t>2025/04/19</t>
  </si>
  <si>
    <t>2025/08/09</t>
  </si>
  <si>
    <t>12-01-2025</t>
  </si>
  <si>
    <t>28-09-2025</t>
  </si>
  <si>
    <t>2025/07/16</t>
  </si>
  <si>
    <t>2025/11/15</t>
  </si>
  <si>
    <t>2025/04/07</t>
  </si>
  <si>
    <t>2025/03/25</t>
  </si>
  <si>
    <t>2025/09/25</t>
  </si>
  <si>
    <t>2025/03/23</t>
  </si>
  <si>
    <t>2025/06/21</t>
  </si>
  <si>
    <t>2025/06/11</t>
  </si>
  <si>
    <t>23-12-2025</t>
  </si>
  <si>
    <t>24-11-2025</t>
  </si>
  <si>
    <t>2025/03/30</t>
  </si>
  <si>
    <t>2026/01/02</t>
  </si>
  <si>
    <t>22-11-2025</t>
  </si>
  <si>
    <t>2025/11/12</t>
  </si>
  <si>
    <t>2025/07/04</t>
  </si>
  <si>
    <t>2025/10/05</t>
  </si>
  <si>
    <t>05-03-2025</t>
  </si>
  <si>
    <t>13-11-2025</t>
  </si>
  <si>
    <t>2025/03/17</t>
  </si>
  <si>
    <t>07-11-2025</t>
  </si>
  <si>
    <t>2025/05/15</t>
  </si>
  <si>
    <t>2025/09/11</t>
  </si>
  <si>
    <t>2025/05/06</t>
  </si>
  <si>
    <t>01-04-2025</t>
  </si>
  <si>
    <t>13-02-2025</t>
  </si>
  <si>
    <t>04-01-2026</t>
  </si>
  <si>
    <t>2025/03/09</t>
  </si>
  <si>
    <t>2025/10/02</t>
  </si>
  <si>
    <t>23-05-2025</t>
  </si>
  <si>
    <t>08-03-2025</t>
  </si>
  <si>
    <t>25-11-2025</t>
  </si>
  <si>
    <t>2025/10/23</t>
  </si>
  <si>
    <t>17-10-2025</t>
  </si>
  <si>
    <t>09-12-2025</t>
  </si>
  <si>
    <t>09-04-2025</t>
  </si>
  <si>
    <t>24-06-2025</t>
  </si>
  <si>
    <t>2025/07/15</t>
  </si>
  <si>
    <t>04-05-2025</t>
  </si>
  <si>
    <t>2025/04/24</t>
  </si>
  <si>
    <t>29-09-2025</t>
  </si>
  <si>
    <t>2025/09/18</t>
  </si>
  <si>
    <t>2025/09/22</t>
  </si>
  <si>
    <t>2025/08/30</t>
  </si>
  <si>
    <t>07-01-2025</t>
  </si>
  <si>
    <t>25-03-2025</t>
  </si>
  <si>
    <t>02-10-2025</t>
  </si>
  <si>
    <t>27-12-2025</t>
  </si>
  <si>
    <t>30-04-2025</t>
  </si>
  <si>
    <t>2025/01/11</t>
  </si>
  <si>
    <t>2025/02/24</t>
  </si>
  <si>
    <t>2025/02/02</t>
  </si>
  <si>
    <t>2025/07/30</t>
  </si>
  <si>
    <t>29-11-2025</t>
  </si>
  <si>
    <t>2025/01/16</t>
  </si>
  <si>
    <t>2025/09/12</t>
  </si>
  <si>
    <t>2025/08/28</t>
  </si>
  <si>
    <t>2025/01/27</t>
  </si>
  <si>
    <t>2025/05/10</t>
  </si>
  <si>
    <t>2025/09/02</t>
  </si>
  <si>
    <t>2025/10/25</t>
  </si>
  <si>
    <t>2025/02/23</t>
  </si>
  <si>
    <t>28-04-2025</t>
  </si>
  <si>
    <t>2025/05/31</t>
  </si>
  <si>
    <t>2025/06/16</t>
  </si>
  <si>
    <t>12-04-2025</t>
  </si>
  <si>
    <t>2025/05/22</t>
  </si>
  <si>
    <t>2025/04/14</t>
  </si>
  <si>
    <t>2025/04/12</t>
  </si>
  <si>
    <t>05-10-2025</t>
  </si>
  <si>
    <t>14-04-2025</t>
  </si>
  <si>
    <t>31-10-2025</t>
  </si>
  <si>
    <t>03-02-2025</t>
  </si>
  <si>
    <t>12-08-2025</t>
  </si>
  <si>
    <t>2025/10/07</t>
  </si>
  <si>
    <t>06-07-2025</t>
  </si>
  <si>
    <t>07-09-2025</t>
  </si>
  <si>
    <t>12-02-2025</t>
  </si>
  <si>
    <t>30-12-2025</t>
  </si>
  <si>
    <t>06-12-2025</t>
  </si>
  <si>
    <t>08-11-2025</t>
  </si>
  <si>
    <t>13-12-2025</t>
  </si>
  <si>
    <t>2025/06/20</t>
  </si>
  <si>
    <t>2025/05/11</t>
  </si>
  <si>
    <t>07-05-2025</t>
  </si>
  <si>
    <t>2025/04/10</t>
  </si>
  <si>
    <t>28-02-2025</t>
  </si>
  <si>
    <t>2025/03/19</t>
  </si>
  <si>
    <t>2025/03/22</t>
  </si>
  <si>
    <t>2025/11/24</t>
  </si>
  <si>
    <t>04-01-2025</t>
  </si>
  <si>
    <t>03-03-2025</t>
  </si>
  <si>
    <t>2025/10/27</t>
  </si>
  <si>
    <t>2025/09/07</t>
  </si>
  <si>
    <t>26-08-2025</t>
  </si>
  <si>
    <t>2025/05/21</t>
  </si>
  <si>
    <t>19-10-2025</t>
  </si>
  <si>
    <t>05-05-2025</t>
  </si>
  <si>
    <t>12-11-2025</t>
  </si>
  <si>
    <t>2025/07/29</t>
  </si>
  <si>
    <t>2025/11/16</t>
  </si>
  <si>
    <t>2025/10/19</t>
  </si>
  <si>
    <t>2025/06/12</t>
  </si>
  <si>
    <t>2025/01/17</t>
  </si>
  <si>
    <t>2025/01/20</t>
  </si>
  <si>
    <t>2025/11/28</t>
  </si>
  <si>
    <t>15-10-2025</t>
  </si>
  <si>
    <t>2025/10/12</t>
  </si>
  <si>
    <t>2025/12/29</t>
  </si>
  <si>
    <t>08-01-2025</t>
  </si>
  <si>
    <t>2025/10/13</t>
  </si>
  <si>
    <t>2025/09/23</t>
  </si>
  <si>
    <t>2025/02/27</t>
  </si>
  <si>
    <t>2025/04/28</t>
  </si>
  <si>
    <t>31-08-2025</t>
  </si>
  <si>
    <t>2025/04/09</t>
  </si>
  <si>
    <t>12-07-2025</t>
  </si>
  <si>
    <t>10-05-2025</t>
  </si>
  <si>
    <t>10-10-2025</t>
  </si>
  <si>
    <t>2025/08/05</t>
  </si>
  <si>
    <t>02-11-2025</t>
  </si>
  <si>
    <t>2025/10/18</t>
  </si>
  <si>
    <t>2025/06/18</t>
  </si>
  <si>
    <t>2025/01/19</t>
  </si>
  <si>
    <t>27-06-2025</t>
  </si>
  <si>
    <t>2025/12/03</t>
  </si>
  <si>
    <t>10-01-2025</t>
  </si>
  <si>
    <t>2025/05/02</t>
  </si>
  <si>
    <t>2025/11/19</t>
  </si>
  <si>
    <t>26-06-2025</t>
  </si>
  <si>
    <t>05-04-2025</t>
  </si>
  <si>
    <t>2025/11/03</t>
  </si>
  <si>
    <t>2025/09/13</t>
  </si>
  <si>
    <t>2025/11/26</t>
  </si>
  <si>
    <t>28-08-2025</t>
  </si>
  <si>
    <t>12-06-2025</t>
  </si>
  <si>
    <t>2025/12/11</t>
  </si>
  <si>
    <t>2025/02/09</t>
  </si>
  <si>
    <t>2025/08/27</t>
  </si>
  <si>
    <t>31-03-2025</t>
  </si>
  <si>
    <t>02-07-2025</t>
  </si>
  <si>
    <t>22-02-2025</t>
  </si>
  <si>
    <t>2025/01/14</t>
  </si>
  <si>
    <t>28-06-2025</t>
  </si>
  <si>
    <t>2025/10/10</t>
  </si>
  <si>
    <t>07-03-2025</t>
  </si>
  <si>
    <t>2025/03/03</t>
  </si>
  <si>
    <t>02-12-2025</t>
  </si>
  <si>
    <t>2025/05/19</t>
  </si>
  <si>
    <t>2025/11/05</t>
  </si>
  <si>
    <t>2025/11/30</t>
  </si>
  <si>
    <t>2025/06/05</t>
  </si>
  <si>
    <t>2025/08/06</t>
  </si>
  <si>
    <t>2025/12/06</t>
  </si>
  <si>
    <t>29-03-2025</t>
  </si>
  <si>
    <t>21-01-2025</t>
  </si>
  <si>
    <t>15-09-2025</t>
  </si>
  <si>
    <t>26-11-2025</t>
  </si>
  <si>
    <t>28-01-2025</t>
  </si>
  <si>
    <t>14-12-2025</t>
  </si>
  <si>
    <t>2025/05/25</t>
  </si>
  <si>
    <t>30-03-2025</t>
  </si>
  <si>
    <t>2025/04/16</t>
  </si>
  <si>
    <t>23-10-2025</t>
  </si>
  <si>
    <t>2025/05/03</t>
  </si>
  <si>
    <t>2025/08/07</t>
  </si>
  <si>
    <t>2025/01/29</t>
  </si>
  <si>
    <t>14-08-2025</t>
  </si>
  <si>
    <t>22-03-2025</t>
  </si>
  <si>
    <t>2025/02/19</t>
  </si>
  <si>
    <t>2025/12/17</t>
  </si>
  <si>
    <t>2025/11/27</t>
  </si>
  <si>
    <t>2025/06/19</t>
  </si>
  <si>
    <t>27-02-2025</t>
  </si>
  <si>
    <t>19-11-2025</t>
  </si>
  <si>
    <t>09-06-2025</t>
  </si>
  <si>
    <t>2025/11/11</t>
  </si>
  <si>
    <t>22-04-2025</t>
  </si>
  <si>
    <t>08-02-2025</t>
  </si>
  <si>
    <t>2025/03/11</t>
  </si>
  <si>
    <t>21-12-2025</t>
  </si>
  <si>
    <t>2025/12/25</t>
  </si>
  <si>
    <t>17-04-2025</t>
  </si>
  <si>
    <t>06-06-2025</t>
  </si>
  <si>
    <t>23-01-2025</t>
  </si>
  <si>
    <t>2025/07/01</t>
  </si>
  <si>
    <t>2025/09/15</t>
  </si>
  <si>
    <t>06-01-2025</t>
  </si>
  <si>
    <t>30-05-2025</t>
  </si>
  <si>
    <t>25-01-2025</t>
  </si>
  <si>
    <t>17-08-2025</t>
  </si>
  <si>
    <t>2025/01/13</t>
  </si>
  <si>
    <t>2026/01/01</t>
  </si>
  <si>
    <t>18-06-2025</t>
  </si>
  <si>
    <t>2025/03/05</t>
  </si>
  <si>
    <t>08-06-2025</t>
  </si>
  <si>
    <t>2025/12/10</t>
  </si>
  <si>
    <t>2025/07/24</t>
  </si>
  <si>
    <t>2025/09/16</t>
  </si>
  <si>
    <t>2025/06/09</t>
  </si>
  <si>
    <t>2025/11/02</t>
  </si>
  <si>
    <t>15-03-2025</t>
  </si>
  <si>
    <t>2025/03/02</t>
  </si>
  <si>
    <t>29-04-2025</t>
  </si>
  <si>
    <t>2025/02/15</t>
  </si>
  <si>
    <t>2025/04/03</t>
  </si>
  <si>
    <t>2025/11/17</t>
  </si>
  <si>
    <t>2025/04/01</t>
  </si>
  <si>
    <t>02-06-2025</t>
  </si>
  <si>
    <t>07-10-2025</t>
  </si>
  <si>
    <t>2025/07/06</t>
  </si>
  <si>
    <t>15-04-2025</t>
  </si>
  <si>
    <t>15-01-2025</t>
  </si>
  <si>
    <t>2025/11/21</t>
  </si>
  <si>
    <t>CUST1003</t>
  </si>
  <si>
    <t>CUST1262</t>
  </si>
  <si>
    <t>CUST1653</t>
  </si>
  <si>
    <t>CUST1254</t>
  </si>
  <si>
    <t>CUST1749</t>
  </si>
  <si>
    <t>CUST1692</t>
  </si>
  <si>
    <t>CUST1645</t>
  </si>
  <si>
    <t>CUST1173</t>
  </si>
  <si>
    <t>CUST1343</t>
  </si>
  <si>
    <t>CUST1049</t>
  </si>
  <si>
    <t>CUST1034</t>
  </si>
  <si>
    <t>CUST1819</t>
  </si>
  <si>
    <t>CUST1216</t>
  </si>
  <si>
    <t>CUST1539</t>
  </si>
  <si>
    <t>CUST1894</t>
  </si>
  <si>
    <t>CUST1952</t>
  </si>
  <si>
    <t>CUST1121</t>
  </si>
  <si>
    <t>CUST1082</t>
  </si>
  <si>
    <t>CUST1191</t>
  </si>
  <si>
    <t>CUST1780</t>
  </si>
  <si>
    <t>CUST1272</t>
  </si>
  <si>
    <t>CUST1321</t>
  </si>
  <si>
    <t>CUST1023</t>
  </si>
  <si>
    <t>CUST1348</t>
  </si>
  <si>
    <t>CUST1705</t>
  </si>
  <si>
    <t>CUST1385</t>
  </si>
  <si>
    <t>CUST1603</t>
  </si>
  <si>
    <t>CUST1146</t>
  </si>
  <si>
    <t>CUST1503</t>
  </si>
  <si>
    <t>CUST1668</t>
  </si>
  <si>
    <t>CUST1866</t>
  </si>
  <si>
    <t>CUST1810</t>
  </si>
  <si>
    <t>CUST1382</t>
  </si>
  <si>
    <t>CUST1350</t>
  </si>
  <si>
    <t>CUST1287</t>
  </si>
  <si>
    <t>CUST1115</t>
  </si>
  <si>
    <t>CUST1458</t>
  </si>
  <si>
    <t>CUST1012</t>
  </si>
  <si>
    <t>CUST1363</t>
  </si>
  <si>
    <t>CUST1019</t>
  </si>
  <si>
    <t>CUST1745</t>
  </si>
  <si>
    <t>CUST1902</t>
  </si>
  <si>
    <t>CUST1428</t>
  </si>
  <si>
    <t>CUST1641</t>
  </si>
  <si>
    <t>CUST1215</t>
  </si>
  <si>
    <t>CUST1407</t>
  </si>
  <si>
    <t>CUST1846</t>
  </si>
  <si>
    <t>CUST1542</t>
  </si>
  <si>
    <t>CUST1361</t>
  </si>
  <si>
    <t>CUST1318</t>
  </si>
  <si>
    <t>CUST1899</t>
  </si>
  <si>
    <t>CUST1438</t>
  </si>
  <si>
    <t>CUST1201</t>
  </si>
  <si>
    <t>CUST1591</t>
  </si>
  <si>
    <t>CUST1674</t>
  </si>
  <si>
    <t>CUST1167</t>
  </si>
  <si>
    <t>CUST1626</t>
  </si>
  <si>
    <t>CUST1387</t>
  </si>
  <si>
    <t>CUST1235</t>
  </si>
  <si>
    <t>CUST1196</t>
  </si>
  <si>
    <t>CUST1184</t>
  </si>
  <si>
    <t>CUST1920</t>
  </si>
  <si>
    <t>CUST1537</t>
  </si>
  <si>
    <t>CUST1483</t>
  </si>
  <si>
    <t>CUST1580</t>
  </si>
  <si>
    <t>CUST1029</t>
  </si>
  <si>
    <t>CUST1362</t>
  </si>
  <si>
    <t>CUST1060</t>
  </si>
  <si>
    <t>CUST1211</t>
  </si>
  <si>
    <t>CUST1679</t>
  </si>
  <si>
    <t>CUST1476</t>
  </si>
  <si>
    <t>CUST1741</t>
  </si>
  <si>
    <t>CUST1070</t>
  </si>
  <si>
    <t>CUST1400</t>
  </si>
  <si>
    <t>CUST1502</t>
  </si>
  <si>
    <t>CUST1225</t>
  </si>
  <si>
    <t>CUST1469</t>
  </si>
  <si>
    <t>CUST1651</t>
  </si>
  <si>
    <t>CUST1427</t>
  </si>
  <si>
    <t>CUST1446</t>
  </si>
  <si>
    <t>CUST1411</t>
  </si>
  <si>
    <t>CUST1763</t>
  </si>
  <si>
    <t>CUST1563</t>
  </si>
  <si>
    <t>CUST1202</t>
  </si>
  <si>
    <t>CUST1914</t>
  </si>
  <si>
    <t>CUST1486</t>
  </si>
  <si>
    <t>CUST1700</t>
  </si>
  <si>
    <t>CUST1139</t>
  </si>
  <si>
    <t>CUST1911</t>
  </si>
  <si>
    <t>CUST1379</t>
  </si>
  <si>
    <t>CUST1661</t>
  </si>
  <si>
    <t>CUST1754</t>
  </si>
  <si>
    <t>CUST1175</t>
  </si>
  <si>
    <t>CUST1329</t>
  </si>
  <si>
    <t>CUST1392</t>
  </si>
  <si>
    <t>CUST1497</t>
  </si>
  <si>
    <t>CUST1302</t>
  </si>
  <si>
    <t>CUST1857</t>
  </si>
  <si>
    <t>CUST1164</t>
  </si>
  <si>
    <t>CUST1775</t>
  </si>
  <si>
    <t>CUST1240</t>
  </si>
  <si>
    <t>CUST1388</t>
  </si>
  <si>
    <t>CUST1331</t>
  </si>
  <si>
    <t>CUST1493</t>
  </si>
  <si>
    <t>CUST1800</t>
  </si>
  <si>
    <t>CUST1432</t>
  </si>
  <si>
    <t>CUST1103</t>
  </si>
  <si>
    <t>CUST1222</t>
  </si>
  <si>
    <t>CUST1345</t>
  </si>
  <si>
    <t>CUST1378</t>
  </si>
  <si>
    <t>CUST1733</t>
  </si>
  <si>
    <t>CUST1341</t>
  </si>
  <si>
    <t>CUST1579</t>
  </si>
  <si>
    <t>CUST1629</t>
  </si>
  <si>
    <t>CUST1719</t>
  </si>
  <si>
    <t>CUST1932</t>
  </si>
  <si>
    <t>CUST1212</t>
  </si>
  <si>
    <t>CUST1643</t>
  </si>
  <si>
    <t>CUST1018</t>
  </si>
  <si>
    <t>CUST1404</t>
  </si>
  <si>
    <t>CUST1816</t>
  </si>
  <si>
    <t>CUST1434</t>
  </si>
  <si>
    <t>CUST1556</t>
  </si>
  <si>
    <t>CUST1611</t>
  </si>
  <si>
    <t>CUST1091</t>
  </si>
  <si>
    <t>CUST1913</t>
  </si>
  <si>
    <t>CUST1640</t>
  </si>
  <si>
    <t>CUST1772</t>
  </si>
  <si>
    <t>CUST1564</t>
  </si>
  <si>
    <t>CUST1179</t>
  </si>
  <si>
    <t>CUST1470</t>
  </si>
  <si>
    <t>CUST1889</t>
  </si>
  <si>
    <t>CUST1358</t>
  </si>
  <si>
    <t>CUST1441</t>
  </si>
  <si>
    <t>CUST1109</t>
  </si>
  <si>
    <t>CUST1075</t>
  </si>
  <si>
    <t>CUST1728</t>
  </si>
  <si>
    <t>CUST1918</t>
  </si>
  <si>
    <t>CUST1425</t>
  </si>
  <si>
    <t>CUST1452</t>
  </si>
  <si>
    <t>CUST1988</t>
  </si>
  <si>
    <t>CUST1257</t>
  </si>
  <si>
    <t>CUST1161</t>
  </si>
  <si>
    <t>CUST1258</t>
  </si>
  <si>
    <t>CUST1970</t>
  </si>
  <si>
    <t>CUST1915</t>
  </si>
  <si>
    <t>CUST1233</t>
  </si>
  <si>
    <t>CUST1126</t>
  </si>
  <si>
    <t>CUST1403</t>
  </si>
  <si>
    <t>CUST1713</t>
  </si>
  <si>
    <t>CUST1615</t>
  </si>
  <si>
    <t>CUST1621</t>
  </si>
  <si>
    <t>CUST1334</t>
  </si>
  <si>
    <t>CUST1620</t>
  </si>
  <si>
    <t>CUST1624</t>
  </si>
  <si>
    <t>CUST1715</t>
  </si>
  <si>
    <t>CUST1569</t>
  </si>
  <si>
    <t>CUST1114</t>
  </si>
  <si>
    <t>CUST1210</t>
  </si>
  <si>
    <t>CUST1151</t>
  </si>
  <si>
    <t>CUST1983</t>
  </si>
  <si>
    <t>CUST1977</t>
  </si>
  <si>
    <t>CUST1781</t>
  </si>
  <si>
    <t>CUST1521</t>
  </si>
  <si>
    <t>CUST1726</t>
  </si>
  <si>
    <t>CUST1520</t>
  </si>
  <si>
    <t>CUST1664</t>
  </si>
  <si>
    <t>CUST1678</t>
  </si>
  <si>
    <t>CUST1015</t>
  </si>
  <si>
    <t>CUST1523</t>
  </si>
  <si>
    <t>CUST1778</t>
  </si>
  <si>
    <t>CUST1289</t>
  </si>
  <si>
    <t>CUST1601</t>
  </si>
  <si>
    <t>CUST1414</t>
  </si>
  <si>
    <t>CUST1227</t>
  </si>
  <si>
    <t>CUST1963</t>
  </si>
  <si>
    <t>CUST1095</t>
  </si>
  <si>
    <t>CUST1077</t>
  </si>
  <si>
    <t>CUST1477</t>
  </si>
  <si>
    <t>CUST1541</t>
  </si>
  <si>
    <t>CUST1809</t>
  </si>
  <si>
    <t>CUST1673</t>
  </si>
  <si>
    <t>CUST1496</t>
  </si>
  <si>
    <t>CUST1213</t>
  </si>
  <si>
    <t>CUST1652</t>
  </si>
  <si>
    <t>CUST1412</t>
  </si>
  <si>
    <t>CUST1177</t>
  </si>
  <si>
    <t>CUST1431</t>
  </si>
  <si>
    <t>CUST1561</t>
  </si>
  <si>
    <t>CUST1389</t>
  </si>
  <si>
    <t>CUST1697</t>
  </si>
  <si>
    <t>CUST1288</t>
  </si>
  <si>
    <t>CUST1955</t>
  </si>
  <si>
    <t>CUST1255</t>
  </si>
  <si>
    <t>CUST1935</t>
  </si>
  <si>
    <t>CUST1875</t>
  </si>
  <si>
    <t>CUST1461</t>
  </si>
  <si>
    <t>CUST1786</t>
  </si>
  <si>
    <t>CUST1009</t>
  </si>
  <si>
    <t>CUST1811</t>
  </si>
  <si>
    <t>CUST1011</t>
  </si>
  <si>
    <t>CUST1694</t>
  </si>
  <si>
    <t>CUST1635</t>
  </si>
  <si>
    <t>CUST1616</t>
  </si>
  <si>
    <t>CUST1198</t>
  </si>
  <si>
    <t>CUST1466</t>
  </si>
  <si>
    <t>CUST1858</t>
  </si>
  <si>
    <t>CUST1582</t>
  </si>
  <si>
    <t>CUST1936</t>
  </si>
  <si>
    <t>CUST1776</t>
  </si>
  <si>
    <t>CUST1976</t>
  </si>
  <si>
    <t>CUST1830</t>
  </si>
  <si>
    <t>CUST1081</t>
  </si>
  <si>
    <t>CUST1043</t>
  </si>
  <si>
    <t>CUST1357</t>
  </si>
  <si>
    <t>CUST1044</t>
  </si>
  <si>
    <t>CUST1368</t>
  </si>
  <si>
    <t>CUST1156</t>
  </si>
  <si>
    <t>CUST1808</t>
  </si>
  <si>
    <t>CUST1631</t>
  </si>
  <si>
    <t>CUST1373</t>
  </si>
  <si>
    <t>CUST1740</t>
  </si>
  <si>
    <t>CUST1436</t>
  </si>
  <si>
    <t>CUST1903</t>
  </si>
  <si>
    <t>CUST1402</t>
  </si>
  <si>
    <t>CUST1606</t>
  </si>
  <si>
    <t>CUST1895</t>
  </si>
  <si>
    <t>CUST1501</t>
  </si>
  <si>
    <t>CUST1491</t>
  </si>
  <si>
    <t>CUST1152</t>
  </si>
  <si>
    <t>CUST1767</t>
  </si>
  <si>
    <t>CUST1336</t>
  </si>
  <si>
    <t>CUST1351</t>
  </si>
  <si>
    <t>CUST1532</t>
  </si>
  <si>
    <t>CUST1265</t>
  </si>
  <si>
    <t>CUST1110</t>
  </si>
  <si>
    <t>CUST1837</t>
  </si>
  <si>
    <t>CUST1886</t>
  </si>
  <si>
    <t>CUST1833</t>
  </si>
  <si>
    <t>CUST1475</t>
  </si>
  <si>
    <t>CUST1364</t>
  </si>
  <si>
    <t>CUST1892</t>
  </si>
  <si>
    <t>CUST1570</t>
  </si>
  <si>
    <t>CUST1369</t>
  </si>
  <si>
    <t>CUST1882</t>
  </si>
  <si>
    <t>CUST1410</t>
  </si>
  <si>
    <t>CUST1888</t>
  </si>
  <si>
    <t>CUST1583</t>
  </si>
  <si>
    <t>CUST1693</t>
  </si>
  <si>
    <t>CUST1973</t>
  </si>
  <si>
    <t>CUST1433</t>
  </si>
  <si>
    <t>CUST1014</t>
  </si>
  <si>
    <t>CUST1252</t>
  </si>
  <si>
    <t>CUST1538</t>
  </si>
  <si>
    <t>CUST1384</t>
  </si>
  <si>
    <t>CUST1835</t>
  </si>
  <si>
    <t>CUST1505</t>
  </si>
  <si>
    <t>CUST1263</t>
  </si>
  <si>
    <t>CUST1417</t>
  </si>
  <si>
    <t>CUST1342</t>
  </si>
  <si>
    <t>CUST1736</t>
  </si>
  <si>
    <t>CUST1084</t>
  </si>
  <si>
    <t>CUST1006</t>
  </si>
  <si>
    <t>CUST1587</t>
  </si>
  <si>
    <t>CUST1699</t>
  </si>
  <si>
    <t>CUST1612</t>
  </si>
  <si>
    <t>CUST1879</t>
  </si>
  <si>
    <t>CUST1055</t>
  </si>
  <si>
    <t>CUST1063</t>
  </si>
  <si>
    <t>CUST1720</t>
  </si>
  <si>
    <t>CUST1709</t>
  </si>
  <si>
    <t>CUST1578</t>
  </si>
  <si>
    <t>CUST1685</t>
  </si>
  <si>
    <t>CUST1649</t>
  </si>
  <si>
    <t>CUST1355</t>
  </si>
  <si>
    <t>CUST1383</t>
  </si>
  <si>
    <t>CUST1310</t>
  </si>
  <si>
    <t>CUST1807</t>
  </si>
  <si>
    <t>CUST1916</t>
  </si>
  <si>
    <t>CUST1926</t>
  </si>
  <si>
    <t>CUST1054</t>
  </si>
  <si>
    <t>CUST1435</t>
  </si>
  <si>
    <t>CUST1729</t>
  </si>
  <si>
    <t>CUST1689</t>
  </si>
  <si>
    <t>CUST1861</t>
  </si>
  <si>
    <t>CUST1323</t>
  </si>
  <si>
    <t>CUST1130</t>
  </si>
  <si>
    <t>CUST1317</t>
  </si>
  <si>
    <t>CUST1377</t>
  </si>
  <si>
    <t>CUST1443</t>
  </si>
  <si>
    <t>CUST1429</t>
  </si>
  <si>
    <t>CUST1513</t>
  </si>
  <si>
    <t>CUST1131</t>
  </si>
  <si>
    <t>CUST1499</t>
  </si>
  <si>
    <t>CUST1881</t>
  </si>
  <si>
    <t>CUST1848</t>
  </si>
  <si>
    <t>CUST1349</t>
  </si>
  <si>
    <t>CUST1344</t>
  </si>
  <si>
    <t>CUST1422</t>
  </si>
  <si>
    <t>CUST1022</t>
  </si>
  <si>
    <t>CUST1657</t>
  </si>
  <si>
    <t>CUST1498</t>
  </si>
  <si>
    <t>CUST1840</t>
  </si>
  <si>
    <t>CUST1251</t>
  </si>
  <si>
    <t>CUST1831</t>
  </si>
  <si>
    <t>CUST1160</t>
  </si>
  <si>
    <t>CUST1234</t>
  </si>
  <si>
    <t>CUST1413</t>
  </si>
  <si>
    <t>CUST1524</t>
  </si>
  <si>
    <t>CUST1528</t>
  </si>
  <si>
    <t>CUST1453</t>
  </si>
  <si>
    <t>CUST1277</t>
  </si>
  <si>
    <t>CUST1639</t>
  </si>
  <si>
    <t>CUST1954</t>
  </si>
  <si>
    <t>CUST1996</t>
  </si>
  <si>
    <t>CUST1381</t>
  </si>
  <si>
    <t>CUST1086</t>
  </si>
  <si>
    <t>CUST1730</t>
  </si>
  <si>
    <t>CUST1650</t>
  </si>
  <si>
    <t>CUST1877</t>
  </si>
  <si>
    <t>CUST1609</t>
  </si>
  <si>
    <t>CUST1825</t>
  </si>
  <si>
    <t>CUST1845</t>
  </si>
  <si>
    <t>CUST1397</t>
  </si>
  <si>
    <t>CUST1972</t>
  </si>
  <si>
    <t>CUST1037</t>
  </si>
  <si>
    <t>CUST1474</t>
  </si>
  <si>
    <t>CUST1450</t>
  </si>
  <si>
    <t>CUST1554</t>
  </si>
  <si>
    <t>CUST1100</t>
  </si>
  <si>
    <t>CUST1113</t>
  </si>
  <si>
    <t>CUST1712</t>
  </si>
  <si>
    <t>CUST1337</t>
  </si>
  <si>
    <t>CUST1666</t>
  </si>
  <si>
    <t>CUST1439</t>
  </si>
  <si>
    <t>CUST1346</t>
  </si>
  <si>
    <t>CUST1059</t>
  </si>
  <si>
    <t>CUST1756</t>
  </si>
  <si>
    <t>CUST1278</t>
  </si>
  <si>
    <t>CUST1574</t>
  </si>
  <si>
    <t>CUST1929</t>
  </si>
  <si>
    <t>CUST1481</t>
  </si>
  <si>
    <t>CUST1500</t>
  </si>
  <si>
    <t>CUST1248</t>
  </si>
  <si>
    <t>CUST1295</t>
  </si>
  <si>
    <t>CUST1456</t>
  </si>
  <si>
    <t>CUST1982</t>
  </si>
  <si>
    <t>CUST1194</t>
  </si>
  <si>
    <t>CUST1873</t>
  </si>
  <si>
    <t>CUST1682</t>
  </si>
  <si>
    <t>CUST1654</t>
  </si>
  <si>
    <t>CUST1863</t>
  </si>
  <si>
    <t>CUST1566</t>
  </si>
  <si>
    <t>CUST1027</t>
  </si>
  <si>
    <t>CUST1473</t>
  </si>
  <si>
    <t>CUST1112</t>
  </si>
  <si>
    <t>CUST1266</t>
  </si>
  <si>
    <t>CUST1510</t>
  </si>
  <si>
    <t>CUST1962</t>
  </si>
  <si>
    <t>CUST1909</t>
  </si>
  <si>
    <t>CUST1016</t>
  </si>
  <si>
    <t>CUST1917</t>
  </si>
  <si>
    <t>CUST1622</t>
  </si>
  <si>
    <t>CUST1912</t>
  </si>
  <si>
    <t>CUST1448</t>
  </si>
  <si>
    <t>CUST1883</t>
  </si>
  <si>
    <t>CUST1307</t>
  </si>
  <si>
    <t>CUST1752</t>
  </si>
  <si>
    <t>CUST1540</t>
  </si>
  <si>
    <t>CUST1260</t>
  </si>
  <si>
    <t>CUST1638</t>
  </si>
  <si>
    <t>CUST1938</t>
  </si>
  <si>
    <t>CUST1555</t>
  </si>
  <si>
    <t>CUST1294</t>
  </si>
  <si>
    <t>CUST1975</t>
  </si>
  <si>
    <t>CUST1101</t>
  </si>
  <si>
    <t>CUST1291</t>
  </si>
  <si>
    <t>CUST1792</t>
  </si>
  <si>
    <t>CUST1155</t>
  </si>
  <si>
    <t>CUST1062</t>
  </si>
  <si>
    <t>CUST1279</t>
  </si>
  <si>
    <t>CUST1535</t>
  </si>
  <si>
    <t>CUST1312</t>
  </si>
  <si>
    <t>CUST1328</t>
  </si>
  <si>
    <t>CUST1488</t>
  </si>
  <si>
    <t>CUST1671</t>
  </si>
  <si>
    <t>CUST1298</t>
  </si>
  <si>
    <t>CUST1906</t>
  </si>
  <si>
    <t>CUST1910</t>
  </si>
  <si>
    <t>CUST1660</t>
  </si>
  <si>
    <t>CUST1183</t>
  </si>
  <si>
    <t>CUST1590</t>
  </si>
  <si>
    <t>CUST1790</t>
  </si>
  <si>
    <t>CUST1577</t>
  </si>
  <si>
    <t>CUST1324</t>
  </si>
  <si>
    <t>CUST1690</t>
  </si>
  <si>
    <t>CUST1794</t>
  </si>
  <si>
    <t>CUST1285</t>
  </si>
  <si>
    <t>CUST1174</t>
  </si>
  <si>
    <t>CUST1096</t>
  </si>
  <si>
    <t>CUST1777</t>
  </si>
  <si>
    <t>CUST1939</t>
  </si>
  <si>
    <t>CUST1605</t>
  </si>
  <si>
    <t>CUST1314</t>
  </si>
  <si>
    <t>CUST1659</t>
  </si>
  <si>
    <t>CUST1300</t>
  </si>
  <si>
    <t>CUST1440</t>
  </si>
  <si>
    <t>CUST1353</t>
  </si>
  <si>
    <t>CUST1964</t>
  </si>
  <si>
    <t>CUST1308</t>
  </si>
  <si>
    <t>CUST1618</t>
  </si>
  <si>
    <t>CUST1492</t>
  </si>
  <si>
    <t>CUST1380</t>
  </si>
  <si>
    <t>CUST1190</t>
  </si>
  <si>
    <t>CUST1991</t>
  </si>
  <si>
    <t>CUST1743</t>
  </si>
  <si>
    <t>CUST1799</t>
  </si>
  <si>
    <t>CUST1039</t>
  </si>
  <si>
    <t>CUST1597</t>
  </si>
  <si>
    <t>CUST1366</t>
  </si>
  <si>
    <t>CUST1365</t>
  </si>
  <si>
    <t>CUST1008</t>
  </si>
  <si>
    <t>CUST1418</t>
  </si>
  <si>
    <t>CUST1968</t>
  </si>
  <si>
    <t>CUST1231</t>
  </si>
  <si>
    <t>CUST1000</t>
  </si>
  <si>
    <t>CUST1706</t>
  </si>
  <si>
    <t>CUST1275</t>
  </si>
  <si>
    <t>CUST1339</t>
  </si>
  <si>
    <t>CUST1454</t>
  </si>
  <si>
    <t>CUST1247</t>
  </si>
  <si>
    <t>CUST1319</t>
  </si>
  <si>
    <t>CUST1326</t>
  </si>
  <si>
    <t>CUST1145</t>
  </si>
  <si>
    <t>CUST1588</t>
  </si>
  <si>
    <t>CUST1732</t>
  </si>
  <si>
    <t>CUST1033</t>
  </si>
  <si>
    <t>CUST1526</t>
  </si>
  <si>
    <t>CUST1737</t>
  </si>
  <si>
    <t>CUST1352</t>
  </si>
  <si>
    <t>CUST1950</t>
  </si>
  <si>
    <t>CUST1636</t>
  </si>
  <si>
    <t>CUST1309</t>
  </si>
  <si>
    <t>CUST1283</t>
  </si>
  <si>
    <t>CUST1750</t>
  </si>
  <si>
    <t>CUST1656</t>
  </si>
  <si>
    <t>CUST1761</t>
  </si>
  <si>
    <t>CUST1642</t>
  </si>
  <si>
    <t>CUST1748</t>
  </si>
  <si>
    <t>CUST1200</t>
  </si>
  <si>
    <t>CUST1843</t>
  </si>
  <si>
    <t>CUST1192</t>
  </si>
  <si>
    <t>CUST1986</t>
  </si>
  <si>
    <t>CUST1204</t>
  </si>
  <si>
    <t>CUST1028</t>
  </si>
  <si>
    <t>CUST1057</t>
  </si>
  <si>
    <t>CUST1449</t>
  </si>
  <si>
    <t>CUST1855</t>
  </si>
  <si>
    <t>CUST1147</t>
  </si>
  <si>
    <t>CUST1376</t>
  </si>
  <si>
    <t>CUST1784</t>
  </si>
  <si>
    <t>CUST1744</t>
  </si>
  <si>
    <t>CUST1533</t>
  </si>
  <si>
    <t>CUST1904</t>
  </si>
  <si>
    <t>CUST1149</t>
  </si>
  <si>
    <t>CUST1185</t>
  </si>
  <si>
    <t>CUST1119</t>
  </si>
  <si>
    <t>CUST1305</t>
  </si>
  <si>
    <t>CUST1871</t>
  </si>
  <si>
    <t>CUST1089</t>
  </si>
  <si>
    <t>CUST1264</t>
  </si>
  <si>
    <t>CUST1073</t>
  </si>
  <si>
    <t>CUST1313</t>
  </si>
  <si>
    <t>CUST1375</t>
  </si>
  <si>
    <t>CUST1714</t>
  </si>
  <si>
    <t>CUST1721</t>
  </si>
  <si>
    <t>CUST1356</t>
  </si>
  <si>
    <t>CUST1494</t>
  </si>
  <si>
    <t>CUST1293</t>
  </si>
  <si>
    <t>CUST1708</t>
  </si>
  <si>
    <t>CUST1980</t>
  </si>
  <si>
    <t>CUST1617</t>
  </si>
  <si>
    <t>CUST1274</t>
  </si>
  <si>
    <t>CUST1276</t>
  </si>
  <si>
    <t>CUST1150</t>
  </si>
  <si>
    <t>CUST1108</t>
  </si>
  <si>
    <t>CUST1529</t>
  </si>
  <si>
    <t>CUST1495</t>
  </si>
  <si>
    <t>CUST1297</t>
  </si>
  <si>
    <t>CUST1985</t>
  </si>
  <si>
    <t>CUST1058</t>
  </si>
  <si>
    <t>CUST1172</t>
  </si>
  <si>
    <t>CUST1236</t>
  </si>
  <si>
    <t>CUST1102</t>
  </si>
  <si>
    <t>CUST1056</t>
  </si>
  <si>
    <t>CUST1087</t>
  </si>
  <si>
    <t>CUST1220</t>
  </si>
  <si>
    <t>CUST1595</t>
  </si>
  <si>
    <t>CUST1788</t>
  </si>
  <si>
    <t>CUST1766</t>
  </si>
  <si>
    <t>CUST1154</t>
  </si>
  <si>
    <t>CUST1543</t>
  </si>
  <si>
    <t>CUST1922</t>
  </si>
  <si>
    <t>CUST1821</t>
  </si>
  <si>
    <t>CUST1025</t>
  </si>
  <si>
    <t>CUST1897</t>
  </si>
  <si>
    <t>CUST1040</t>
  </si>
  <si>
    <t>CUST1444</t>
  </si>
  <si>
    <t>CUST1981</t>
  </si>
  <si>
    <t>CUST1178</t>
  </si>
  <si>
    <t>CUST1599</t>
  </si>
  <si>
    <t>CUST1463</t>
  </si>
  <si>
    <t>CUST1867</t>
  </si>
  <si>
    <t>CUST1228</t>
  </si>
  <si>
    <t>CUST1322</t>
  </si>
  <si>
    <t>CUST1905</t>
  </si>
  <si>
    <t>CUST1933</t>
  </si>
  <si>
    <t>CUST1604</t>
  </si>
  <si>
    <t>CUST1824</t>
  </si>
  <si>
    <t>CUST1655</t>
  </si>
  <si>
    <t>CUST1951</t>
  </si>
  <si>
    <t>CUST1066</t>
  </si>
  <si>
    <t>CUST1549</t>
  </si>
  <si>
    <t>CUST1900</t>
  </si>
  <si>
    <t>CUST1947</t>
  </si>
  <si>
    <t>CUST1124</t>
  </si>
  <si>
    <t>CUST1123</t>
  </si>
  <si>
    <t>CUST1742</t>
  </si>
  <si>
    <t>CUST1967</t>
  </si>
  <si>
    <t>CUST1731</t>
  </si>
  <si>
    <t>CUST1030</t>
  </si>
  <si>
    <t>CUST1051</t>
  </si>
  <si>
    <t>CUST1517</t>
  </si>
  <si>
    <t>CUST1937</t>
  </si>
  <si>
    <t>CUST1071</t>
  </si>
  <si>
    <t>CUST1419</t>
  </si>
  <si>
    <t>CUST1311</t>
  </si>
  <si>
    <t>CUST1013</t>
  </si>
  <si>
    <t>CUST1735</t>
  </si>
  <si>
    <t>CUST1557</t>
  </si>
  <si>
    <t>CUST1127</t>
  </si>
  <si>
    <t>CUST1934</t>
  </si>
  <si>
    <t>CUST1960</t>
  </si>
  <si>
    <t>CUST1197</t>
  </si>
  <si>
    <t>CUST1090</t>
  </si>
  <si>
    <t>CUST1182</t>
  </si>
  <si>
    <t>CUST1558</t>
  </si>
  <si>
    <t>CUST1209</t>
  </si>
  <si>
    <t>CUST1838</t>
  </si>
  <si>
    <t>CUST1515</t>
  </si>
  <si>
    <t>CUST1046</t>
  </si>
  <si>
    <t>CUST1632</t>
  </si>
  <si>
    <t>CUST1923</t>
  </si>
  <si>
    <t>CUST1180</t>
  </si>
  <si>
    <t>CUST1550</t>
  </si>
  <si>
    <t>CUST1989</t>
  </si>
  <si>
    <t>CUST1064</t>
  </si>
  <si>
    <t>CUST1589</t>
  </si>
  <si>
    <t>CUST1717</t>
  </si>
  <si>
    <t>CUST1623</t>
  </si>
  <si>
    <t>CUST1553</t>
  </si>
  <si>
    <t>CUST1834</t>
  </si>
  <si>
    <t>CUST1093</t>
  </si>
  <si>
    <t>CUST1239</t>
  </si>
  <si>
    <t>CUST1347</t>
  </si>
  <si>
    <t>CUST1817</t>
  </si>
  <si>
    <t>CUST1990</t>
  </si>
  <si>
    <t>CUST1170</t>
  </si>
  <si>
    <t>CUST1826</t>
  </si>
  <si>
    <t>CUST1280</t>
  </si>
  <si>
    <t>CUST1325</t>
  </si>
  <si>
    <t>CUST1944</t>
  </si>
  <si>
    <t>CUST1176</t>
  </si>
  <si>
    <t>CUST1218</t>
  </si>
  <si>
    <t>CUST1789</t>
  </si>
  <si>
    <t>CUST1408</t>
  </si>
  <si>
    <t>CUST1482</t>
  </si>
  <si>
    <t>CUST1136</t>
  </si>
  <si>
    <t>CUST1841</t>
  </si>
  <si>
    <t>CUST1769</t>
  </si>
  <si>
    <t>CUST1738</t>
  </si>
  <si>
    <t>CUST1757</t>
  </si>
  <si>
    <t>CUST1993</t>
  </si>
  <si>
    <t>CUST1516</t>
  </si>
  <si>
    <t>CUST1908</t>
  </si>
  <si>
    <t>CUST1020</t>
  </si>
  <si>
    <t>CUST1681</t>
  </si>
  <si>
    <t>CUST1471</t>
  </si>
  <si>
    <t>CUST1490</t>
  </si>
  <si>
    <t>CUST1927</t>
  </si>
  <si>
    <t>CUST1273</t>
  </si>
  <si>
    <t>CUST1847</t>
  </si>
  <si>
    <t>CUST1162</t>
  </si>
  <si>
    <t>CUST1672</t>
  </si>
  <si>
    <t>CUST1292</t>
  </si>
  <si>
    <t>CUST1076</t>
  </si>
  <si>
    <t>CUST1755</t>
  </si>
  <si>
    <t>CUST1994</t>
  </si>
  <si>
    <t>CUST1189</t>
  </si>
  <si>
    <t>CUST1296</t>
  </si>
  <si>
    <t>CUST1391</t>
  </si>
  <si>
    <t>CUST1619</t>
  </si>
  <si>
    <t>CUST1269</t>
  </si>
  <si>
    <t>CUST1398</t>
  </si>
  <si>
    <t>CUST1548</t>
  </si>
  <si>
    <t>CUST1527</t>
  </si>
  <si>
    <t>CUST1447</t>
  </si>
  <si>
    <t>CUST1332</t>
  </si>
  <si>
    <t>CUST1005</t>
  </si>
  <si>
    <t>CUST1662</t>
  </si>
  <si>
    <t>CUST1793</t>
  </si>
  <si>
    <t>CUST1031</t>
  </si>
  <si>
    <t>CUST1129</t>
  </si>
  <si>
    <t>CUST1467</t>
  </si>
  <si>
    <t>CUST1460</t>
  </si>
  <si>
    <t>CUST1525</t>
  </si>
  <si>
    <t>CUST1677</t>
  </si>
  <si>
    <t>CUST1812</t>
  </si>
  <si>
    <t>CUST1850</t>
  </si>
  <si>
    <t>CUST1907</t>
  </si>
  <si>
    <t>CUST1512</t>
  </si>
  <si>
    <t>CUST1779</t>
  </si>
  <si>
    <t>CUST1395</t>
  </si>
  <si>
    <t>CUST1219</t>
  </si>
  <si>
    <t>CUST1760</t>
  </si>
  <si>
    <t>CUST1148</t>
  </si>
  <si>
    <t>CUST1050</t>
  </si>
  <si>
    <t>CUST1354</t>
  </si>
  <si>
    <t>CUST1406</t>
  </si>
  <si>
    <t>CUST1078</t>
  </si>
  <si>
    <t>CUST1132</t>
  </si>
  <si>
    <t>CUST1181</t>
  </si>
  <si>
    <t>CUST1896</t>
  </si>
  <si>
    <t>CUST1663</t>
  </si>
  <si>
    <t>CUST1893</t>
  </si>
  <si>
    <t>CUST1208</t>
  </si>
  <si>
    <t>CUST1459</t>
  </si>
  <si>
    <t>CUST1630</t>
  </si>
  <si>
    <t>CUST1531</t>
  </si>
  <si>
    <t>CUST1421</t>
  </si>
  <si>
    <t>CUST1128</t>
  </si>
  <si>
    <t>CUST1259</t>
  </si>
  <si>
    <t>CUST1872</t>
  </si>
  <si>
    <t>CUST1885</t>
  </si>
  <si>
    <t>CUST1135</t>
  </si>
  <si>
    <t>CUST1696</t>
  </si>
  <si>
    <t>CUST1072</t>
  </si>
  <si>
    <t>CUST1946</t>
  </si>
  <si>
    <t>CUST1163</t>
  </si>
  <si>
    <t>CUST1925</t>
  </si>
  <si>
    <t>CUST1734</t>
  </si>
  <si>
    <t>CUST1823</t>
  </si>
  <si>
    <t>CUST1223</t>
  </si>
  <si>
    <t>CUST1828</t>
  </si>
  <si>
    <t>CUST1047</t>
  </si>
  <si>
    <t>CUST1701</t>
  </si>
  <si>
    <t>CUST1303</t>
  </si>
  <si>
    <t>CUST1880</t>
  </si>
  <si>
    <t>CUST1423</t>
  </si>
  <si>
    <t>CUST1965</t>
  </si>
  <si>
    <t>CUST1565</t>
  </si>
  <si>
    <t>CUST1053</t>
  </si>
  <si>
    <t>CUST1455</t>
  </si>
  <si>
    <t>CUST1370</t>
  </si>
  <si>
    <t>CUST1774</t>
  </si>
  <si>
    <t>CUST1137</t>
  </si>
  <si>
    <t>CUST1242</t>
  </si>
  <si>
    <t>CUST1244</t>
  </si>
  <si>
    <t>CUST1158</t>
  </si>
  <si>
    <t>CUST1941</t>
  </si>
  <si>
    <t>CUST1797</t>
  </si>
  <si>
    <t>CUST1116</t>
  </si>
  <si>
    <t>CUST1684</t>
  </si>
  <si>
    <t>CUST1891</t>
  </si>
  <si>
    <t>CUST1691</t>
  </si>
  <si>
    <t>CUST1596</t>
  </si>
  <si>
    <t>CUST1004</t>
  </si>
  <si>
    <t>CUST1195</t>
  </si>
  <si>
    <t>CUST1851</t>
  </si>
  <si>
    <t>CUST1575</t>
  </si>
  <si>
    <t>CUST1762</t>
  </si>
  <si>
    <t>CUST1232</t>
  </si>
  <si>
    <t>CUST1608</t>
  </si>
  <si>
    <t>CUST1188</t>
  </si>
  <si>
    <t>CUST1424</t>
  </si>
  <si>
    <t>CUST1544</t>
  </si>
  <si>
    <t>CUST1203</t>
  </si>
  <si>
    <t>CUST1230</t>
  </si>
  <si>
    <t>CUST1142</t>
  </si>
  <si>
    <t>CUST1942</t>
  </si>
  <si>
    <t>CUST1010</t>
  </si>
  <si>
    <t>CUST1547</t>
  </si>
  <si>
    <t>CUST1827</t>
  </si>
  <si>
    <t>CUST1386</t>
  </si>
  <si>
    <t>CUST1157</t>
  </si>
  <si>
    <t>Samaira Subramanian</t>
  </si>
  <si>
    <t>Siya Andra</t>
  </si>
  <si>
    <t>Ishaan Lala</t>
  </si>
  <si>
    <t>Seher Raman</t>
  </si>
  <si>
    <t>Trisha Buch</t>
  </si>
  <si>
    <t>Shalv Boase</t>
  </si>
  <si>
    <t>Samar Karnik</t>
  </si>
  <si>
    <t>Hansh Chaudhuri</t>
  </si>
  <si>
    <t>Pihu Bawa</t>
  </si>
  <si>
    <t>Chirag Banik</t>
  </si>
  <si>
    <t>Advik Khalsa</t>
  </si>
  <si>
    <t>Eshani Divan</t>
  </si>
  <si>
    <t>Hrishita Yadav</t>
  </si>
  <si>
    <t>Umang Rajan</t>
  </si>
  <si>
    <t>Navya Kapadia</t>
  </si>
  <si>
    <t>Kaira Bumb</t>
  </si>
  <si>
    <t>Suhana Arora</t>
  </si>
  <si>
    <t>Advika Khanna</t>
  </si>
  <si>
    <t>Badal Bhatti</t>
  </si>
  <si>
    <t>Nishith Gill</t>
  </si>
  <si>
    <t>Miraya Jain</t>
  </si>
  <si>
    <t>Tejas Swamy</t>
  </si>
  <si>
    <t>Anya Mall</t>
  </si>
  <si>
    <t>Miraya Kaul</t>
  </si>
  <si>
    <t>Ayesha Iyer</t>
  </si>
  <si>
    <t>Taimur Sama</t>
  </si>
  <si>
    <t>Renee Ratti</t>
  </si>
  <si>
    <t>Vedika Raja</t>
  </si>
  <si>
    <t>Reyansh Vyas</t>
  </si>
  <si>
    <t>Amani Sen</t>
  </si>
  <si>
    <t>Kartik Bala</t>
  </si>
  <si>
    <t>Badal Kade</t>
  </si>
  <si>
    <t>Sana Aurora</t>
  </si>
  <si>
    <t>Rati Rana</t>
  </si>
  <si>
    <t>Jayesh Sant</t>
  </si>
  <si>
    <t>Vritika Ramachandran</t>
  </si>
  <si>
    <t>Ayesha Tiwari</t>
  </si>
  <si>
    <t>Yashvi Din</t>
  </si>
  <si>
    <t>Zara Keer</t>
  </si>
  <si>
    <t>Arhaan Gade</t>
  </si>
  <si>
    <t>Anahita D’Alia</t>
  </si>
  <si>
    <t>Prerak Sarin</t>
  </si>
  <si>
    <t>Tushar Varkey</t>
  </si>
  <si>
    <t>Mohanlal Sastry</t>
  </si>
  <si>
    <t>Indranil Gulati</t>
  </si>
  <si>
    <t>Shray Shere</t>
  </si>
  <si>
    <t>Mehul Ganesan</t>
  </si>
  <si>
    <t>Rhea Kala</t>
  </si>
  <si>
    <t>Nirvi Borde</t>
  </si>
  <si>
    <t>Misha Vora</t>
  </si>
  <si>
    <t>Krish Wason</t>
  </si>
  <si>
    <t>Umang Hayer</t>
  </si>
  <si>
    <t>Kavya Chander</t>
  </si>
  <si>
    <t>Zaina Malhotra</t>
  </si>
  <si>
    <t>Sahil Karan</t>
  </si>
  <si>
    <t>Shayak Kibe</t>
  </si>
  <si>
    <t>Badal Dhar</t>
  </si>
  <si>
    <t>Abram Balakrishnan</t>
  </si>
  <si>
    <t>Miraya Bir</t>
  </si>
  <si>
    <t>Lakshay Bhasin</t>
  </si>
  <si>
    <t>Yasmin Buch</t>
  </si>
  <si>
    <t>Priyansh Choudhury</t>
  </si>
  <si>
    <t>Jayan Sabharwal</t>
  </si>
  <si>
    <t>Aarav Jani</t>
  </si>
  <si>
    <t>Charvi Toor</t>
  </si>
  <si>
    <t>Hiran Borah</t>
  </si>
  <si>
    <t>Ryan Gokhale</t>
  </si>
  <si>
    <t>Zain Korpal</t>
  </si>
  <si>
    <t>Inaaya  Konda</t>
  </si>
  <si>
    <t>Ivana Mani</t>
  </si>
  <si>
    <t>Vanya Aurora</t>
  </si>
  <si>
    <t>Anya Karnik</t>
  </si>
  <si>
    <t>Hiran Dara</t>
  </si>
  <si>
    <t>Ehsaan Tak</t>
  </si>
  <si>
    <t>Shaan Golla</t>
  </si>
  <si>
    <t>Sumer Sule</t>
  </si>
  <si>
    <t>Siya Sagar</t>
  </si>
  <si>
    <t>Nitara Sagar</t>
  </si>
  <si>
    <t>Dharmajan Choudhry</t>
  </si>
  <si>
    <t>Ryan Dey</t>
  </si>
  <si>
    <t>Jayan Yohannan</t>
  </si>
  <si>
    <t>Aarna Dash</t>
  </si>
  <si>
    <t>Damini Kulkarni</t>
  </si>
  <si>
    <t>Manjari Suri</t>
  </si>
  <si>
    <t>Shanaya Sem</t>
  </si>
  <si>
    <t>Gatik Chandran</t>
  </si>
  <si>
    <t>Mishti Kalla</t>
  </si>
  <si>
    <t>Advika Brar</t>
  </si>
  <si>
    <t>Baiju Bahl</t>
  </si>
  <si>
    <t>Manikya Dutt</t>
  </si>
  <si>
    <t>Nayantara Rajagopal</t>
  </si>
  <si>
    <t>Nirvi Basak</t>
  </si>
  <si>
    <t>Uthkarsh Kale</t>
  </si>
  <si>
    <t>Divyansh Dixit</t>
  </si>
  <si>
    <t>Navya Aggarwal</t>
  </si>
  <si>
    <t>Aarna Jani</t>
  </si>
  <si>
    <t>Kartik Zachariah</t>
  </si>
  <si>
    <t>Akarsh Garg</t>
  </si>
  <si>
    <t>Amani Bumb</t>
  </si>
  <si>
    <t>Akarsh Mand</t>
  </si>
  <si>
    <t>Prerak Dora</t>
  </si>
  <si>
    <t>Nirvi Sastry</t>
  </si>
  <si>
    <t>Damini Bhatt</t>
  </si>
  <si>
    <t>Raunak Chanda</t>
  </si>
  <si>
    <t>Saksham Saha</t>
  </si>
  <si>
    <t>Purab Sami</t>
  </si>
  <si>
    <t>Indranil Vasa</t>
  </si>
  <si>
    <t>Advika Bajwa</t>
  </si>
  <si>
    <t>Vanya Subramanian</t>
  </si>
  <si>
    <t>Ivan Kibe</t>
  </si>
  <si>
    <t>Zara Madan</t>
  </si>
  <si>
    <t>Prerak Wadhwa</t>
  </si>
  <si>
    <t>Jivin Karnik</t>
  </si>
  <si>
    <t>Hansh Bali</t>
  </si>
  <si>
    <t>Riaan Gill</t>
  </si>
  <si>
    <t>Dishani Balakrishnan</t>
  </si>
  <si>
    <t>Onkar Korpal</t>
  </si>
  <si>
    <t>Himmat Buch</t>
  </si>
  <si>
    <t>Damini Mammen</t>
  </si>
  <si>
    <t>Trisha Bawa</t>
  </si>
  <si>
    <t>Sumer Thaman</t>
  </si>
  <si>
    <t>Madhav Dugal</t>
  </si>
  <si>
    <t>Advika Baria</t>
  </si>
  <si>
    <t>Gokul Guha</t>
  </si>
  <si>
    <t>Ishita Behl</t>
  </si>
  <si>
    <t>Suhana Upadhyay</t>
  </si>
  <si>
    <t>Mannat Barad</t>
  </si>
  <si>
    <t>Aayush Cheema</t>
  </si>
  <si>
    <t>Zeeshan Tata</t>
  </si>
  <si>
    <t>Advika Ganguly</t>
  </si>
  <si>
    <t>Abram Jain</t>
  </si>
  <si>
    <t>Nayantara Sanghvi</t>
  </si>
  <si>
    <t>Yuvaan Brar</t>
  </si>
  <si>
    <t>Tiya Kamdar</t>
  </si>
  <si>
    <t>Vritika Joshi</t>
  </si>
  <si>
    <t>Krish Dubey</t>
  </si>
  <si>
    <t>Suhana Chana</t>
  </si>
  <si>
    <t>Ishaan Mangat</t>
  </si>
  <si>
    <t>Shanaya Deshpande</t>
  </si>
  <si>
    <t>Charvi Soni</t>
  </si>
  <si>
    <t>Dhanuk Chandra</t>
  </si>
  <si>
    <t>Samiha Mani</t>
  </si>
  <si>
    <t>Ivan Rout</t>
  </si>
  <si>
    <t>Dishani Yadav</t>
  </si>
  <si>
    <t>Sara Sane</t>
  </si>
  <si>
    <t>Alisha Sahota</t>
  </si>
  <si>
    <t>Ivan Balay</t>
  </si>
  <si>
    <t>Divij Mander</t>
  </si>
  <si>
    <t>Mishti Sabharwal</t>
  </si>
  <si>
    <t>Mamooty Wadhwa</t>
  </si>
  <si>
    <t>Shray Hora</t>
  </si>
  <si>
    <t>Emir Mangat</t>
  </si>
  <si>
    <t>Samarth Khatri</t>
  </si>
  <si>
    <t>Sana Jayaraman</t>
  </si>
  <si>
    <t>Hunar Dhar</t>
  </si>
  <si>
    <t>Farhan Keer</t>
  </si>
  <si>
    <t>Lakshay Rastogi</t>
  </si>
  <si>
    <t>Riaan Loyal</t>
  </si>
  <si>
    <t>Sahil Baria</t>
  </si>
  <si>
    <t>Akarsh Subramaniam</t>
  </si>
  <si>
    <t>Oorja Upadhyay</t>
  </si>
  <si>
    <t>Advika Kala</t>
  </si>
  <si>
    <t>Kanav Upadhyay</t>
  </si>
  <si>
    <t>Madhup Chad</t>
  </si>
  <si>
    <t>Seher Rajagopalan</t>
  </si>
  <si>
    <t>Nishith Chandra</t>
  </si>
  <si>
    <t>Shamik Kapadia</t>
  </si>
  <si>
    <t>Seher Bansal</t>
  </si>
  <si>
    <t>Abram Suresh</t>
  </si>
  <si>
    <t>Ishaan Kata</t>
  </si>
  <si>
    <t>Kiara Salvi</t>
  </si>
  <si>
    <t>Anahita Bhatnagar</t>
  </si>
  <si>
    <t>Zeeshan Wali</t>
  </si>
  <si>
    <t>Sana Mane</t>
  </si>
  <si>
    <t>Mohanlal Sankar</t>
  </si>
  <si>
    <t>Vaibhav Dada</t>
  </si>
  <si>
    <t>Dhruv Datta</t>
  </si>
  <si>
    <t>Oorja Konda</t>
  </si>
  <si>
    <t>Ahana  Sethi</t>
  </si>
  <si>
    <t>Vidur Bhargava</t>
  </si>
  <si>
    <t>Amira Kota</t>
  </si>
  <si>
    <t>Raunak Devi</t>
  </si>
  <si>
    <t>Arhaan Tara</t>
  </si>
  <si>
    <t>Amira Sengupta</t>
  </si>
  <si>
    <t>Lagan Mannan</t>
  </si>
  <si>
    <t>Prisha Dani</t>
  </si>
  <si>
    <t>Ahana  Talwar</t>
  </si>
  <si>
    <t>Himmat Kaur</t>
  </si>
  <si>
    <t>Yashvi Tank</t>
  </si>
  <si>
    <t>Amira Kara</t>
  </si>
  <si>
    <t>Trisha Gandhi</t>
  </si>
  <si>
    <t>Tara Dhingra</t>
  </si>
  <si>
    <t>Anahita Bhalla</t>
  </si>
  <si>
    <t>Hunar Bahl</t>
  </si>
  <si>
    <t>Zain Sibal</t>
  </si>
  <si>
    <t>Lavanya Trivedi</t>
  </si>
  <si>
    <t>Kanav Rama</t>
  </si>
  <si>
    <t>Hunar Chaudhry</t>
  </si>
  <si>
    <t>Jayan Varkey</t>
  </si>
  <si>
    <t>Inaaya  Sabharwal</t>
  </si>
  <si>
    <t>Hridaan Dewan</t>
  </si>
  <si>
    <t>Kavya Konda</t>
  </si>
  <si>
    <t>Ranbir Ray</t>
  </si>
  <si>
    <t>Yuvaan Kunda</t>
  </si>
  <si>
    <t>Alisha Khatri</t>
  </si>
  <si>
    <t>Kismat Shah</t>
  </si>
  <si>
    <t>Suhana Sama</t>
  </si>
  <si>
    <t>Azad Hari</t>
  </si>
  <si>
    <t>Dhanush Som</t>
  </si>
  <si>
    <t>Baiju Kothari</t>
  </si>
  <si>
    <t>Jivika Chad</t>
  </si>
  <si>
    <t>Rhea Loyal</t>
  </si>
  <si>
    <t>Advika Bath</t>
  </si>
  <si>
    <t>Samar Shukla</t>
  </si>
  <si>
    <t>Nitya Tak</t>
  </si>
  <si>
    <t>Zain Kannan</t>
  </si>
  <si>
    <t>Vivaan Gandhi</t>
  </si>
  <si>
    <t>Zara Ganguly</t>
  </si>
  <si>
    <t>Biju Karan</t>
  </si>
  <si>
    <t>Nishith Gara</t>
  </si>
  <si>
    <t>Advika Rajan</t>
  </si>
  <si>
    <t>Raghav Chanda</t>
  </si>
  <si>
    <t>Kanav Varty</t>
  </si>
  <si>
    <t>Yakshit Divan</t>
  </si>
  <si>
    <t>Vaibhav Sarna</t>
  </si>
  <si>
    <t>Jhanvi Dewan</t>
  </si>
  <si>
    <t>Anay Dass</t>
  </si>
  <si>
    <t>Aarush Bora</t>
  </si>
  <si>
    <t>Advik Dyal</t>
  </si>
  <si>
    <t>Lagan Behl</t>
  </si>
  <si>
    <t>Stuvan Chaudhry</t>
  </si>
  <si>
    <t>Alisha Malhotra</t>
  </si>
  <si>
    <t>Arnav Choudhary</t>
  </si>
  <si>
    <t>Rania Jhaveri</t>
  </si>
  <si>
    <t>Farhan Dhar</t>
  </si>
  <si>
    <t>Ehsaan Thakur</t>
  </si>
  <si>
    <t>Samarth Kari</t>
  </si>
  <si>
    <t>Kiaan Sunder</t>
  </si>
  <si>
    <t>Nitara Bhasin</t>
  </si>
  <si>
    <t>Biju Sangha</t>
  </si>
  <si>
    <t>Divyansh Mandal</t>
  </si>
  <si>
    <t>Tarini Wadhwa</t>
  </si>
  <si>
    <t>Shaan Sane</t>
  </si>
  <si>
    <t>Stuvan Amble</t>
  </si>
  <si>
    <t>Pranay Hegde</t>
  </si>
  <si>
    <t>Tejas Dixit</t>
  </si>
  <si>
    <t>Farhan Mand</t>
  </si>
  <si>
    <t>Lakshit Srinivasan</t>
  </si>
  <si>
    <t>Anya Shroff</t>
  </si>
  <si>
    <t>Rati Bail</t>
  </si>
  <si>
    <t>Samar Batta</t>
  </si>
  <si>
    <t>Madhav Sehgal</t>
  </si>
  <si>
    <t>Amani Vig</t>
  </si>
  <si>
    <t>Jivin Wali</t>
  </si>
  <si>
    <t>Ivan Borde</t>
  </si>
  <si>
    <t>Rasha Choudhury</t>
  </si>
  <si>
    <t>Abram Chada</t>
  </si>
  <si>
    <t>Nirvaan Kale</t>
  </si>
  <si>
    <t>Aaryahi Verma</t>
  </si>
  <si>
    <t>Kimaya Bhardwaj</t>
  </si>
  <si>
    <t>Sara Grover</t>
  </si>
  <si>
    <t>Divit Dhingra</t>
  </si>
  <si>
    <t>Farhan Ratta</t>
  </si>
  <si>
    <t>Aaina Tella</t>
  </si>
  <si>
    <t>Piya Majumdar</t>
  </si>
  <si>
    <t>Neelofar Aurora</t>
  </si>
  <si>
    <t>Ishita Konda</t>
  </si>
  <si>
    <t>Renee Ramesh</t>
  </si>
  <si>
    <t>Kabir Bakshi</t>
  </si>
  <si>
    <t>Dishani Krishna</t>
  </si>
  <si>
    <t>Advika Hari</t>
  </si>
  <si>
    <t>Nirvaan Bose</t>
  </si>
  <si>
    <t>Yuvaan Goda</t>
  </si>
  <si>
    <t>Inaaya  Bhattacharyya</t>
  </si>
  <si>
    <t>Vritika Vasa</t>
  </si>
  <si>
    <t>Yasmin Bhavsar</t>
  </si>
  <si>
    <t>Keya Deshmukh</t>
  </si>
  <si>
    <t>Abram Kalla</t>
  </si>
  <si>
    <t>Abram Iyer</t>
  </si>
  <si>
    <t>Chirag Chanda</t>
  </si>
  <si>
    <t>Elakshi Shroff</t>
  </si>
  <si>
    <t>Shamik Sanghvi</t>
  </si>
  <si>
    <t>Ishita Gupta</t>
  </si>
  <si>
    <t>Zeeshan Batta</t>
  </si>
  <si>
    <t>Akarsh Sodhi</t>
  </si>
  <si>
    <t>Chirag Hari</t>
  </si>
  <si>
    <t>Bhamini Deshpande</t>
  </si>
  <si>
    <t>Arnav Ray</t>
  </si>
  <si>
    <t>Prerak Gandhi</t>
  </si>
  <si>
    <t>Nitara Ganguly</t>
  </si>
  <si>
    <t>Neysa De</t>
  </si>
  <si>
    <t>Dharmajan Dalal</t>
  </si>
  <si>
    <t>Damini Ravel</t>
  </si>
  <si>
    <t>Vedika Agrawal</t>
  </si>
  <si>
    <t>Taran Swaminathan</t>
  </si>
  <si>
    <t>Sana Ramanathan</t>
  </si>
  <si>
    <t>Elakshi Chatterjee</t>
  </si>
  <si>
    <t>Amira Amble</t>
  </si>
  <si>
    <t>Vedika Sama</t>
  </si>
  <si>
    <t>Jayesh Bhatia</t>
  </si>
  <si>
    <t>Krish Sabharwal</t>
  </si>
  <si>
    <t>Vivaan Bava</t>
  </si>
  <si>
    <t>Nakul Verma</t>
  </si>
  <si>
    <t>Lagan Dyal</t>
  </si>
  <si>
    <t>Umang Bahl</t>
  </si>
  <si>
    <t>Aarush Bawa</t>
  </si>
  <si>
    <t>Miraya Dugar</t>
  </si>
  <si>
    <t>Dhanuk Dara</t>
  </si>
  <si>
    <t>Anika Mand</t>
  </si>
  <si>
    <t>Zain Dasgupta</t>
  </si>
  <si>
    <t>Taimur Sha</t>
  </si>
  <si>
    <t>Nirvi Mall</t>
  </si>
  <si>
    <t>Shanaya Setty</t>
  </si>
  <si>
    <t>Samaira Dora</t>
  </si>
  <si>
    <t>Tushar Dhar</t>
  </si>
  <si>
    <t>Mehul Cheema</t>
  </si>
  <si>
    <t>Ranbir Sahni</t>
  </si>
  <si>
    <t>Nirvi Koshy</t>
  </si>
  <si>
    <t>Arnav Venkataraman</t>
  </si>
  <si>
    <t>Devansh Mandal</t>
  </si>
  <si>
    <t>Miraan Rao</t>
  </si>
  <si>
    <t>Keya Chokshi</t>
  </si>
  <si>
    <t>Yasmin Shan</t>
  </si>
  <si>
    <t>Nayantara Zacharia</t>
  </si>
  <si>
    <t>Vardaniya Virk</t>
  </si>
  <si>
    <t>Biju Kapadia</t>
  </si>
  <si>
    <t>Krish Shah</t>
  </si>
  <si>
    <t>Aaryahi Banik</t>
  </si>
  <si>
    <t>Tiya Kurian</t>
  </si>
  <si>
    <t>Yasmin Gera</t>
  </si>
  <si>
    <t>Divyansh Ramesh</t>
  </si>
  <si>
    <t>Renee Borra</t>
  </si>
  <si>
    <t>Anya Agrawal</t>
  </si>
  <si>
    <t>Nishith Trivedi</t>
  </si>
  <si>
    <t>Sumer Dar</t>
  </si>
  <si>
    <t>Damini Devi</t>
  </si>
  <si>
    <t>Dhruv Gopal</t>
  </si>
  <si>
    <t>Aaina Garg</t>
  </si>
  <si>
    <t>Bhamini Kara</t>
  </si>
  <si>
    <t>Nirvaan Rattan</t>
  </si>
  <si>
    <t>Mahika Sama</t>
  </si>
  <si>
    <t>Abram Hari</t>
  </si>
  <si>
    <t>Yasmin Borde</t>
  </si>
  <si>
    <t>Jivika Tank</t>
  </si>
  <si>
    <t>Sana Devi</t>
  </si>
  <si>
    <t>Zara Kala</t>
  </si>
  <si>
    <t>Tiya Master</t>
  </si>
  <si>
    <t>Manjari Bhandari</t>
  </si>
  <si>
    <t>Neysa Sule</t>
  </si>
  <si>
    <t>Taran Chokshi</t>
  </si>
  <si>
    <t>Ishita Soni</t>
  </si>
  <si>
    <t>Kimaya Mani</t>
  </si>
  <si>
    <t>Divit Handa</t>
  </si>
  <si>
    <t>Kaira Rau</t>
  </si>
  <si>
    <t>Pranay Mammen</t>
  </si>
  <si>
    <t>Devansh Chawla</t>
  </si>
  <si>
    <t>Krish Bhattacharyya</t>
  </si>
  <si>
    <t>Nakul Aggarwal</t>
  </si>
  <si>
    <t>Jivin Bhagat</t>
  </si>
  <si>
    <t>Himmat Mani</t>
  </si>
  <si>
    <t>Chirag Sharaf</t>
  </si>
  <si>
    <t>Zoya Korpal</t>
  </si>
  <si>
    <t>Darshit Walia</t>
  </si>
  <si>
    <t>Indrans Singhal</t>
  </si>
  <si>
    <t>Arnav Vora</t>
  </si>
  <si>
    <t>Yuvraj  Bumb</t>
  </si>
  <si>
    <t>Riaan Wason</t>
  </si>
  <si>
    <t>Mishti Karpe</t>
  </si>
  <si>
    <t>Prerak Roy</t>
  </si>
  <si>
    <t>Alia Vohra</t>
  </si>
  <si>
    <t>Kanav Iyer</t>
  </si>
  <si>
    <t>Kavya Mandal</t>
  </si>
  <si>
    <t>Mohanlal Shan</t>
  </si>
  <si>
    <t>Kimaya Banik</t>
  </si>
  <si>
    <t>Aarna Bala</t>
  </si>
  <si>
    <t>Aradhya Uppal</t>
  </si>
  <si>
    <t>Hansh Ratti</t>
  </si>
  <si>
    <t>Purab Bhavsar</t>
  </si>
  <si>
    <t>Charvi Contractor</t>
  </si>
  <si>
    <t>Vanya Sundaram</t>
  </si>
  <si>
    <t>Oorja Wadhwa</t>
  </si>
  <si>
    <t>Azad Ghose</t>
  </si>
  <si>
    <t>Krish Maharaj</t>
  </si>
  <si>
    <t>Vivaan Thakur</t>
  </si>
  <si>
    <t>Onkar Dass</t>
  </si>
  <si>
    <t>Anika Chaudhry</t>
  </si>
  <si>
    <t>Priyansh Mand</t>
  </si>
  <si>
    <t>Indranil Ramaswamy</t>
  </si>
  <si>
    <t>Farhan Thaman</t>
  </si>
  <si>
    <t>Mehul Johal</t>
  </si>
  <si>
    <t>Drishya Divan</t>
  </si>
  <si>
    <t>Reyansh Sen</t>
  </si>
  <si>
    <t>Shray Tailor</t>
  </si>
  <si>
    <t>Eva Dube</t>
  </si>
  <si>
    <t>Himmat Thaman</t>
  </si>
  <si>
    <t>Amira Varghese</t>
  </si>
  <si>
    <t>Ahana  Khanna</t>
  </si>
  <si>
    <t>Yuvaan Bawa</t>
  </si>
  <si>
    <t>Alia Shah</t>
  </si>
  <si>
    <t>Renee Choudhry</t>
  </si>
  <si>
    <t>Vivaan Handa</t>
  </si>
  <si>
    <t>Kiaan Jain</t>
  </si>
  <si>
    <t>Arhaan Venkataraman</t>
  </si>
  <si>
    <t>Ayesha Dyal</t>
  </si>
  <si>
    <t>Mamooty Krishna</t>
  </si>
  <si>
    <t>Saira Koshy</t>
  </si>
  <si>
    <t>Kabir Kala</t>
  </si>
  <si>
    <t>Vedika Reddy</t>
  </si>
  <si>
    <t>Tushar Sandal</t>
  </si>
  <si>
    <t>Kavya Badami</t>
  </si>
  <si>
    <t>Hiran Ganesan</t>
  </si>
  <si>
    <t>Lakshay Chakrabarti</t>
  </si>
  <si>
    <t>Diya Varty</t>
  </si>
  <si>
    <t>Prerak Ben</t>
  </si>
  <si>
    <t>Jhanvi Kala</t>
  </si>
  <si>
    <t>Divij Rastogi</t>
  </si>
  <si>
    <t>Jayan Sarkar</t>
  </si>
  <si>
    <t>Taran Kar</t>
  </si>
  <si>
    <t>Shalv Mandal</t>
  </si>
  <si>
    <t>Kavya Kapoor</t>
  </si>
  <si>
    <t>Pari Sarkar</t>
  </si>
  <si>
    <t>Kaira Dayal</t>
  </si>
  <si>
    <t>Zain Soman</t>
  </si>
  <si>
    <t>Samar Trivedi</t>
  </si>
  <si>
    <t>Lakshay Hari</t>
  </si>
  <si>
    <t>Pihu Gera</t>
  </si>
  <si>
    <t>Umang Yohannan</t>
  </si>
  <si>
    <t>Shanaya Kapoor</t>
  </si>
  <si>
    <t>Sara Chanda</t>
  </si>
  <si>
    <t>Nirvaan Tata</t>
  </si>
  <si>
    <t>Yashvi Jayaraman</t>
  </si>
  <si>
    <t>Anay Vora</t>
  </si>
  <si>
    <t>Eva Tank</t>
  </si>
  <si>
    <t>Ryan Chaudry</t>
  </si>
  <si>
    <t>Arhaan Tiwari</t>
  </si>
  <si>
    <t>Riaan Dhingra</t>
  </si>
  <si>
    <t>Nirvaan Mani</t>
  </si>
  <si>
    <t>Yuvaan Hayer</t>
  </si>
  <si>
    <t>Reyansh Dhawan</t>
  </si>
  <si>
    <t>Inaaya  Chana</t>
  </si>
  <si>
    <t>Dharmajan Sant</t>
  </si>
  <si>
    <t>Himmat Madan</t>
  </si>
  <si>
    <t>Bhavin Dhar</t>
  </si>
  <si>
    <t>Eshani Gokhale</t>
  </si>
  <si>
    <t>Gatik Bhandari</t>
  </si>
  <si>
    <t>Umang Gole</t>
  </si>
  <si>
    <t>Fateh Dugal</t>
  </si>
  <si>
    <t>Azad Aggarwal</t>
  </si>
  <si>
    <t>Hridaan Ravel</t>
  </si>
  <si>
    <t>Riya Rau</t>
  </si>
  <si>
    <t>Kismat Raj</t>
  </si>
  <si>
    <t>Khushi Chanda</t>
  </si>
  <si>
    <t>Darshit Banerjee</t>
  </si>
  <si>
    <t>Lakshay Karpe</t>
  </si>
  <si>
    <t>Anika Boase</t>
  </si>
  <si>
    <t>Miraan Balakrishnan</t>
  </si>
  <si>
    <t>Khushi Garg</t>
  </si>
  <si>
    <t>Dharmajan Varkey</t>
  </si>
  <si>
    <t>Ishaan Hayer</t>
  </si>
  <si>
    <t>Pari Dara</t>
  </si>
  <si>
    <t>Pihu Choudhury</t>
  </si>
  <si>
    <t>Mamooty Suri</t>
  </si>
  <si>
    <t>Trisha Konda</t>
  </si>
  <si>
    <t>Hiran Golla</t>
  </si>
  <si>
    <t>Baiju Saxena</t>
  </si>
  <si>
    <t>Nirvi Srinivasan</t>
  </si>
  <si>
    <t>Aarav Raja</t>
  </si>
  <si>
    <t>Ahana  Bedi</t>
  </si>
  <si>
    <t>Vritika Rajagopal</t>
  </si>
  <si>
    <t>Ritvik Shukla</t>
  </si>
  <si>
    <t>Elakshi Kothari</t>
  </si>
  <si>
    <t>Eshani Badami</t>
  </si>
  <si>
    <t>Vihaan Kaul</t>
  </si>
  <si>
    <t>Raunak Bobal</t>
  </si>
  <si>
    <t>Indranil Wali</t>
  </si>
  <si>
    <t>Arnav Tata</t>
  </si>
  <si>
    <t>Priyansh Dubey</t>
  </si>
  <si>
    <t>Devansh Bhatt</t>
  </si>
  <si>
    <t>Ishaan Rajagopal</t>
  </si>
  <si>
    <t>Sumer Iyer</t>
  </si>
  <si>
    <t>Aayush Sagar</t>
  </si>
  <si>
    <t>Rania Rajan</t>
  </si>
  <si>
    <t>Eshani Master</t>
  </si>
  <si>
    <t>Vivaan Toor</t>
  </si>
  <si>
    <t>Ayesha Kapadia</t>
  </si>
  <si>
    <t>Aradhya Sabharwal</t>
  </si>
  <si>
    <t>Adah Gara</t>
  </si>
  <si>
    <t>Prisha Deo</t>
  </si>
  <si>
    <t>Kashvi Bhardwaj</t>
  </si>
  <si>
    <t>Kartik Toor</t>
  </si>
  <si>
    <t>Lakshay Bansal</t>
  </si>
  <si>
    <t>Advika Kuruvilla</t>
  </si>
  <si>
    <t>Hansh Toor</t>
  </si>
  <si>
    <t>Tejas Som</t>
  </si>
  <si>
    <t>Hridaan Verma</t>
  </si>
  <si>
    <t>Saanvi Bains</t>
  </si>
  <si>
    <t>Vedika Sundaram</t>
  </si>
  <si>
    <t>Hazel Rama</t>
  </si>
  <si>
    <t>Eva Kohli</t>
  </si>
  <si>
    <t>Aarush Lanka</t>
  </si>
  <si>
    <t>Aniruddh Chawla</t>
  </si>
  <si>
    <t>Ritvik Shere</t>
  </si>
  <si>
    <t>Prerak Uppal</t>
  </si>
  <si>
    <t>Ira Sharma</t>
  </si>
  <si>
    <t>Shlok Ratti</t>
  </si>
  <si>
    <t>Pari Mani</t>
  </si>
  <si>
    <t>Dhanush Chakrabarti</t>
  </si>
  <si>
    <t>Zeeshan Tara</t>
  </si>
  <si>
    <t>Priyansh Manda</t>
  </si>
  <si>
    <t>Trisha Aggarwal</t>
  </si>
  <si>
    <t>Sahil Goda</t>
  </si>
  <si>
    <t>Jayan Rattan</t>
  </si>
  <si>
    <t>Kiaan Raju</t>
  </si>
  <si>
    <t>Anya Varghese</t>
  </si>
  <si>
    <t>Badal Bhatia</t>
  </si>
  <si>
    <t>Kashvi Mandal</t>
  </si>
  <si>
    <t>Ishita Hans</t>
  </si>
  <si>
    <t>Jayesh Kata</t>
  </si>
  <si>
    <t>Yuvraj  Dey</t>
  </si>
  <si>
    <t>Renee Loke</t>
  </si>
  <si>
    <t>Saanvi Ahluwalia</t>
  </si>
  <si>
    <t>Diya Hegde</t>
  </si>
  <si>
    <t>Nayantara Kohli</t>
  </si>
  <si>
    <t>Samiha Tella</t>
  </si>
  <si>
    <t>Jayant Thaman</t>
  </si>
  <si>
    <t>Azad Dasgupta</t>
  </si>
  <si>
    <t>Shamik Cherian</t>
  </si>
  <si>
    <t>Urvi Varkey</t>
  </si>
  <si>
    <t>Rania Krishna</t>
  </si>
  <si>
    <t>Ojas Savant</t>
  </si>
  <si>
    <t>Dhruv Gandhi</t>
  </si>
  <si>
    <t>Jayesh Dave</t>
  </si>
  <si>
    <t>Darshit Soni</t>
  </si>
  <si>
    <t>Zain Sen</t>
  </si>
  <si>
    <t>Yuvraj  Bhalla</t>
  </si>
  <si>
    <t>Tarini Majumdar</t>
  </si>
  <si>
    <t>Aarush Mander</t>
  </si>
  <si>
    <t>Tiya Shan</t>
  </si>
  <si>
    <t>Seher Varughese</t>
  </si>
  <si>
    <t>Samaira Chowdhury</t>
  </si>
  <si>
    <t>Raunak Dayal</t>
  </si>
  <si>
    <t>Madhup Kale</t>
  </si>
  <si>
    <t>Eva Sharaf</t>
  </si>
  <si>
    <t>Samiha Toor</t>
  </si>
  <si>
    <t>Stuvan Buch</t>
  </si>
  <si>
    <t>Devansh Deo</t>
  </si>
  <si>
    <t>Raghav Sankaran</t>
  </si>
  <si>
    <t>Nehmat Sarin</t>
  </si>
  <si>
    <t>Ela Kalla</t>
  </si>
  <si>
    <t>Reyansh Banerjee</t>
  </si>
  <si>
    <t>Abram Talwar</t>
  </si>
  <si>
    <t>Amani Sem</t>
  </si>
  <si>
    <t>Aarna Kibe</t>
  </si>
  <si>
    <t>Purab Walla</t>
  </si>
  <si>
    <t>Heer Lala</t>
  </si>
  <si>
    <t>Indrajit Madan</t>
  </si>
  <si>
    <t>Alia Sundaram</t>
  </si>
  <si>
    <t>Bhamini Bali</t>
  </si>
  <si>
    <t>Neelofar Deep</t>
  </si>
  <si>
    <t>Sahil Dewan</t>
  </si>
  <si>
    <t>Zaina Bhardwaj</t>
  </si>
  <si>
    <t>Adah Raja</t>
  </si>
  <si>
    <t>Bhamini Bhakta</t>
  </si>
  <si>
    <t>Mohanlal Rout</t>
  </si>
  <si>
    <t>Anay Dada</t>
  </si>
  <si>
    <t>Vaibhav Sundaram</t>
  </si>
  <si>
    <t>Aarna Sachdev</t>
  </si>
  <si>
    <t>Divyansh Behl</t>
  </si>
  <si>
    <t>Nakul Wagle</t>
  </si>
  <si>
    <t>Dhanuk Wagle</t>
  </si>
  <si>
    <t>Ritvik Iyer</t>
  </si>
  <si>
    <t>Riaan Venkataraman</t>
  </si>
  <si>
    <t>Amira Bains</t>
  </si>
  <si>
    <t>Kimaya Ganesh</t>
  </si>
  <si>
    <t>Mishti Dugar</t>
  </si>
  <si>
    <t>Shamik Viswanathan</t>
  </si>
  <si>
    <t>Amira Mandal</t>
  </si>
  <si>
    <t>Nirvaan Chada</t>
  </si>
  <si>
    <t>Adah Behl</t>
  </si>
  <si>
    <t>Rasha Agrawal</t>
  </si>
  <si>
    <t>Purab Goswami</t>
  </si>
  <si>
    <t>Ryan Dixit</t>
  </si>
  <si>
    <t>Aarav Sridhar</t>
  </si>
  <si>
    <t>Hridaan Andra</t>
  </si>
  <si>
    <t>Riaan Trivedi</t>
  </si>
  <si>
    <t>Heer Sant</t>
  </si>
  <si>
    <t>Eva Varghese</t>
  </si>
  <si>
    <t>Kiaan Basak</t>
  </si>
  <si>
    <t>Amani Saha</t>
  </si>
  <si>
    <t>Faiyaz Bains</t>
  </si>
  <si>
    <t>Tiya Koshy</t>
  </si>
  <si>
    <t>Stuvan Joshi</t>
  </si>
  <si>
    <t>Eshani Bal</t>
  </si>
  <si>
    <t>Kavya Bajaj</t>
  </si>
  <si>
    <t>Sumer Bava</t>
  </si>
  <si>
    <t>Riaan Kade</t>
  </si>
  <si>
    <t>Hansh Batra</t>
  </si>
  <si>
    <t>Amani Kurian</t>
  </si>
  <si>
    <t>Veer Kashyap</t>
  </si>
  <si>
    <t>Lavanya Kakar</t>
  </si>
  <si>
    <t>Tushar Dixit</t>
  </si>
  <si>
    <t>Yasmin Garde</t>
  </si>
  <si>
    <t>Devansh Choudhury</t>
  </si>
  <si>
    <t>Trisha Dada</t>
  </si>
  <si>
    <t>Jayan Dass</t>
  </si>
  <si>
    <t>Drishya Butala</t>
  </si>
  <si>
    <t>Dhanuk Garde</t>
  </si>
  <si>
    <t>Sahil Kala</t>
  </si>
  <si>
    <t>Mahika Srinivas</t>
  </si>
  <si>
    <t>Onkar Rama</t>
  </si>
  <si>
    <t>Aaina Amble</t>
  </si>
  <si>
    <t>Ehsaan Uppal</t>
  </si>
  <si>
    <t>Kashvi Chakraborty</t>
  </si>
  <si>
    <t>Samar Subramaniam</t>
  </si>
  <si>
    <t>Drishya Dyal</t>
  </si>
  <si>
    <t>Siya Ahluwalia</t>
  </si>
  <si>
    <t>Elakshi Tripathi</t>
  </si>
  <si>
    <t>Inaaya  Bains</t>
  </si>
  <si>
    <t>Heer Batta</t>
  </si>
  <si>
    <t>Tejas Solanki</t>
  </si>
  <si>
    <t>Yuvraj  Tak</t>
  </si>
  <si>
    <t>Trisha Chacko</t>
  </si>
  <si>
    <t>Nehmat Banik</t>
  </si>
  <si>
    <t>Advik Lall</t>
  </si>
  <si>
    <t>Vihaan Sidhu</t>
  </si>
  <si>
    <t>Kismat Amble</t>
  </si>
  <si>
    <t>Ryan Mander</t>
  </si>
  <si>
    <t>Aarav Char</t>
  </si>
  <si>
    <t>Gatik Singhal</t>
  </si>
  <si>
    <t>Mamooty Gala</t>
  </si>
  <si>
    <t>Vritika Sathe</t>
  </si>
  <si>
    <t>Sahil Hayre</t>
  </si>
  <si>
    <t>Ela Dhar</t>
  </si>
  <si>
    <t>Lakshit Ahluwalia</t>
  </si>
  <si>
    <t>Shalv Dayal</t>
  </si>
  <si>
    <t>Azad Ganesan</t>
  </si>
  <si>
    <t>Himmat Shanker</t>
  </si>
  <si>
    <t>Arhaan Saha</t>
  </si>
  <si>
    <t>Jayant Saraf</t>
  </si>
  <si>
    <t>Ela Garg</t>
  </si>
  <si>
    <t>Neelofar Aggarwal</t>
  </si>
  <si>
    <t>Amani Soman</t>
  </si>
  <si>
    <t>Madhav Rattan</t>
  </si>
  <si>
    <t>Baiju Ahluwalia</t>
  </si>
  <si>
    <t>Anahi Johal</t>
  </si>
  <si>
    <t>Diya Ben</t>
  </si>
  <si>
    <t>Ryan Suresh</t>
  </si>
  <si>
    <t>Akarsh Batra</t>
  </si>
  <si>
    <t>Umang Vig</t>
  </si>
  <si>
    <t>Amira Acharya</t>
  </si>
  <si>
    <t>Ivana Cherian</t>
  </si>
  <si>
    <t>Kiara Mane</t>
  </si>
  <si>
    <t>Himmat Banerjee</t>
  </si>
  <si>
    <t>Lavanya Date</t>
  </si>
  <si>
    <t>Vihaan Kadakia</t>
  </si>
  <si>
    <t>Tarini Vyas</t>
  </si>
  <si>
    <t>Baiju Sami</t>
  </si>
  <si>
    <t>Neelofar Cherian</t>
  </si>
  <si>
    <t>Lavanya Balan</t>
  </si>
  <si>
    <t>Shray Dar</t>
  </si>
  <si>
    <t>Aarush Sani</t>
  </si>
  <si>
    <t>Madhav Toor</t>
  </si>
  <si>
    <t>Diya Sha</t>
  </si>
  <si>
    <t>Kashvi Amble</t>
  </si>
  <si>
    <t>Damini Saxena</t>
  </si>
  <si>
    <t>Tanya Desai</t>
  </si>
  <si>
    <t>Devansh Sharaf</t>
  </si>
  <si>
    <t>Adira Majumdar</t>
  </si>
  <si>
    <t>Neysa Golla</t>
  </si>
  <si>
    <t>Ehsaan Sachdeva</t>
  </si>
  <si>
    <t>Lakshay Goswami</t>
  </si>
  <si>
    <t>Badal Keer</t>
  </si>
  <si>
    <t>Anika Dora</t>
  </si>
  <si>
    <t>Shayak Chada</t>
  </si>
  <si>
    <t>Lakshit Chand</t>
  </si>
  <si>
    <t>Jayant Taneja</t>
  </si>
  <si>
    <t>Uthkarsh Aurora</t>
  </si>
  <si>
    <t>Alia Basu</t>
  </si>
  <si>
    <t>Sumer Rege</t>
  </si>
  <si>
    <t>Dhanush Hegde</t>
  </si>
  <si>
    <t>Ryan Sinha</t>
  </si>
  <si>
    <t>Zaina Saini</t>
  </si>
  <si>
    <t>Inaaya  Vyas</t>
  </si>
  <si>
    <t>Biju Desai</t>
  </si>
  <si>
    <t>Vedika Shroff</t>
  </si>
  <si>
    <t>Urvi Talwar</t>
  </si>
  <si>
    <t>Dharmajan Kar</t>
  </si>
  <si>
    <t>Ishaan Mangal</t>
  </si>
  <si>
    <t>Aarna Tella</t>
  </si>
  <si>
    <t>Neysa Sridhar</t>
  </si>
  <si>
    <t>Badal Dutta</t>
  </si>
  <si>
    <t>Aayush Dhaliwal</t>
  </si>
  <si>
    <t>Diya Bhargava</t>
  </si>
  <si>
    <t>Shanaya Yadav</t>
  </si>
  <si>
    <t>Rhea Mallick</t>
  </si>
  <si>
    <t>Indrajit Choudhry</t>
  </si>
  <si>
    <t>Vanya Shan</t>
  </si>
  <si>
    <t>Badal Deol</t>
  </si>
  <si>
    <t>Himmat Doctor</t>
  </si>
  <si>
    <t>Dhanuk Sunder</t>
  </si>
  <si>
    <t>Saksham Kalla</t>
  </si>
  <si>
    <t>Yakshit Bhagat</t>
  </si>
  <si>
    <t>Shamik Vohra</t>
  </si>
  <si>
    <t>Indranil Lalla</t>
  </si>
  <si>
    <t>Biju Barad</t>
  </si>
  <si>
    <t>Aarna Singhal</t>
  </si>
  <si>
    <t>Navya Rajagopal</t>
  </si>
  <si>
    <t>Anya Comar</t>
  </si>
  <si>
    <t>Ryan Bail</t>
  </si>
  <si>
    <t>Zara Wable</t>
  </si>
  <si>
    <t>Dishani Batta</t>
  </si>
  <si>
    <t>Dhanush Rajagopalan</t>
  </si>
  <si>
    <t>Kashvi Krishnamurthy</t>
  </si>
  <si>
    <t>Samar Sahni</t>
  </si>
  <si>
    <t>Anya Sarna</t>
  </si>
  <si>
    <t>Indranil Jayaraman</t>
  </si>
  <si>
    <t>Seher Sama</t>
  </si>
  <si>
    <t>Vritika Ratti</t>
  </si>
  <si>
    <t>Fateh Contractor</t>
  </si>
  <si>
    <t>Sara Karnik</t>
  </si>
  <si>
    <t>Kabir Chaudhuri</t>
  </si>
  <si>
    <t>Nakul Sem</t>
  </si>
  <si>
    <t>Ojas Bajwa</t>
  </si>
  <si>
    <t>Lavanya Apte</t>
  </si>
  <si>
    <t>Darshit Chaudhari</t>
  </si>
  <si>
    <t>Pihu Lad</t>
  </si>
  <si>
    <t>Prerak Lad</t>
  </si>
  <si>
    <t>Lavanya Agate</t>
  </si>
  <si>
    <t>Siya Soni</t>
  </si>
  <si>
    <t>Vaibhav Kurian</t>
  </si>
  <si>
    <t>Anvi Kaur</t>
  </si>
  <si>
    <t>Indrans Kamdar</t>
  </si>
  <si>
    <t>Neelofar Verma</t>
  </si>
  <si>
    <t>Eva Raman</t>
  </si>
  <si>
    <t>Abram Banerjee</t>
  </si>
  <si>
    <t>Jhanvi Kuruvilla</t>
  </si>
  <si>
    <t>Kiaan Kuruvilla</t>
  </si>
  <si>
    <t>Diya Saha</t>
  </si>
  <si>
    <t>Darshit Chacko</t>
  </si>
  <si>
    <t>Hazel Barad</t>
  </si>
  <si>
    <t>Renee Golla</t>
  </si>
  <si>
    <t>Samarth Karnik</t>
  </si>
  <si>
    <t>Drishya Sarkar</t>
  </si>
  <si>
    <t>Neelofar Atwal</t>
  </si>
  <si>
    <t>Ivana Ghose</t>
  </si>
  <si>
    <t>Kimaya Basak</t>
  </si>
  <si>
    <t>Nirvi Kakar</t>
  </si>
  <si>
    <t>Yuvaan Sibal</t>
  </si>
  <si>
    <t>Siya Trivedi</t>
  </si>
  <si>
    <t>Kiara Aggarwal</t>
  </si>
  <si>
    <t>Darshit Viswanathan</t>
  </si>
  <si>
    <t>Armaan Walla</t>
  </si>
  <si>
    <t>Sahil Dora</t>
  </si>
  <si>
    <t>Charvi Sandal</t>
  </si>
  <si>
    <t>Misha Kota</t>
  </si>
  <si>
    <t>Advik Jha</t>
  </si>
  <si>
    <t>Yuvaan Comar</t>
  </si>
  <si>
    <t>Riaan Boase</t>
  </si>
  <si>
    <t>Stuvan Kulkarni</t>
  </si>
  <si>
    <t>Anika Grewal</t>
  </si>
  <si>
    <t>Amira Choudhry</t>
  </si>
  <si>
    <t>Ojas Kunda</t>
  </si>
  <si>
    <t>Navya Bhagat</t>
  </si>
  <si>
    <t>Misha Dewan</t>
  </si>
  <si>
    <t>Tarini Hayre</t>
  </si>
  <si>
    <t>Divit Boase</t>
  </si>
  <si>
    <t>Anay Bawa</t>
  </si>
  <si>
    <t>Nakul Sarkar</t>
  </si>
  <si>
    <t>Misha Chaudhary</t>
  </si>
  <si>
    <t>Dhanuk Chanda</t>
  </si>
  <si>
    <t>Dhanuk Toor</t>
  </si>
  <si>
    <t>Jayesh Varty</t>
  </si>
  <si>
    <t>Ranbir Shenoy</t>
  </si>
  <si>
    <t>Nirvaan Khare</t>
  </si>
  <si>
    <t>Lakshit Mane</t>
  </si>
  <si>
    <t>Romil Gill</t>
  </si>
  <si>
    <t>Vidur Subramaniam</t>
  </si>
  <si>
    <t>Amani Ratta</t>
  </si>
  <si>
    <t>Mamooty Chahal</t>
  </si>
  <si>
    <t>Jayan Lala</t>
  </si>
  <si>
    <t>Lakshit Chawla</t>
  </si>
  <si>
    <t>Aayush Lata</t>
  </si>
  <si>
    <t>Adah Ahluwalia</t>
  </si>
  <si>
    <t>Vritika Bera</t>
  </si>
  <si>
    <t>Stuvan Mane</t>
  </si>
  <si>
    <t>Alia Mani</t>
  </si>
  <si>
    <t>Shalv Sarna</t>
  </si>
  <si>
    <t>Saira Bal</t>
  </si>
  <si>
    <t>Ela Chhabra</t>
  </si>
  <si>
    <t>Raghav Sant</t>
  </si>
  <si>
    <t>Stuvan Kumar</t>
  </si>
  <si>
    <t>Yasmin Dar</t>
  </si>
  <si>
    <t>Purab Yadav</t>
  </si>
  <si>
    <t>Jhanvi Biswas</t>
  </si>
  <si>
    <t>Anaya Zacharia</t>
  </si>
  <si>
    <t>Neysa Ram</t>
  </si>
  <si>
    <t>Aarush Srinivas</t>
  </si>
  <si>
    <t>Shaan Dixit</t>
  </si>
  <si>
    <t>Tanya Sen</t>
  </si>
  <si>
    <t>Prisha Hayer</t>
  </si>
  <si>
    <t>Abram Master</t>
  </si>
  <si>
    <t>Divyansh Dara</t>
  </si>
  <si>
    <t>Anika Dugar</t>
  </si>
  <si>
    <t>Taimur Bath</t>
  </si>
  <si>
    <t>Sana Ghosh</t>
  </si>
  <si>
    <t>Vedika Ratti</t>
  </si>
  <si>
    <t>Misha Bhatt</t>
  </si>
  <si>
    <t>Nehmat Kulkarni</t>
  </si>
  <si>
    <t>Zaina Kara</t>
  </si>
  <si>
    <t>Neelofar Soni</t>
  </si>
  <si>
    <t>Alia Sarin</t>
  </si>
  <si>
    <t>Veer Karpe</t>
  </si>
  <si>
    <t>Tarini Joshi</t>
  </si>
  <si>
    <t>Manikya Johal</t>
  </si>
  <si>
    <t>Anay Shankar</t>
  </si>
  <si>
    <t>Mehul Dey</t>
  </si>
  <si>
    <t>Tara Sha</t>
  </si>
  <si>
    <t>Miraan Vig</t>
  </si>
  <si>
    <t>Taimur Dalal</t>
  </si>
  <si>
    <t>Mahika Raju</t>
  </si>
  <si>
    <t>Dhruv Sarkar</t>
  </si>
  <si>
    <t>Hazel Goswami</t>
  </si>
  <si>
    <t>Shayak Chaudhry</t>
  </si>
  <si>
    <t>Riaan Shenoy</t>
  </si>
  <si>
    <t>Trisha Lal</t>
  </si>
  <si>
    <t>Pranay Grewal</t>
  </si>
  <si>
    <t>Mahika Chaudhuri</t>
  </si>
  <si>
    <t>Uthkarsh Kari</t>
  </si>
  <si>
    <t>Inaaya  Dasgupta</t>
  </si>
  <si>
    <t>Raunak Sanghvi</t>
  </si>
  <si>
    <t>Zaina Lala</t>
  </si>
  <si>
    <t>Badal Varma</t>
  </si>
  <si>
    <t>Manikya Chawla</t>
  </si>
  <si>
    <t>Jiya Lanka</t>
  </si>
  <si>
    <t>Nehmat Sagar</t>
  </si>
  <si>
    <t>Lakshit Saha</t>
  </si>
  <si>
    <t>Arnav Sastry</t>
  </si>
  <si>
    <t>Riaan Bhattacharyya</t>
  </si>
  <si>
    <t>Sana Sheth</t>
  </si>
  <si>
    <t>Kartik Sarkar</t>
  </si>
  <si>
    <t>Hunar Sastry</t>
  </si>
  <si>
    <t>Khushi Srinivas</t>
  </si>
  <si>
    <t>Shray Das</t>
  </si>
  <si>
    <t>Aarush Tara</t>
  </si>
  <si>
    <t>Tanya Sachdeva</t>
  </si>
  <si>
    <t>Tejas Sodhi</t>
  </si>
  <si>
    <t>Armaan Ganesan</t>
  </si>
  <si>
    <t>Drishya Chokshi</t>
  </si>
  <si>
    <t>Madhav Boase</t>
  </si>
  <si>
    <t>Neelofar Tata</t>
  </si>
  <si>
    <t>Yuvraj  Bora</t>
  </si>
  <si>
    <t>Heer Bahri</t>
  </si>
  <si>
    <t>Ryan Jain</t>
  </si>
  <si>
    <t>Umang Tandon</t>
  </si>
  <si>
    <t>Tejas Mammen</t>
  </si>
  <si>
    <t>Hiran D’Alia</t>
  </si>
  <si>
    <t>Madhup Bhat</t>
  </si>
  <si>
    <t>Kavya Bhalla</t>
  </si>
  <si>
    <t>Hrishita Vora</t>
  </si>
  <si>
    <t>Lavanya Cheema</t>
  </si>
  <si>
    <t>Riya Walla</t>
  </si>
  <si>
    <t>Nehmat Badal</t>
  </si>
  <si>
    <t>Yuvraj  Tripathi</t>
  </si>
  <si>
    <t>Rati Badami</t>
  </si>
  <si>
    <t>Kimaya Agrawal</t>
  </si>
  <si>
    <t>Kaira Khalsa</t>
  </si>
  <si>
    <t>Ojas Magar</t>
  </si>
  <si>
    <t>Myra Bava</t>
  </si>
  <si>
    <t>Anika Ravi</t>
  </si>
  <si>
    <t>Jayant Zachariah</t>
  </si>
  <si>
    <t>Shamik Kapur</t>
  </si>
  <si>
    <t>Eva Singhal</t>
  </si>
  <si>
    <t>Alia Halder</t>
  </si>
  <si>
    <t>Pari Sampath</t>
  </si>
  <si>
    <t>Aayush Dixit</t>
  </si>
  <si>
    <t>Eshani Kalla</t>
  </si>
  <si>
    <t>Dishani Tara</t>
  </si>
  <si>
    <t>Dharmajan Jhaveri</t>
  </si>
  <si>
    <t>Mannat Upadhyay</t>
  </si>
  <si>
    <t>Jiya Chopra</t>
  </si>
  <si>
    <t>Adira Chaudhuri</t>
  </si>
  <si>
    <t>Hrishita De</t>
  </si>
  <si>
    <t>Myra Dasgupta</t>
  </si>
  <si>
    <t>Shray Wali</t>
  </si>
  <si>
    <t>Drishya Sheth</t>
  </si>
  <si>
    <t>Aayush Sahota</t>
  </si>
  <si>
    <t>Romil Sachdeva</t>
  </si>
  <si>
    <t>Misha Rout</t>
  </si>
  <si>
    <t>Fateh Tripathi</t>
  </si>
  <si>
    <t>Adah Chahal</t>
  </si>
  <si>
    <t>Biju Sinha</t>
  </si>
  <si>
    <t>Oorja Lad</t>
  </si>
  <si>
    <t>Anvi Hayer</t>
  </si>
  <si>
    <t>Dishani Rajagopalan</t>
  </si>
  <si>
    <t>Vihaan Ganguly</t>
  </si>
  <si>
    <t>Mishti Kannan</t>
  </si>
  <si>
    <t>Sana Taneja</t>
  </si>
  <si>
    <t>Mahika Manne</t>
  </si>
  <si>
    <t>Fateh Sehgal</t>
  </si>
  <si>
    <t>Tara Reddy</t>
  </si>
  <si>
    <t>Ryan Tak</t>
  </si>
  <si>
    <t>Indrans Kant</t>
  </si>
  <si>
    <t>Kiaan Reddy</t>
  </si>
  <si>
    <t>Anahi Dugar</t>
  </si>
  <si>
    <t>Saksham Tank</t>
  </si>
  <si>
    <t>Ahana  Tara</t>
  </si>
  <si>
    <t>Ranbir Chatterjee</t>
  </si>
  <si>
    <t>Ira Karan</t>
  </si>
  <si>
    <t>Onkar Gour</t>
  </si>
  <si>
    <t>Aarush Majumdar</t>
  </si>
  <si>
    <t>Darshit Jha</t>
  </si>
  <si>
    <t>Jayesh Dube</t>
  </si>
  <si>
    <t>Nitara Sami</t>
  </si>
  <si>
    <t>Rohan Dhaliwal</t>
  </si>
  <si>
    <t>Vivaan Tata</t>
  </si>
  <si>
    <t>Zeeshan Raja</t>
  </si>
  <si>
    <t>Vaibhav Konda</t>
  </si>
  <si>
    <t>Saanvi Sachar</t>
  </si>
  <si>
    <t>Arnav Yogi</t>
  </si>
  <si>
    <t>Tara Agarwal</t>
  </si>
  <si>
    <t>Manjari Ramesh</t>
  </si>
  <si>
    <t>Jayesh Luthra</t>
  </si>
  <si>
    <t>Sumer Garde</t>
  </si>
  <si>
    <t>Umang Hari</t>
  </si>
  <si>
    <t>Devansh Kade</t>
  </si>
  <si>
    <t>Hridaan Sarna</t>
  </si>
  <si>
    <t>Oorja Mannan</t>
  </si>
  <si>
    <t>Hazel Dhaliwal</t>
  </si>
  <si>
    <t>Parinaaz Bhalla</t>
  </si>
  <si>
    <t>Kartik Chandra</t>
  </si>
  <si>
    <t>Yakshit Sastry</t>
  </si>
  <si>
    <t>Pihu Badami</t>
  </si>
  <si>
    <t>Hridaan Jayaraman</t>
  </si>
  <si>
    <t>Vivaan Chadha</t>
  </si>
  <si>
    <t>Prisha Mangal</t>
  </si>
  <si>
    <t>Jayant Ganguly</t>
  </si>
  <si>
    <t>Jivin Amble</t>
  </si>
  <si>
    <t>Samar Varkey</t>
  </si>
  <si>
    <t>Nirvi Rout</t>
  </si>
  <si>
    <t>Tanya Bala</t>
  </si>
  <si>
    <t>Hiran Roy</t>
  </si>
  <si>
    <t>Shanaya Kothari</t>
  </si>
  <si>
    <t>Bhamini Dalal</t>
  </si>
  <si>
    <t>Aarav Aurora</t>
  </si>
  <si>
    <t>Shayak Sani</t>
  </si>
  <si>
    <t>Veer Som</t>
  </si>
  <si>
    <t>Fateh Kohli</t>
  </si>
  <si>
    <t>Kismat Swaminathan</t>
  </si>
  <si>
    <t>Sana Buch</t>
  </si>
  <si>
    <t>Dharmajan Handa</t>
  </si>
  <si>
    <t>Zaina Saxena</t>
  </si>
  <si>
    <t>Yashvi Chahal</t>
  </si>
  <si>
    <t>Reyansh D’Alia</t>
  </si>
  <si>
    <t>Samiha Thaman</t>
  </si>
  <si>
    <t>Elakshi Atwal</t>
  </si>
  <si>
    <t>Shamik Ravel</t>
  </si>
  <si>
    <t>Prerak Kaur</t>
  </si>
  <si>
    <t>Pari Dyal</t>
  </si>
  <si>
    <t>Indrajit Sidhu</t>
  </si>
  <si>
    <t>Romil Dasgupta</t>
  </si>
  <si>
    <t>Armaan Dhaliwal</t>
  </si>
  <si>
    <t>Jayan Bajwa</t>
  </si>
  <si>
    <t>Sahil Tripathi</t>
  </si>
  <si>
    <t>Amani Contractor</t>
  </si>
  <si>
    <t>Drishya Samra</t>
  </si>
  <si>
    <t>Suhana Dugar</t>
  </si>
  <si>
    <t>Dharmajan Chakraborty</t>
  </si>
  <si>
    <t>Mishti Shenoy</t>
  </si>
  <si>
    <t>Vivaan Dayal</t>
  </si>
  <si>
    <t>Tara Sengupta</t>
  </si>
  <si>
    <t>Umang Sarraf</t>
  </si>
  <si>
    <t>Piya Sem</t>
  </si>
  <si>
    <t>Taran Wali</t>
  </si>
  <si>
    <t>Eshani Shukla</t>
  </si>
  <si>
    <t>Advik Contractor</t>
  </si>
  <si>
    <t>Saanvi Bir</t>
  </si>
  <si>
    <t>Rohan Iyengar</t>
  </si>
  <si>
    <t>Raghav Bose</t>
  </si>
  <si>
    <t>Anahita Chad</t>
  </si>
  <si>
    <t>Alisha Aggarwal</t>
  </si>
  <si>
    <t>Arhaan Saran</t>
  </si>
  <si>
    <t>Bhavin Ramakrishnan</t>
  </si>
  <si>
    <t>Hunar Devan</t>
  </si>
  <si>
    <t>Hrishita Upadhyay</t>
  </si>
  <si>
    <t>Shanaya Kadakia</t>
  </si>
  <si>
    <t>Vedika Gola</t>
  </si>
  <si>
    <t>Piya Agrawal</t>
  </si>
  <si>
    <t>Vedika Lall</t>
  </si>
  <si>
    <t>Devansh Bhalla</t>
  </si>
  <si>
    <t>Jhanvi Handa</t>
  </si>
  <si>
    <t>Azad Sami</t>
  </si>
  <si>
    <t>Jivika Agate</t>
  </si>
  <si>
    <t>Divij D’Alia</t>
  </si>
  <si>
    <t>Raghav Ben</t>
  </si>
  <si>
    <t>Amira Tripathi</t>
  </si>
  <si>
    <t>Adah Baria</t>
  </si>
  <si>
    <t>Farhan Manne</t>
  </si>
  <si>
    <t>Armaan Dani</t>
  </si>
  <si>
    <t>Samarth Iyer</t>
  </si>
  <si>
    <t>Zeeshan Gara</t>
  </si>
  <si>
    <t>Ryan Sagar</t>
  </si>
  <si>
    <t>Elakshi Yohannan</t>
  </si>
  <si>
    <t>Inaaya  Chakrabarti</t>
  </si>
  <si>
    <t>Armaan Vyas</t>
  </si>
  <si>
    <t>Urvi Sachdeva</t>
  </si>
  <si>
    <t>Navya Kara</t>
  </si>
  <si>
    <t>Vanya Sodhi</t>
  </si>
  <si>
    <t>Ahana  Loyal</t>
  </si>
  <si>
    <t>Onkar Swaminathan</t>
  </si>
  <si>
    <t>Kimaya Krish</t>
  </si>
  <si>
    <t>Zeeshan Saini</t>
  </si>
  <si>
    <t>Saksham Gopal</t>
  </si>
  <si>
    <t>Ishaan Salvi</t>
  </si>
  <si>
    <t>Manikya Bhatia</t>
  </si>
  <si>
    <t>Rati Goel</t>
  </si>
  <si>
    <t>Vanya Ray</t>
  </si>
  <si>
    <t>Abram Tailor</t>
  </si>
  <si>
    <t>Yuvraj  Khosla</t>
  </si>
  <si>
    <t>Amani Virk</t>
  </si>
  <si>
    <t>Keya Bahl</t>
  </si>
  <si>
    <t>Yuvaan Dixit</t>
  </si>
  <si>
    <t>Advik Bassi</t>
  </si>
  <si>
    <t>Tejas Ganesan</t>
  </si>
  <si>
    <t>Madhup Shroff</t>
  </si>
  <si>
    <t>Umang Bhardwaj</t>
  </si>
  <si>
    <t>Anahita Kale</t>
  </si>
  <si>
    <t>Anaya Shroff</t>
  </si>
  <si>
    <t>Kabir Thakkar</t>
  </si>
  <si>
    <t>Dhanuk Deo</t>
  </si>
  <si>
    <t>Anahi Sankar</t>
  </si>
  <si>
    <t>Lakshit Gulati</t>
  </si>
  <si>
    <t>Yuvaan Dayal</t>
  </si>
  <si>
    <t>Anay Ganesan</t>
  </si>
  <si>
    <t>Kaira Ahluwalia</t>
  </si>
  <si>
    <t>Charvi Rege</t>
  </si>
  <si>
    <t>Jayant Dugar</t>
  </si>
  <si>
    <t>Vivaan Agarwal</t>
  </si>
  <si>
    <t>Kabir Krishna</t>
  </si>
  <si>
    <t>Arhaan Trivedi</t>
  </si>
  <si>
    <t>Vivaan Wagle</t>
  </si>
  <si>
    <t>Onkar Setty</t>
  </si>
  <si>
    <t>Ritvik Ganesan</t>
  </si>
  <si>
    <t>Drishya Lall</t>
  </si>
  <si>
    <t>Heer Dugal</t>
  </si>
  <si>
    <t>Nitya Chanda</t>
  </si>
  <si>
    <t>Purab Choudhry</t>
  </si>
  <si>
    <t>Advik Anne</t>
  </si>
  <si>
    <t>Yuvraj  Raj</t>
  </si>
  <si>
    <t>Zara Mand</t>
  </si>
  <si>
    <t>Purab Mand</t>
  </si>
  <si>
    <t>Kashvi Mand</t>
  </si>
  <si>
    <t>Mishti Bhasin</t>
  </si>
  <si>
    <t>Kaira Sekhon</t>
  </si>
  <si>
    <t>Kanav Karan</t>
  </si>
  <si>
    <t>Ryan Jha</t>
  </si>
  <si>
    <t>Samar Choudhary</t>
  </si>
  <si>
    <t>Zoya Kaul</t>
  </si>
  <si>
    <t>Gokul Dass</t>
  </si>
  <si>
    <t>Amira Dara</t>
  </si>
  <si>
    <t>Rhea Borde</t>
  </si>
  <si>
    <t>Sumer Dhar</t>
  </si>
  <si>
    <t>Pihu Chada</t>
  </si>
  <si>
    <t>Lakshay Kuruvilla</t>
  </si>
  <si>
    <t>Parinaaz Seshadri</t>
  </si>
  <si>
    <t>Abram Kale</t>
  </si>
  <si>
    <t>Hrishita Das</t>
  </si>
  <si>
    <t>Ishaan Lall</t>
  </si>
  <si>
    <t>Akarsh Dutt</t>
  </si>
  <si>
    <t>Zoya Randhawa</t>
  </si>
  <si>
    <t>Indrans Dutt</t>
  </si>
  <si>
    <t>Arnav Saini</t>
  </si>
  <si>
    <t>Mannat Bains</t>
  </si>
  <si>
    <t>Krish Sura</t>
  </si>
  <si>
    <t>Rohan Bhargava</t>
  </si>
  <si>
    <t>Zara Date</t>
  </si>
  <si>
    <t>Ishita Kalita</t>
  </si>
  <si>
    <t>Hiran Virk</t>
  </si>
  <si>
    <t>Dhruv Kant</t>
  </si>
  <si>
    <t>Seher Bhattacharyya</t>
  </si>
  <si>
    <t>Kaira Samra</t>
  </si>
  <si>
    <t>Samar Toor</t>
  </si>
  <si>
    <t>Indranil Kaul</t>
  </si>
  <si>
    <t>Dhruv Warrior</t>
  </si>
  <si>
    <t>Sahil Dhar</t>
  </si>
  <si>
    <t>Rati Rattan</t>
  </si>
  <si>
    <t>Darshit Khatri</t>
  </si>
  <si>
    <t>Mamooty Lalla</t>
  </si>
  <si>
    <t>Anvi Chana</t>
  </si>
  <si>
    <t>Charvi Bobal</t>
  </si>
  <si>
    <t>Himmat Dara</t>
  </si>
  <si>
    <t>Anahita Dyal</t>
  </si>
  <si>
    <t>Navya Aurora</t>
  </si>
  <si>
    <t>Lakshit Mander</t>
  </si>
  <si>
    <t>Hrishita Shroff</t>
  </si>
  <si>
    <t>Tarini Sen</t>
  </si>
  <si>
    <t>Divij Grover</t>
  </si>
  <si>
    <t>Faiyaz Venkatesh</t>
  </si>
  <si>
    <t>Khushi Comar</t>
  </si>
  <si>
    <t>Anaya Hari</t>
  </si>
  <si>
    <t>Biju Ratta</t>
  </si>
  <si>
    <t>Dharmajan Wable</t>
  </si>
  <si>
    <t>Anika Kale</t>
  </si>
  <si>
    <t>Manjari Goyal</t>
  </si>
  <si>
    <t>Trisha Kashyap</t>
  </si>
  <si>
    <t>Lagan Kala</t>
  </si>
  <si>
    <t>Indranil Kamdar</t>
  </si>
  <si>
    <t>Jivika Sinha</t>
  </si>
  <si>
    <t>Ehsaan Walia</t>
  </si>
  <si>
    <t>Jivin Jha</t>
  </si>
  <si>
    <t>Umang Vora</t>
  </si>
  <si>
    <t>Pari Balan</t>
  </si>
  <si>
    <t>Ryan Bassi</t>
  </si>
  <si>
    <t>Nehmat Subramanian</t>
  </si>
  <si>
    <t>Mehul Kata</t>
  </si>
  <si>
    <t>Vaibhav Sachdeva</t>
  </si>
  <si>
    <t>Navya Dixit</t>
  </si>
  <si>
    <t>Yashvi Choudhry</t>
  </si>
  <si>
    <t>Shalv Majumdar</t>
  </si>
  <si>
    <t>Tushar Agarwal</t>
  </si>
  <si>
    <t>Charvi Kala</t>
  </si>
  <si>
    <t>Divit Iyer</t>
  </si>
  <si>
    <t>Kiaan Bajaj</t>
  </si>
  <si>
    <t>Mehul Divan</t>
  </si>
  <si>
    <t>Piya Johal</t>
  </si>
  <si>
    <t>Sumer Lall</t>
  </si>
  <si>
    <t>Lagan Reddy</t>
  </si>
  <si>
    <t>Bhavin Thaman</t>
  </si>
  <si>
    <t>Badal Joshi</t>
  </si>
  <si>
    <t>Eshani Rau</t>
  </si>
  <si>
    <t>Shayak Thaker</t>
  </si>
  <si>
    <t>Zeeshan Jani</t>
  </si>
  <si>
    <t>Himmat Lala</t>
  </si>
  <si>
    <t>Madhav Buch</t>
  </si>
  <si>
    <t>Misha Bakshi</t>
  </si>
  <si>
    <t>Samar Ahluwalia</t>
  </si>
  <si>
    <t>Zain Kohli</t>
  </si>
  <si>
    <t>Hazel Kalita</t>
  </si>
  <si>
    <t>Khushi Ravi</t>
  </si>
  <si>
    <t>Nitya Guha</t>
  </si>
  <si>
    <t>Kiara Guha</t>
  </si>
  <si>
    <t>Neelofar Barad</t>
  </si>
  <si>
    <t>Shaan Dhawan</t>
  </si>
  <si>
    <t>Kanav Samra</t>
  </si>
  <si>
    <t>Kanav Tella</t>
  </si>
  <si>
    <t>Jayesh Dhar</t>
  </si>
  <si>
    <t>Advika Balay</t>
  </si>
  <si>
    <t>Siya Jain</t>
  </si>
  <si>
    <t>Adah Verma</t>
  </si>
  <si>
    <t>Dhruv Ravel</t>
  </si>
  <si>
    <t>Himmat Dutt</t>
  </si>
  <si>
    <t>Tara Das</t>
  </si>
  <si>
    <t>Priyansh Sani</t>
  </si>
  <si>
    <t>Khushi Kohli</t>
  </si>
  <si>
    <t>Taimur Vig</t>
  </si>
  <si>
    <t>Suhana Dey</t>
  </si>
  <si>
    <t>Keya Malhotra</t>
  </si>
  <si>
    <t>Zoya Ganesan</t>
  </si>
  <si>
    <t>Nitya Tara</t>
  </si>
  <si>
    <t>Aarush Barman</t>
  </si>
  <si>
    <t>Ivana Sen</t>
  </si>
  <si>
    <t>Oorja Jayaraman</t>
  </si>
  <si>
    <t>Myra Shenoy</t>
  </si>
  <si>
    <t>Baiju Karpe</t>
  </si>
  <si>
    <t>Mishti Halder</t>
  </si>
  <si>
    <t>Yuvraj  Raval</t>
  </si>
  <si>
    <t>Ishaan Ramachandran</t>
  </si>
  <si>
    <t>Parinaaz Setty</t>
  </si>
  <si>
    <t>Urvi Kothari</t>
  </si>
  <si>
    <t>Gokul Bhagat</t>
  </si>
  <si>
    <t>Kimaya Sharma</t>
  </si>
  <si>
    <t>Nehmat Vig</t>
  </si>
  <si>
    <t>Miraya Bawa</t>
  </si>
  <si>
    <t>Seher Sathe</t>
  </si>
  <si>
    <t>Tiya Goswami</t>
  </si>
  <si>
    <t>Krish Chaudhry</t>
  </si>
  <si>
    <t>Sara Dhingra</t>
  </si>
  <si>
    <t>Lagan Lata</t>
  </si>
  <si>
    <t>Abram Shroff</t>
  </si>
  <si>
    <t>Saira Kaul</t>
  </si>
  <si>
    <t>Ahana  Shukla</t>
  </si>
  <si>
    <t>Mamooty Kata</t>
  </si>
  <si>
    <t>Shaan Saini</t>
  </si>
  <si>
    <t>Mehul Chana</t>
  </si>
  <si>
    <t>Myra Wagle</t>
  </si>
  <si>
    <t>Divit Tiwari</t>
  </si>
  <si>
    <t>Ehsaan Ganguly</t>
  </si>
  <si>
    <t>Saksham Dave</t>
  </si>
  <si>
    <t>Amani Krishnamurthy</t>
  </si>
  <si>
    <t>Female</t>
  </si>
  <si>
    <t>Male</t>
  </si>
  <si>
    <t>Delhi</t>
  </si>
  <si>
    <t>Pune</t>
  </si>
  <si>
    <t>Kolkata</t>
  </si>
  <si>
    <t>Chennai</t>
  </si>
  <si>
    <t>Mumbai</t>
  </si>
  <si>
    <t>Hyderabad</t>
  </si>
  <si>
    <t>Bengaluru</t>
  </si>
  <si>
    <t>Maharashtra</t>
  </si>
  <si>
    <t>West Bengal</t>
  </si>
  <si>
    <t>Tamil Nadu</t>
  </si>
  <si>
    <t>Telangana</t>
  </si>
  <si>
    <t>Karnataka</t>
  </si>
  <si>
    <t>Wooden Table</t>
  </si>
  <si>
    <t>iPhone 14</t>
  </si>
  <si>
    <t>Sony Headphones</t>
  </si>
  <si>
    <t>Nike Shoes</t>
  </si>
  <si>
    <t>Adidas T-Shirt</t>
  </si>
  <si>
    <t>HP Laptop</t>
  </si>
  <si>
    <t>Samsung Galaxy S22</t>
  </si>
  <si>
    <t>Furniture</t>
  </si>
  <si>
    <t>Electronics</t>
  </si>
  <si>
    <t>Fashion</t>
  </si>
  <si>
    <t>Table</t>
  </si>
  <si>
    <t>Mobile</t>
  </si>
  <si>
    <t>Accessories</t>
  </si>
  <si>
    <t>Footwear</t>
  </si>
  <si>
    <t>Clothing</t>
  </si>
  <si>
    <t>Laptop</t>
  </si>
  <si>
    <t>Cash</t>
  </si>
  <si>
    <t>Credit Card</t>
  </si>
  <si>
    <t>UPI</t>
  </si>
  <si>
    <t>Debit Card</t>
  </si>
  <si>
    <t>Delivered</t>
  </si>
  <si>
    <t>Returned</t>
  </si>
  <si>
    <t>Cancelled</t>
  </si>
  <si>
    <t>CleanDate</t>
  </si>
  <si>
    <t>CleanCustomerName</t>
  </si>
  <si>
    <t>CleanCity</t>
  </si>
  <si>
    <t>CleanState</t>
  </si>
  <si>
    <t>SalesAmount</t>
  </si>
  <si>
    <t>CustomerKey</t>
  </si>
  <si>
    <t>ProductKey</t>
  </si>
  <si>
    <t>DateKey</t>
  </si>
  <si>
    <t>Date</t>
  </si>
  <si>
    <t>Month</t>
  </si>
  <si>
    <t>Quarter</t>
  </si>
  <si>
    <t>Year</t>
  </si>
  <si>
    <t>LastPurchaseDate</t>
  </si>
  <si>
    <t>Recency</t>
  </si>
  <si>
    <t>Frequency</t>
  </si>
  <si>
    <t>Monetary</t>
  </si>
  <si>
    <t>R_Score</t>
  </si>
  <si>
    <t>F_Score</t>
  </si>
  <si>
    <t>M_Score</t>
  </si>
  <si>
    <t>RFM_Score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</si>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</sst>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opLeftCell="G1" workbookViewId="0">
      <selection activeCell="Q6" sqref="A1:XFD1048576"/>
    </sheetView>
  </sheetViews>
  <sheetFormatPr defaultRowHeight="14.5" x14ac:dyDescent="0.35"/>
  <cols>
    <col min="1" max="1" width="12.453125" bestFit="1" customWidth="1"/>
    <col min="2" max="2" width="14.7265625" bestFit="1" customWidth="1"/>
    <col min="3" max="3" width="10.81640625" bestFit="1" customWidth="1"/>
    <col min="4" max="4" width="21.08984375" bestFit="1" customWidth="1"/>
    <col min="5" max="5" width="7" bestFit="1" customWidth="1"/>
    <col min="6" max="6" width="3.90625" bestFit="1" customWidth="1"/>
    <col min="7" max="7" width="10" bestFit="1" customWidth="1"/>
    <col min="8" max="8" width="11.6328125" bestFit="1" customWidth="1"/>
    <col min="9" max="9" width="17.81640625" bestFit="1" customWidth="1"/>
    <col min="10" max="10" width="9.7265625" bestFit="1" customWidth="1"/>
    <col min="11" max="11" width="11.36328125" bestFit="1" customWidth="1"/>
    <col min="12" max="12" width="8.1796875" bestFit="1" customWidth="1"/>
    <col min="13" max="13" width="5.81640625" bestFit="1" customWidth="1"/>
    <col min="14" max="14" width="13.26953125" bestFit="1" customWidth="1"/>
    <col min="15" max="15" width="11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1215</v>
      </c>
      <c r="C2" t="s">
        <v>1788</v>
      </c>
      <c r="D2" t="s">
        <v>2483</v>
      </c>
      <c r="E2" t="s">
        <v>3671</v>
      </c>
      <c r="F2">
        <v>41</v>
      </c>
      <c r="G2" t="s">
        <v>3673</v>
      </c>
      <c r="H2" t="s">
        <v>3673</v>
      </c>
      <c r="I2" t="s">
        <v>3685</v>
      </c>
      <c r="J2" t="s">
        <v>3692</v>
      </c>
      <c r="K2" t="s">
        <v>3695</v>
      </c>
      <c r="L2">
        <v>5</v>
      </c>
      <c r="M2">
        <v>12000</v>
      </c>
      <c r="N2" t="s">
        <v>3701</v>
      </c>
      <c r="O2" t="s">
        <v>3705</v>
      </c>
    </row>
    <row r="3" spans="1:15" x14ac:dyDescent="0.35">
      <c r="A3" t="s">
        <v>16</v>
      </c>
      <c r="B3" t="s">
        <v>1216</v>
      </c>
      <c r="C3" t="s">
        <v>1789</v>
      </c>
      <c r="D3" t="s">
        <v>2484</v>
      </c>
      <c r="E3" t="s">
        <v>3672</v>
      </c>
      <c r="F3">
        <v>59</v>
      </c>
      <c r="G3" t="s">
        <v>3673</v>
      </c>
      <c r="H3" t="s">
        <v>3673</v>
      </c>
      <c r="I3" t="s">
        <v>3685</v>
      </c>
      <c r="J3" t="s">
        <v>3692</v>
      </c>
      <c r="K3" t="s">
        <v>3695</v>
      </c>
      <c r="L3">
        <v>3</v>
      </c>
      <c r="M3">
        <v>12000</v>
      </c>
      <c r="N3" t="s">
        <v>3701</v>
      </c>
      <c r="O3" t="s">
        <v>3706</v>
      </c>
    </row>
    <row r="4" spans="1:15" x14ac:dyDescent="0.35">
      <c r="A4" t="s">
        <v>17</v>
      </c>
      <c r="B4" t="s">
        <v>1217</v>
      </c>
      <c r="C4" t="s">
        <v>1790</v>
      </c>
      <c r="D4" t="s">
        <v>2485</v>
      </c>
      <c r="E4" t="s">
        <v>3671</v>
      </c>
      <c r="F4">
        <v>36</v>
      </c>
      <c r="G4" t="s">
        <v>3674</v>
      </c>
      <c r="H4" t="s">
        <v>3680</v>
      </c>
      <c r="I4" t="s">
        <v>3686</v>
      </c>
      <c r="J4" t="s">
        <v>3693</v>
      </c>
      <c r="K4" t="s">
        <v>3696</v>
      </c>
      <c r="L4">
        <v>1</v>
      </c>
      <c r="M4">
        <v>65000</v>
      </c>
      <c r="N4" t="s">
        <v>3702</v>
      </c>
      <c r="O4" t="s">
        <v>3706</v>
      </c>
    </row>
    <row r="5" spans="1:15" x14ac:dyDescent="0.35">
      <c r="A5" t="s">
        <v>18</v>
      </c>
      <c r="B5" t="s">
        <v>1218</v>
      </c>
      <c r="C5" t="s">
        <v>1791</v>
      </c>
      <c r="D5" t="s">
        <v>2486</v>
      </c>
      <c r="E5" t="s">
        <v>3671</v>
      </c>
      <c r="F5">
        <v>58</v>
      </c>
      <c r="G5" t="s">
        <v>3675</v>
      </c>
      <c r="H5" t="s">
        <v>3681</v>
      </c>
      <c r="I5" t="s">
        <v>3687</v>
      </c>
      <c r="J5" t="s">
        <v>3693</v>
      </c>
      <c r="K5" t="s">
        <v>3697</v>
      </c>
      <c r="L5">
        <v>4</v>
      </c>
      <c r="M5">
        <v>5000</v>
      </c>
      <c r="N5" t="s">
        <v>3703</v>
      </c>
      <c r="O5" t="s">
        <v>3706</v>
      </c>
    </row>
    <row r="6" spans="1:15" x14ac:dyDescent="0.35">
      <c r="A6" t="s">
        <v>19</v>
      </c>
      <c r="B6" t="s">
        <v>1219</v>
      </c>
      <c r="C6" t="s">
        <v>1792</v>
      </c>
      <c r="D6" t="s">
        <v>2487</v>
      </c>
      <c r="E6" t="s">
        <v>3671</v>
      </c>
      <c r="F6">
        <v>57</v>
      </c>
      <c r="G6" t="s">
        <v>3676</v>
      </c>
      <c r="H6" t="s">
        <v>3682</v>
      </c>
      <c r="I6" t="s">
        <v>3688</v>
      </c>
      <c r="J6" t="s">
        <v>3694</v>
      </c>
      <c r="K6" t="s">
        <v>3698</v>
      </c>
      <c r="L6">
        <v>1</v>
      </c>
      <c r="M6">
        <v>4500</v>
      </c>
      <c r="N6" t="s">
        <v>3703</v>
      </c>
      <c r="O6" t="s">
        <v>3705</v>
      </c>
    </row>
    <row r="7" spans="1:15" x14ac:dyDescent="0.35">
      <c r="A7" t="s">
        <v>20</v>
      </c>
      <c r="B7" t="s">
        <v>1220</v>
      </c>
      <c r="C7" t="s">
        <v>1793</v>
      </c>
      <c r="D7" t="s">
        <v>2488</v>
      </c>
      <c r="E7" t="s">
        <v>3671</v>
      </c>
      <c r="F7">
        <v>40</v>
      </c>
      <c r="G7" t="s">
        <v>3677</v>
      </c>
      <c r="H7" t="s">
        <v>3680</v>
      </c>
      <c r="I7" t="s">
        <v>3688</v>
      </c>
      <c r="J7" t="s">
        <v>3694</v>
      </c>
      <c r="K7" t="s">
        <v>3698</v>
      </c>
      <c r="L7">
        <v>4</v>
      </c>
      <c r="M7">
        <v>4500</v>
      </c>
      <c r="N7" t="s">
        <v>3703</v>
      </c>
      <c r="O7" t="s">
        <v>3706</v>
      </c>
    </row>
    <row r="8" spans="1:15" x14ac:dyDescent="0.35">
      <c r="A8" t="s">
        <v>21</v>
      </c>
      <c r="B8" t="s">
        <v>1221</v>
      </c>
      <c r="C8" t="s">
        <v>1794</v>
      </c>
      <c r="D8" t="s">
        <v>2489</v>
      </c>
      <c r="E8" t="s">
        <v>3671</v>
      </c>
      <c r="F8">
        <v>21</v>
      </c>
      <c r="G8" t="s">
        <v>3677</v>
      </c>
      <c r="H8" t="s">
        <v>3680</v>
      </c>
      <c r="I8" t="s">
        <v>3686</v>
      </c>
      <c r="J8" t="s">
        <v>3693</v>
      </c>
      <c r="K8" t="s">
        <v>3696</v>
      </c>
      <c r="L8">
        <v>3</v>
      </c>
      <c r="M8">
        <v>65000</v>
      </c>
      <c r="N8" t="s">
        <v>3702</v>
      </c>
      <c r="O8" t="s">
        <v>3705</v>
      </c>
    </row>
    <row r="9" spans="1:15" x14ac:dyDescent="0.35">
      <c r="A9" t="s">
        <v>22</v>
      </c>
      <c r="B9" t="s">
        <v>1222</v>
      </c>
      <c r="C9" t="s">
        <v>1795</v>
      </c>
      <c r="D9" t="s">
        <v>2490</v>
      </c>
      <c r="E9" t="s">
        <v>3671</v>
      </c>
      <c r="F9">
        <v>43</v>
      </c>
      <c r="G9" t="s">
        <v>3673</v>
      </c>
      <c r="H9" t="s">
        <v>3673</v>
      </c>
      <c r="I9" t="s">
        <v>3688</v>
      </c>
      <c r="J9" t="s">
        <v>3694</v>
      </c>
      <c r="K9" t="s">
        <v>3698</v>
      </c>
      <c r="L9">
        <v>4</v>
      </c>
      <c r="M9">
        <v>4500</v>
      </c>
      <c r="N9" t="s">
        <v>3704</v>
      </c>
      <c r="O9" t="s">
        <v>3706</v>
      </c>
    </row>
    <row r="10" spans="1:15" x14ac:dyDescent="0.35">
      <c r="A10" t="s">
        <v>23</v>
      </c>
      <c r="B10" t="s">
        <v>1223</v>
      </c>
      <c r="C10" t="s">
        <v>1796</v>
      </c>
      <c r="D10" t="s">
        <v>2491</v>
      </c>
      <c r="E10" t="s">
        <v>3671</v>
      </c>
      <c r="F10">
        <v>43</v>
      </c>
      <c r="G10" t="s">
        <v>3678</v>
      </c>
      <c r="H10" t="s">
        <v>3683</v>
      </c>
      <c r="I10" t="s">
        <v>3689</v>
      </c>
      <c r="J10" t="s">
        <v>3694</v>
      </c>
      <c r="K10" t="s">
        <v>3699</v>
      </c>
      <c r="L10">
        <v>3</v>
      </c>
      <c r="M10">
        <v>1800</v>
      </c>
      <c r="N10" t="s">
        <v>3704</v>
      </c>
      <c r="O10" t="s">
        <v>3705</v>
      </c>
    </row>
    <row r="11" spans="1:15" x14ac:dyDescent="0.35">
      <c r="A11" t="s">
        <v>24</v>
      </c>
      <c r="B11" t="s">
        <v>1224</v>
      </c>
      <c r="C11" t="s">
        <v>1797</v>
      </c>
      <c r="D11" t="s">
        <v>2492</v>
      </c>
      <c r="E11" t="s">
        <v>3671</v>
      </c>
      <c r="F11">
        <v>60</v>
      </c>
      <c r="G11" t="s">
        <v>3675</v>
      </c>
      <c r="H11" t="s">
        <v>3681</v>
      </c>
      <c r="I11" t="s">
        <v>3690</v>
      </c>
      <c r="J11" t="s">
        <v>3693</v>
      </c>
      <c r="K11" t="s">
        <v>3700</v>
      </c>
      <c r="L11">
        <v>1</v>
      </c>
      <c r="M11">
        <v>72000</v>
      </c>
      <c r="N11" t="s">
        <v>3704</v>
      </c>
      <c r="O11" t="s">
        <v>3706</v>
      </c>
    </row>
    <row r="12" spans="1:15" x14ac:dyDescent="0.35">
      <c r="A12" t="s">
        <v>25</v>
      </c>
      <c r="B12" t="s">
        <v>1225</v>
      </c>
      <c r="C12" t="s">
        <v>1798</v>
      </c>
      <c r="D12" t="s">
        <v>2493</v>
      </c>
      <c r="E12" t="s">
        <v>3671</v>
      </c>
      <c r="F12">
        <v>19</v>
      </c>
      <c r="G12" t="s">
        <v>3679</v>
      </c>
      <c r="H12" t="s">
        <v>3684</v>
      </c>
      <c r="I12" t="s">
        <v>3689</v>
      </c>
      <c r="J12" t="s">
        <v>3694</v>
      </c>
      <c r="K12" t="s">
        <v>3699</v>
      </c>
      <c r="L12">
        <v>4</v>
      </c>
      <c r="M12">
        <v>1800</v>
      </c>
      <c r="N12" t="s">
        <v>3704</v>
      </c>
      <c r="O12" t="s">
        <v>3705</v>
      </c>
    </row>
    <row r="13" spans="1:15" x14ac:dyDescent="0.35">
      <c r="A13" t="s">
        <v>26</v>
      </c>
      <c r="B13" t="s">
        <v>1226</v>
      </c>
      <c r="C13" t="s">
        <v>1799</v>
      </c>
      <c r="D13" t="s">
        <v>2494</v>
      </c>
      <c r="E13" t="s">
        <v>3672</v>
      </c>
      <c r="F13">
        <v>50</v>
      </c>
      <c r="G13" t="s">
        <v>3675</v>
      </c>
      <c r="H13" t="s">
        <v>3681</v>
      </c>
      <c r="I13" t="s">
        <v>3685</v>
      </c>
      <c r="J13" t="s">
        <v>3692</v>
      </c>
      <c r="K13" t="s">
        <v>3695</v>
      </c>
      <c r="L13">
        <v>2</v>
      </c>
      <c r="M13">
        <v>12000</v>
      </c>
      <c r="N13" t="s">
        <v>3701</v>
      </c>
      <c r="O13" t="s">
        <v>3705</v>
      </c>
    </row>
    <row r="14" spans="1:15" x14ac:dyDescent="0.35">
      <c r="A14" t="s">
        <v>27</v>
      </c>
      <c r="B14" t="s">
        <v>1227</v>
      </c>
      <c r="C14" t="s">
        <v>1800</v>
      </c>
      <c r="D14" t="s">
        <v>2495</v>
      </c>
      <c r="E14" t="s">
        <v>3672</v>
      </c>
      <c r="F14">
        <v>22</v>
      </c>
      <c r="G14" t="s">
        <v>3674</v>
      </c>
      <c r="H14" t="s">
        <v>3680</v>
      </c>
      <c r="I14" t="s">
        <v>3688</v>
      </c>
      <c r="J14" t="s">
        <v>3694</v>
      </c>
      <c r="K14" t="s">
        <v>3698</v>
      </c>
      <c r="L14">
        <v>2</v>
      </c>
      <c r="M14">
        <v>4500</v>
      </c>
      <c r="N14" t="s">
        <v>3703</v>
      </c>
      <c r="O14" t="s">
        <v>3705</v>
      </c>
    </row>
    <row r="15" spans="1:15" x14ac:dyDescent="0.35">
      <c r="A15" t="s">
        <v>28</v>
      </c>
      <c r="B15" t="s">
        <v>1228</v>
      </c>
      <c r="C15" t="s">
        <v>1801</v>
      </c>
      <c r="D15" t="s">
        <v>2496</v>
      </c>
      <c r="E15" t="s">
        <v>3671</v>
      </c>
      <c r="F15">
        <v>44</v>
      </c>
      <c r="G15" t="s">
        <v>3678</v>
      </c>
      <c r="H15" t="s">
        <v>3683</v>
      </c>
      <c r="I15" t="s">
        <v>3689</v>
      </c>
      <c r="J15" t="s">
        <v>3694</v>
      </c>
      <c r="K15" t="s">
        <v>3699</v>
      </c>
      <c r="L15">
        <v>5</v>
      </c>
      <c r="M15">
        <v>1800</v>
      </c>
      <c r="N15" t="s">
        <v>3703</v>
      </c>
      <c r="O15" t="s">
        <v>3706</v>
      </c>
    </row>
    <row r="16" spans="1:15" x14ac:dyDescent="0.35">
      <c r="A16" t="s">
        <v>29</v>
      </c>
      <c r="B16" t="s">
        <v>1229</v>
      </c>
      <c r="C16" t="s">
        <v>1802</v>
      </c>
      <c r="D16" t="s">
        <v>2497</v>
      </c>
      <c r="E16" t="s">
        <v>3672</v>
      </c>
      <c r="F16">
        <v>26</v>
      </c>
      <c r="G16" t="s">
        <v>3674</v>
      </c>
      <c r="H16" t="s">
        <v>3680</v>
      </c>
      <c r="I16" t="s">
        <v>3690</v>
      </c>
      <c r="J16" t="s">
        <v>3693</v>
      </c>
      <c r="K16" t="s">
        <v>3700</v>
      </c>
      <c r="L16">
        <v>1</v>
      </c>
      <c r="M16">
        <v>72000</v>
      </c>
      <c r="N16" t="s">
        <v>3703</v>
      </c>
      <c r="O16" t="s">
        <v>3707</v>
      </c>
    </row>
    <row r="17" spans="1:15" x14ac:dyDescent="0.35">
      <c r="A17" t="s">
        <v>30</v>
      </c>
      <c r="B17" t="s">
        <v>1230</v>
      </c>
      <c r="C17" t="s">
        <v>1803</v>
      </c>
      <c r="D17" t="s">
        <v>2498</v>
      </c>
      <c r="E17" t="s">
        <v>3672</v>
      </c>
      <c r="F17">
        <v>53</v>
      </c>
      <c r="G17" t="s">
        <v>3677</v>
      </c>
      <c r="H17" t="s">
        <v>3680</v>
      </c>
      <c r="I17" t="s">
        <v>3688</v>
      </c>
      <c r="J17" t="s">
        <v>3694</v>
      </c>
      <c r="K17" t="s">
        <v>3698</v>
      </c>
      <c r="L17">
        <v>5</v>
      </c>
      <c r="M17">
        <v>4500</v>
      </c>
      <c r="N17" t="s">
        <v>3702</v>
      </c>
      <c r="O17" t="s">
        <v>3706</v>
      </c>
    </row>
    <row r="18" spans="1:15" x14ac:dyDescent="0.35">
      <c r="A18" t="s">
        <v>31</v>
      </c>
      <c r="B18" t="s">
        <v>1231</v>
      </c>
      <c r="C18" t="s">
        <v>1804</v>
      </c>
      <c r="D18" t="s">
        <v>2499</v>
      </c>
      <c r="E18" t="s">
        <v>3671</v>
      </c>
      <c r="F18">
        <v>59</v>
      </c>
      <c r="G18" t="s">
        <v>3673</v>
      </c>
      <c r="H18" t="s">
        <v>3673</v>
      </c>
      <c r="I18" t="s">
        <v>3687</v>
      </c>
      <c r="J18" t="s">
        <v>3693</v>
      </c>
      <c r="K18" t="s">
        <v>3697</v>
      </c>
      <c r="L18">
        <v>3</v>
      </c>
      <c r="M18">
        <v>5000</v>
      </c>
      <c r="N18" t="s">
        <v>3701</v>
      </c>
      <c r="O18" t="s">
        <v>3707</v>
      </c>
    </row>
    <row r="19" spans="1:15" x14ac:dyDescent="0.35">
      <c r="A19" t="s">
        <v>32</v>
      </c>
      <c r="B19" t="s">
        <v>1232</v>
      </c>
      <c r="C19" t="s">
        <v>1805</v>
      </c>
      <c r="D19" t="s">
        <v>2500</v>
      </c>
      <c r="E19" t="s">
        <v>3672</v>
      </c>
      <c r="F19">
        <v>19</v>
      </c>
      <c r="G19" t="s">
        <v>3675</v>
      </c>
      <c r="H19" t="s">
        <v>3681</v>
      </c>
      <c r="I19" t="s">
        <v>3689</v>
      </c>
      <c r="J19" t="s">
        <v>3694</v>
      </c>
      <c r="K19" t="s">
        <v>3699</v>
      </c>
      <c r="L19">
        <v>5</v>
      </c>
      <c r="M19">
        <v>1800</v>
      </c>
      <c r="N19" t="s">
        <v>3704</v>
      </c>
      <c r="O19" t="s">
        <v>3707</v>
      </c>
    </row>
    <row r="20" spans="1:15" x14ac:dyDescent="0.35">
      <c r="A20" t="s">
        <v>33</v>
      </c>
      <c r="B20" t="s">
        <v>1233</v>
      </c>
      <c r="C20" t="s">
        <v>1806</v>
      </c>
      <c r="D20" t="s">
        <v>2501</v>
      </c>
      <c r="E20" t="s">
        <v>3671</v>
      </c>
      <c r="F20">
        <v>35</v>
      </c>
      <c r="G20" t="s">
        <v>3673</v>
      </c>
      <c r="H20" t="s">
        <v>3673</v>
      </c>
      <c r="I20" t="s">
        <v>3685</v>
      </c>
      <c r="J20" t="s">
        <v>3692</v>
      </c>
      <c r="K20" t="s">
        <v>3695</v>
      </c>
      <c r="L20">
        <v>4</v>
      </c>
      <c r="M20">
        <v>12000</v>
      </c>
      <c r="N20" t="s">
        <v>3704</v>
      </c>
      <c r="O20" t="s">
        <v>3705</v>
      </c>
    </row>
    <row r="21" spans="1:15" x14ac:dyDescent="0.35">
      <c r="A21" t="s">
        <v>34</v>
      </c>
      <c r="B21" t="s">
        <v>1234</v>
      </c>
      <c r="C21" t="s">
        <v>1807</v>
      </c>
      <c r="D21" t="s">
        <v>2502</v>
      </c>
      <c r="E21" t="s">
        <v>3672</v>
      </c>
      <c r="F21">
        <v>27</v>
      </c>
      <c r="G21" t="s">
        <v>3677</v>
      </c>
      <c r="H21" t="s">
        <v>3680</v>
      </c>
      <c r="I21" t="s">
        <v>3686</v>
      </c>
      <c r="J21" t="s">
        <v>3693</v>
      </c>
      <c r="K21" t="s">
        <v>3696</v>
      </c>
      <c r="L21">
        <v>4</v>
      </c>
      <c r="M21">
        <v>65000</v>
      </c>
      <c r="N21" t="s">
        <v>3702</v>
      </c>
      <c r="O21" t="s">
        <v>3707</v>
      </c>
    </row>
    <row r="22" spans="1:15" x14ac:dyDescent="0.35">
      <c r="A22" t="s">
        <v>35</v>
      </c>
      <c r="B22" t="s">
        <v>1235</v>
      </c>
      <c r="C22" t="s">
        <v>1808</v>
      </c>
      <c r="D22" t="s">
        <v>2503</v>
      </c>
      <c r="E22" t="s">
        <v>3671</v>
      </c>
      <c r="F22">
        <v>40</v>
      </c>
      <c r="G22" t="s">
        <v>3678</v>
      </c>
      <c r="H22" t="s">
        <v>3683</v>
      </c>
      <c r="I22" t="s">
        <v>3690</v>
      </c>
      <c r="J22" t="s">
        <v>3693</v>
      </c>
      <c r="K22" t="s">
        <v>3700</v>
      </c>
      <c r="L22">
        <v>1</v>
      </c>
      <c r="M22">
        <v>72000</v>
      </c>
      <c r="N22" t="s">
        <v>3702</v>
      </c>
      <c r="O22" t="s">
        <v>3706</v>
      </c>
    </row>
    <row r="23" spans="1:15" x14ac:dyDescent="0.35">
      <c r="A23" t="s">
        <v>36</v>
      </c>
      <c r="B23" t="s">
        <v>1236</v>
      </c>
      <c r="C23" t="s">
        <v>1807</v>
      </c>
      <c r="D23" t="s">
        <v>2504</v>
      </c>
      <c r="E23" t="s">
        <v>3671</v>
      </c>
      <c r="F23">
        <v>30</v>
      </c>
      <c r="G23" t="s">
        <v>3673</v>
      </c>
      <c r="H23" t="s">
        <v>3673</v>
      </c>
      <c r="I23" t="s">
        <v>3685</v>
      </c>
      <c r="J23" t="s">
        <v>3692</v>
      </c>
      <c r="K23" t="s">
        <v>3695</v>
      </c>
      <c r="L23">
        <v>4</v>
      </c>
      <c r="M23">
        <v>12000</v>
      </c>
      <c r="N23" t="s">
        <v>3703</v>
      </c>
      <c r="O23" t="s">
        <v>3705</v>
      </c>
    </row>
    <row r="24" spans="1:15" x14ac:dyDescent="0.35">
      <c r="A24" t="s">
        <v>37</v>
      </c>
      <c r="B24" t="s">
        <v>1237</v>
      </c>
      <c r="C24" t="s">
        <v>1809</v>
      </c>
      <c r="D24" t="s">
        <v>2505</v>
      </c>
      <c r="E24" t="s">
        <v>3671</v>
      </c>
      <c r="F24">
        <v>25</v>
      </c>
      <c r="G24" t="s">
        <v>3675</v>
      </c>
      <c r="H24" t="s">
        <v>3681</v>
      </c>
      <c r="I24" t="s">
        <v>3690</v>
      </c>
      <c r="J24" t="s">
        <v>3693</v>
      </c>
      <c r="K24" t="s">
        <v>3700</v>
      </c>
      <c r="L24">
        <v>4</v>
      </c>
      <c r="M24">
        <v>72000</v>
      </c>
      <c r="N24" t="s">
        <v>3703</v>
      </c>
      <c r="O24" t="s">
        <v>3705</v>
      </c>
    </row>
    <row r="25" spans="1:15" x14ac:dyDescent="0.35">
      <c r="A25" t="s">
        <v>38</v>
      </c>
      <c r="B25" t="s">
        <v>1238</v>
      </c>
      <c r="C25" t="s">
        <v>1810</v>
      </c>
      <c r="D25" t="s">
        <v>2506</v>
      </c>
      <c r="E25" t="s">
        <v>3672</v>
      </c>
      <c r="F25">
        <v>37</v>
      </c>
      <c r="G25" t="s">
        <v>3675</v>
      </c>
      <c r="H25" t="s">
        <v>3681</v>
      </c>
      <c r="I25" t="s">
        <v>3685</v>
      </c>
      <c r="J25" t="s">
        <v>3692</v>
      </c>
      <c r="K25" t="s">
        <v>3695</v>
      </c>
      <c r="L25">
        <v>5</v>
      </c>
      <c r="M25">
        <v>12000</v>
      </c>
      <c r="N25" t="s">
        <v>3701</v>
      </c>
      <c r="O25" t="s">
        <v>3706</v>
      </c>
    </row>
    <row r="26" spans="1:15" x14ac:dyDescent="0.35">
      <c r="A26" t="s">
        <v>39</v>
      </c>
      <c r="B26" t="s">
        <v>1239</v>
      </c>
      <c r="C26" t="s">
        <v>1811</v>
      </c>
      <c r="D26" t="s">
        <v>2507</v>
      </c>
      <c r="E26" t="s">
        <v>3672</v>
      </c>
      <c r="F26">
        <v>37</v>
      </c>
      <c r="G26" t="s">
        <v>3673</v>
      </c>
      <c r="H26" t="s">
        <v>3673</v>
      </c>
      <c r="I26" t="s">
        <v>3688</v>
      </c>
      <c r="J26" t="s">
        <v>3694</v>
      </c>
      <c r="K26" t="s">
        <v>3698</v>
      </c>
      <c r="L26">
        <v>5</v>
      </c>
      <c r="M26">
        <v>4500</v>
      </c>
      <c r="N26" t="s">
        <v>3704</v>
      </c>
      <c r="O26" t="s">
        <v>3705</v>
      </c>
    </row>
    <row r="27" spans="1:15" x14ac:dyDescent="0.35">
      <c r="A27" t="s">
        <v>40</v>
      </c>
      <c r="B27" t="s">
        <v>1240</v>
      </c>
      <c r="C27" t="s">
        <v>1812</v>
      </c>
      <c r="D27" t="s">
        <v>2508</v>
      </c>
      <c r="E27" t="s">
        <v>3672</v>
      </c>
      <c r="F27">
        <v>20</v>
      </c>
      <c r="G27" t="s">
        <v>3678</v>
      </c>
      <c r="H27" t="s">
        <v>3683</v>
      </c>
      <c r="I27" t="s">
        <v>3685</v>
      </c>
      <c r="J27" t="s">
        <v>3692</v>
      </c>
      <c r="K27" t="s">
        <v>3695</v>
      </c>
      <c r="L27">
        <v>5</v>
      </c>
      <c r="M27">
        <v>12000</v>
      </c>
      <c r="N27" t="s">
        <v>3703</v>
      </c>
      <c r="O27" t="s">
        <v>3707</v>
      </c>
    </row>
    <row r="28" spans="1:15" x14ac:dyDescent="0.35">
      <c r="A28" t="s">
        <v>41</v>
      </c>
      <c r="B28" t="s">
        <v>1241</v>
      </c>
      <c r="C28" t="s">
        <v>1813</v>
      </c>
      <c r="D28" t="s">
        <v>2509</v>
      </c>
      <c r="E28" t="s">
        <v>3672</v>
      </c>
      <c r="F28">
        <v>45</v>
      </c>
      <c r="G28" t="s">
        <v>3678</v>
      </c>
      <c r="H28" t="s">
        <v>3683</v>
      </c>
      <c r="I28" t="s">
        <v>3690</v>
      </c>
      <c r="J28" t="s">
        <v>3693</v>
      </c>
      <c r="K28" t="s">
        <v>3700</v>
      </c>
      <c r="L28">
        <v>3</v>
      </c>
      <c r="M28">
        <v>72000</v>
      </c>
      <c r="N28" t="s">
        <v>3703</v>
      </c>
      <c r="O28" t="s">
        <v>3706</v>
      </c>
    </row>
    <row r="29" spans="1:15" x14ac:dyDescent="0.35">
      <c r="A29" t="s">
        <v>42</v>
      </c>
      <c r="B29" t="s">
        <v>1242</v>
      </c>
      <c r="C29" t="s">
        <v>1814</v>
      </c>
      <c r="D29" t="s">
        <v>2510</v>
      </c>
      <c r="E29" t="s">
        <v>3672</v>
      </c>
      <c r="F29">
        <v>37</v>
      </c>
      <c r="G29" t="s">
        <v>3673</v>
      </c>
      <c r="H29" t="s">
        <v>3673</v>
      </c>
      <c r="I29" t="s">
        <v>3689</v>
      </c>
      <c r="J29" t="s">
        <v>3694</v>
      </c>
      <c r="K29" t="s">
        <v>3699</v>
      </c>
      <c r="L29">
        <v>5</v>
      </c>
      <c r="M29">
        <v>1800</v>
      </c>
      <c r="N29" t="s">
        <v>3703</v>
      </c>
      <c r="O29" t="s">
        <v>3705</v>
      </c>
    </row>
    <row r="30" spans="1:15" x14ac:dyDescent="0.35">
      <c r="A30" t="s">
        <v>43</v>
      </c>
      <c r="B30" t="s">
        <v>1243</v>
      </c>
      <c r="C30" t="s">
        <v>1815</v>
      </c>
      <c r="D30" t="s">
        <v>2511</v>
      </c>
      <c r="E30" t="s">
        <v>3672</v>
      </c>
      <c r="F30">
        <v>37</v>
      </c>
      <c r="G30" t="s">
        <v>3676</v>
      </c>
      <c r="H30" t="s">
        <v>3682</v>
      </c>
      <c r="I30" t="s">
        <v>3691</v>
      </c>
      <c r="J30" t="s">
        <v>3693</v>
      </c>
      <c r="K30" t="s">
        <v>3696</v>
      </c>
      <c r="L30">
        <v>1</v>
      </c>
      <c r="M30">
        <v>58000</v>
      </c>
      <c r="N30" t="s">
        <v>3702</v>
      </c>
      <c r="O30" t="s">
        <v>3707</v>
      </c>
    </row>
    <row r="31" spans="1:15" x14ac:dyDescent="0.35">
      <c r="A31" t="s">
        <v>44</v>
      </c>
      <c r="B31" t="s">
        <v>1244</v>
      </c>
      <c r="C31" t="s">
        <v>1816</v>
      </c>
      <c r="D31" t="s">
        <v>2512</v>
      </c>
      <c r="E31" t="s">
        <v>3672</v>
      </c>
      <c r="F31">
        <v>49</v>
      </c>
      <c r="G31" t="s">
        <v>3676</v>
      </c>
      <c r="H31" t="s">
        <v>3682</v>
      </c>
      <c r="I31" t="s">
        <v>3685</v>
      </c>
      <c r="J31" t="s">
        <v>3692</v>
      </c>
      <c r="K31" t="s">
        <v>3695</v>
      </c>
      <c r="L31">
        <v>3</v>
      </c>
      <c r="M31">
        <v>12000</v>
      </c>
      <c r="N31" t="s">
        <v>3701</v>
      </c>
      <c r="O31" t="s">
        <v>3706</v>
      </c>
    </row>
    <row r="32" spans="1:15" x14ac:dyDescent="0.35">
      <c r="A32" t="s">
        <v>45</v>
      </c>
      <c r="B32" t="s">
        <v>1245</v>
      </c>
      <c r="C32" t="s">
        <v>1817</v>
      </c>
      <c r="D32" t="s">
        <v>2513</v>
      </c>
      <c r="E32" t="s">
        <v>3672</v>
      </c>
      <c r="F32">
        <v>19</v>
      </c>
      <c r="G32" t="s">
        <v>3675</v>
      </c>
      <c r="H32" t="s">
        <v>3681</v>
      </c>
      <c r="I32" t="s">
        <v>3690</v>
      </c>
      <c r="J32" t="s">
        <v>3693</v>
      </c>
      <c r="K32" t="s">
        <v>3700</v>
      </c>
      <c r="L32">
        <v>4</v>
      </c>
      <c r="M32">
        <v>72000</v>
      </c>
      <c r="N32" t="s">
        <v>3701</v>
      </c>
      <c r="O32" t="s">
        <v>3707</v>
      </c>
    </row>
    <row r="33" spans="1:15" x14ac:dyDescent="0.35">
      <c r="A33" t="s">
        <v>46</v>
      </c>
      <c r="B33" t="s">
        <v>1246</v>
      </c>
      <c r="C33" t="s">
        <v>1818</v>
      </c>
      <c r="D33" t="s">
        <v>2514</v>
      </c>
      <c r="E33" t="s">
        <v>3671</v>
      </c>
      <c r="F33">
        <v>36</v>
      </c>
      <c r="G33" t="s">
        <v>3674</v>
      </c>
      <c r="H33" t="s">
        <v>3680</v>
      </c>
      <c r="I33" t="s">
        <v>3687</v>
      </c>
      <c r="J33" t="s">
        <v>3693</v>
      </c>
      <c r="K33" t="s">
        <v>3697</v>
      </c>
      <c r="L33">
        <v>1</v>
      </c>
      <c r="M33">
        <v>5000</v>
      </c>
      <c r="N33" t="s">
        <v>3704</v>
      </c>
      <c r="O33" t="s">
        <v>3705</v>
      </c>
    </row>
    <row r="34" spans="1:15" x14ac:dyDescent="0.35">
      <c r="A34" t="s">
        <v>47</v>
      </c>
      <c r="B34" t="s">
        <v>1247</v>
      </c>
      <c r="C34" t="s">
        <v>1819</v>
      </c>
      <c r="D34" t="s">
        <v>2515</v>
      </c>
      <c r="E34" t="s">
        <v>3672</v>
      </c>
      <c r="F34">
        <v>60</v>
      </c>
      <c r="G34" t="s">
        <v>3679</v>
      </c>
      <c r="H34" t="s">
        <v>3684</v>
      </c>
      <c r="I34" t="s">
        <v>3687</v>
      </c>
      <c r="J34" t="s">
        <v>3693</v>
      </c>
      <c r="K34" t="s">
        <v>3697</v>
      </c>
      <c r="L34">
        <v>5</v>
      </c>
      <c r="M34">
        <v>5000</v>
      </c>
      <c r="N34" t="s">
        <v>3701</v>
      </c>
      <c r="O34" t="s">
        <v>3706</v>
      </c>
    </row>
    <row r="35" spans="1:15" x14ac:dyDescent="0.35">
      <c r="A35" t="s">
        <v>48</v>
      </c>
      <c r="B35" t="s">
        <v>1248</v>
      </c>
      <c r="C35" t="s">
        <v>1820</v>
      </c>
      <c r="D35" t="s">
        <v>2516</v>
      </c>
      <c r="E35" t="s">
        <v>3671</v>
      </c>
      <c r="F35">
        <v>56</v>
      </c>
      <c r="G35" t="s">
        <v>3675</v>
      </c>
      <c r="H35" t="s">
        <v>3681</v>
      </c>
      <c r="I35" t="s">
        <v>3689</v>
      </c>
      <c r="J35" t="s">
        <v>3694</v>
      </c>
      <c r="K35" t="s">
        <v>3699</v>
      </c>
      <c r="L35">
        <v>5</v>
      </c>
      <c r="M35">
        <v>1800</v>
      </c>
      <c r="N35" t="s">
        <v>3703</v>
      </c>
      <c r="O35" t="s">
        <v>3707</v>
      </c>
    </row>
    <row r="36" spans="1:15" x14ac:dyDescent="0.35">
      <c r="A36" t="s">
        <v>49</v>
      </c>
      <c r="B36" t="s">
        <v>1249</v>
      </c>
      <c r="C36" t="s">
        <v>1821</v>
      </c>
      <c r="D36" t="s">
        <v>2517</v>
      </c>
      <c r="E36" t="s">
        <v>3672</v>
      </c>
      <c r="F36">
        <v>57</v>
      </c>
      <c r="G36" t="s">
        <v>3675</v>
      </c>
      <c r="H36" t="s">
        <v>3681</v>
      </c>
      <c r="I36" t="s">
        <v>3689</v>
      </c>
      <c r="J36" t="s">
        <v>3694</v>
      </c>
      <c r="K36" t="s">
        <v>3699</v>
      </c>
      <c r="L36">
        <v>2</v>
      </c>
      <c r="M36">
        <v>1800</v>
      </c>
      <c r="N36" t="s">
        <v>3702</v>
      </c>
      <c r="O36" t="s">
        <v>3706</v>
      </c>
    </row>
    <row r="37" spans="1:15" x14ac:dyDescent="0.35">
      <c r="A37" t="s">
        <v>50</v>
      </c>
      <c r="B37" t="s">
        <v>1250</v>
      </c>
      <c r="C37" t="s">
        <v>1822</v>
      </c>
      <c r="D37" t="s">
        <v>2518</v>
      </c>
      <c r="E37" t="s">
        <v>3671</v>
      </c>
      <c r="F37">
        <v>35</v>
      </c>
      <c r="G37" t="s">
        <v>3679</v>
      </c>
      <c r="H37" t="s">
        <v>3684</v>
      </c>
      <c r="I37" t="s">
        <v>3688</v>
      </c>
      <c r="J37" t="s">
        <v>3694</v>
      </c>
      <c r="K37" t="s">
        <v>3698</v>
      </c>
      <c r="L37">
        <v>2</v>
      </c>
      <c r="M37">
        <v>4500</v>
      </c>
      <c r="N37" t="s">
        <v>3703</v>
      </c>
      <c r="O37" t="s">
        <v>3707</v>
      </c>
    </row>
    <row r="38" spans="1:15" x14ac:dyDescent="0.35">
      <c r="A38" t="s">
        <v>51</v>
      </c>
      <c r="B38" t="s">
        <v>1251</v>
      </c>
      <c r="C38" t="s">
        <v>1823</v>
      </c>
      <c r="D38" t="s">
        <v>2519</v>
      </c>
      <c r="E38" t="s">
        <v>3672</v>
      </c>
      <c r="F38">
        <v>36</v>
      </c>
      <c r="G38" t="s">
        <v>3674</v>
      </c>
      <c r="H38" t="s">
        <v>3680</v>
      </c>
      <c r="I38" t="s">
        <v>3688</v>
      </c>
      <c r="J38" t="s">
        <v>3694</v>
      </c>
      <c r="K38" t="s">
        <v>3698</v>
      </c>
      <c r="L38">
        <v>1</v>
      </c>
      <c r="M38">
        <v>4500</v>
      </c>
      <c r="N38" t="s">
        <v>3704</v>
      </c>
      <c r="O38" t="s">
        <v>3706</v>
      </c>
    </row>
    <row r="39" spans="1:15" x14ac:dyDescent="0.35">
      <c r="A39" t="s">
        <v>52</v>
      </c>
      <c r="B39" t="s">
        <v>1252</v>
      </c>
      <c r="C39" t="s">
        <v>1824</v>
      </c>
      <c r="D39" t="s">
        <v>2520</v>
      </c>
      <c r="E39" t="s">
        <v>3672</v>
      </c>
      <c r="F39">
        <v>53</v>
      </c>
      <c r="G39" t="s">
        <v>3674</v>
      </c>
      <c r="H39" t="s">
        <v>3680</v>
      </c>
      <c r="I39" t="s">
        <v>3691</v>
      </c>
      <c r="J39" t="s">
        <v>3693</v>
      </c>
      <c r="K39" t="s">
        <v>3696</v>
      </c>
      <c r="L39">
        <v>2</v>
      </c>
      <c r="M39">
        <v>58000</v>
      </c>
      <c r="N39" t="s">
        <v>3703</v>
      </c>
      <c r="O39" t="s">
        <v>3706</v>
      </c>
    </row>
    <row r="40" spans="1:15" x14ac:dyDescent="0.35">
      <c r="A40" t="s">
        <v>53</v>
      </c>
      <c r="B40" t="s">
        <v>1253</v>
      </c>
      <c r="C40" t="s">
        <v>1825</v>
      </c>
      <c r="D40" t="s">
        <v>2521</v>
      </c>
      <c r="E40" t="s">
        <v>3672</v>
      </c>
      <c r="F40">
        <v>23</v>
      </c>
      <c r="G40" t="s">
        <v>3673</v>
      </c>
      <c r="H40" t="s">
        <v>3673</v>
      </c>
      <c r="I40" t="s">
        <v>3686</v>
      </c>
      <c r="J40" t="s">
        <v>3693</v>
      </c>
      <c r="K40" t="s">
        <v>3696</v>
      </c>
      <c r="L40">
        <v>2</v>
      </c>
      <c r="M40">
        <v>65000</v>
      </c>
      <c r="N40" t="s">
        <v>3702</v>
      </c>
      <c r="O40" t="s">
        <v>3706</v>
      </c>
    </row>
    <row r="41" spans="1:15" x14ac:dyDescent="0.35">
      <c r="A41" t="s">
        <v>54</v>
      </c>
      <c r="B41" t="s">
        <v>1254</v>
      </c>
      <c r="C41" t="s">
        <v>1826</v>
      </c>
      <c r="D41" t="s">
        <v>2522</v>
      </c>
      <c r="E41" t="s">
        <v>3672</v>
      </c>
      <c r="F41">
        <v>51</v>
      </c>
      <c r="G41" t="s">
        <v>3679</v>
      </c>
      <c r="H41" t="s">
        <v>3684</v>
      </c>
      <c r="I41" t="s">
        <v>3686</v>
      </c>
      <c r="J41" t="s">
        <v>3693</v>
      </c>
      <c r="K41" t="s">
        <v>3696</v>
      </c>
      <c r="L41">
        <v>5</v>
      </c>
      <c r="M41">
        <v>65000</v>
      </c>
      <c r="N41" t="s">
        <v>3702</v>
      </c>
      <c r="O41" t="s">
        <v>3705</v>
      </c>
    </row>
    <row r="42" spans="1:15" x14ac:dyDescent="0.35">
      <c r="A42" t="s">
        <v>55</v>
      </c>
      <c r="B42" t="s">
        <v>1255</v>
      </c>
      <c r="C42" t="s">
        <v>1827</v>
      </c>
      <c r="D42" t="s">
        <v>2523</v>
      </c>
      <c r="E42" t="s">
        <v>3671</v>
      </c>
      <c r="F42">
        <v>46</v>
      </c>
      <c r="G42" t="s">
        <v>3674</v>
      </c>
      <c r="H42" t="s">
        <v>3680</v>
      </c>
      <c r="I42" t="s">
        <v>3688</v>
      </c>
      <c r="J42" t="s">
        <v>3694</v>
      </c>
      <c r="K42" t="s">
        <v>3698</v>
      </c>
      <c r="L42">
        <v>1</v>
      </c>
      <c r="M42">
        <v>4500</v>
      </c>
      <c r="N42" t="s">
        <v>3701</v>
      </c>
      <c r="O42" t="s">
        <v>3705</v>
      </c>
    </row>
    <row r="43" spans="1:15" x14ac:dyDescent="0.35">
      <c r="A43" t="s">
        <v>56</v>
      </c>
      <c r="B43" t="s">
        <v>1256</v>
      </c>
      <c r="C43" t="s">
        <v>1828</v>
      </c>
      <c r="D43" t="s">
        <v>2524</v>
      </c>
      <c r="E43" t="s">
        <v>3672</v>
      </c>
      <c r="F43">
        <v>49</v>
      </c>
      <c r="G43" t="s">
        <v>3677</v>
      </c>
      <c r="H43" t="s">
        <v>3680</v>
      </c>
      <c r="I43" t="s">
        <v>3688</v>
      </c>
      <c r="J43" t="s">
        <v>3694</v>
      </c>
      <c r="K43" t="s">
        <v>3698</v>
      </c>
      <c r="L43">
        <v>2</v>
      </c>
      <c r="M43">
        <v>4500</v>
      </c>
      <c r="N43" t="s">
        <v>3701</v>
      </c>
      <c r="O43" t="s">
        <v>3705</v>
      </c>
    </row>
    <row r="44" spans="1:15" x14ac:dyDescent="0.35">
      <c r="A44" t="s">
        <v>57</v>
      </c>
      <c r="B44" t="s">
        <v>1257</v>
      </c>
      <c r="C44" t="s">
        <v>1829</v>
      </c>
      <c r="D44" t="s">
        <v>2525</v>
      </c>
      <c r="E44" t="s">
        <v>3672</v>
      </c>
      <c r="F44">
        <v>52</v>
      </c>
      <c r="G44" t="s">
        <v>3674</v>
      </c>
      <c r="H44" t="s">
        <v>3680</v>
      </c>
      <c r="I44" t="s">
        <v>3688</v>
      </c>
      <c r="J44" t="s">
        <v>3694</v>
      </c>
      <c r="K44" t="s">
        <v>3698</v>
      </c>
      <c r="L44">
        <v>5</v>
      </c>
      <c r="M44">
        <v>4500</v>
      </c>
      <c r="N44" t="s">
        <v>3704</v>
      </c>
      <c r="O44" t="s">
        <v>3707</v>
      </c>
    </row>
    <row r="45" spans="1:15" x14ac:dyDescent="0.35">
      <c r="A45" t="s">
        <v>58</v>
      </c>
      <c r="B45" t="s">
        <v>1258</v>
      </c>
      <c r="C45" t="s">
        <v>1830</v>
      </c>
      <c r="D45" t="s">
        <v>2526</v>
      </c>
      <c r="E45" t="s">
        <v>3671</v>
      </c>
      <c r="F45">
        <v>20</v>
      </c>
      <c r="G45" t="s">
        <v>3674</v>
      </c>
      <c r="H45" t="s">
        <v>3680</v>
      </c>
      <c r="I45" t="s">
        <v>3689</v>
      </c>
      <c r="J45" t="s">
        <v>3694</v>
      </c>
      <c r="K45" t="s">
        <v>3699</v>
      </c>
      <c r="L45">
        <v>4</v>
      </c>
      <c r="M45">
        <v>1800</v>
      </c>
      <c r="N45" t="s">
        <v>3704</v>
      </c>
      <c r="O45" t="s">
        <v>3705</v>
      </c>
    </row>
    <row r="46" spans="1:15" x14ac:dyDescent="0.35">
      <c r="A46" t="s">
        <v>59</v>
      </c>
      <c r="B46" t="s">
        <v>1259</v>
      </c>
      <c r="C46" t="s">
        <v>1831</v>
      </c>
      <c r="D46" t="s">
        <v>2527</v>
      </c>
      <c r="E46" t="s">
        <v>3672</v>
      </c>
      <c r="F46">
        <v>58</v>
      </c>
      <c r="G46" t="s">
        <v>3676</v>
      </c>
      <c r="H46" t="s">
        <v>3682</v>
      </c>
      <c r="I46" t="s">
        <v>3688</v>
      </c>
      <c r="J46" t="s">
        <v>3694</v>
      </c>
      <c r="K46" t="s">
        <v>3698</v>
      </c>
      <c r="L46">
        <v>2</v>
      </c>
      <c r="M46">
        <v>4500</v>
      </c>
      <c r="N46" t="s">
        <v>3703</v>
      </c>
      <c r="O46" t="s">
        <v>3707</v>
      </c>
    </row>
    <row r="47" spans="1:15" x14ac:dyDescent="0.35">
      <c r="A47" t="s">
        <v>60</v>
      </c>
      <c r="B47" t="s">
        <v>1260</v>
      </c>
      <c r="C47" t="s">
        <v>1832</v>
      </c>
      <c r="D47" t="s">
        <v>2528</v>
      </c>
      <c r="E47" t="s">
        <v>3672</v>
      </c>
      <c r="F47">
        <v>31</v>
      </c>
      <c r="G47" t="s">
        <v>3677</v>
      </c>
      <c r="H47" t="s">
        <v>3680</v>
      </c>
      <c r="I47" t="s">
        <v>3690</v>
      </c>
      <c r="J47" t="s">
        <v>3693</v>
      </c>
      <c r="K47" t="s">
        <v>3700</v>
      </c>
      <c r="L47">
        <v>3</v>
      </c>
      <c r="M47">
        <v>72000</v>
      </c>
      <c r="N47" t="s">
        <v>3704</v>
      </c>
      <c r="O47" t="s">
        <v>3706</v>
      </c>
    </row>
    <row r="48" spans="1:15" x14ac:dyDescent="0.35">
      <c r="A48" t="s">
        <v>61</v>
      </c>
      <c r="B48" t="s">
        <v>1261</v>
      </c>
      <c r="C48" t="s">
        <v>1833</v>
      </c>
      <c r="D48" t="s">
        <v>2529</v>
      </c>
      <c r="E48" t="s">
        <v>3671</v>
      </c>
      <c r="F48">
        <v>58</v>
      </c>
      <c r="G48" t="s">
        <v>3677</v>
      </c>
      <c r="H48" t="s">
        <v>3680</v>
      </c>
      <c r="I48" t="s">
        <v>3691</v>
      </c>
      <c r="J48" t="s">
        <v>3693</v>
      </c>
      <c r="K48" t="s">
        <v>3696</v>
      </c>
      <c r="L48">
        <v>5</v>
      </c>
      <c r="M48">
        <v>58000</v>
      </c>
      <c r="N48" t="s">
        <v>3704</v>
      </c>
      <c r="O48" t="s">
        <v>3706</v>
      </c>
    </row>
    <row r="49" spans="1:15" x14ac:dyDescent="0.35">
      <c r="A49" t="s">
        <v>62</v>
      </c>
      <c r="B49" t="s">
        <v>1262</v>
      </c>
      <c r="C49" t="s">
        <v>1834</v>
      </c>
      <c r="D49" t="s">
        <v>2530</v>
      </c>
      <c r="E49" t="s">
        <v>3671</v>
      </c>
      <c r="F49">
        <v>49</v>
      </c>
      <c r="G49" t="s">
        <v>3674</v>
      </c>
      <c r="H49" t="s">
        <v>3680</v>
      </c>
      <c r="I49" t="s">
        <v>3690</v>
      </c>
      <c r="J49" t="s">
        <v>3693</v>
      </c>
      <c r="K49" t="s">
        <v>3700</v>
      </c>
      <c r="L49">
        <v>1</v>
      </c>
      <c r="M49">
        <v>72000</v>
      </c>
      <c r="N49" t="s">
        <v>3703</v>
      </c>
      <c r="O49" t="s">
        <v>3705</v>
      </c>
    </row>
    <row r="50" spans="1:15" x14ac:dyDescent="0.35">
      <c r="A50" t="s">
        <v>63</v>
      </c>
      <c r="B50" t="s">
        <v>1263</v>
      </c>
      <c r="C50" t="s">
        <v>1835</v>
      </c>
      <c r="D50" t="s">
        <v>2531</v>
      </c>
      <c r="E50" t="s">
        <v>3671</v>
      </c>
      <c r="F50">
        <v>58</v>
      </c>
      <c r="G50" t="s">
        <v>3676</v>
      </c>
      <c r="H50" t="s">
        <v>3682</v>
      </c>
      <c r="I50" t="s">
        <v>3685</v>
      </c>
      <c r="J50" t="s">
        <v>3692</v>
      </c>
      <c r="K50" t="s">
        <v>3695</v>
      </c>
      <c r="L50">
        <v>2</v>
      </c>
      <c r="M50">
        <v>12000</v>
      </c>
      <c r="N50" t="s">
        <v>3703</v>
      </c>
      <c r="O50" t="s">
        <v>3706</v>
      </c>
    </row>
    <row r="51" spans="1:15" x14ac:dyDescent="0.35">
      <c r="A51" t="s">
        <v>64</v>
      </c>
      <c r="B51" t="s">
        <v>1264</v>
      </c>
      <c r="C51" t="s">
        <v>1836</v>
      </c>
      <c r="D51" t="s">
        <v>2532</v>
      </c>
      <c r="E51" t="s">
        <v>3672</v>
      </c>
      <c r="F51">
        <v>51</v>
      </c>
      <c r="G51" t="s">
        <v>3676</v>
      </c>
      <c r="H51" t="s">
        <v>3682</v>
      </c>
      <c r="I51" t="s">
        <v>3691</v>
      </c>
      <c r="J51" t="s">
        <v>3693</v>
      </c>
      <c r="K51" t="s">
        <v>3696</v>
      </c>
      <c r="L51">
        <v>5</v>
      </c>
      <c r="M51">
        <v>58000</v>
      </c>
      <c r="N51" t="s">
        <v>3702</v>
      </c>
      <c r="O51" t="s">
        <v>3707</v>
      </c>
    </row>
    <row r="52" spans="1:15" x14ac:dyDescent="0.35">
      <c r="A52" t="s">
        <v>65</v>
      </c>
      <c r="B52" t="s">
        <v>1265</v>
      </c>
      <c r="C52" t="s">
        <v>1837</v>
      </c>
      <c r="D52" t="s">
        <v>2533</v>
      </c>
      <c r="E52" t="s">
        <v>3672</v>
      </c>
      <c r="F52">
        <v>37</v>
      </c>
      <c r="G52" t="s">
        <v>3679</v>
      </c>
      <c r="H52" t="s">
        <v>3684</v>
      </c>
      <c r="I52" t="s">
        <v>3688</v>
      </c>
      <c r="J52" t="s">
        <v>3694</v>
      </c>
      <c r="K52" t="s">
        <v>3698</v>
      </c>
      <c r="L52">
        <v>5</v>
      </c>
      <c r="M52">
        <v>4500</v>
      </c>
      <c r="N52" t="s">
        <v>3701</v>
      </c>
      <c r="O52" t="s">
        <v>3705</v>
      </c>
    </row>
    <row r="53" spans="1:15" x14ac:dyDescent="0.35">
      <c r="A53" t="s">
        <v>66</v>
      </c>
      <c r="B53" t="s">
        <v>1240</v>
      </c>
      <c r="C53" t="s">
        <v>1838</v>
      </c>
      <c r="D53" t="s">
        <v>2534</v>
      </c>
      <c r="E53" t="s">
        <v>3671</v>
      </c>
      <c r="F53">
        <v>44</v>
      </c>
      <c r="G53" t="s">
        <v>3678</v>
      </c>
      <c r="H53" t="s">
        <v>3683</v>
      </c>
      <c r="I53" t="s">
        <v>3686</v>
      </c>
      <c r="J53" t="s">
        <v>3693</v>
      </c>
      <c r="K53" t="s">
        <v>3696</v>
      </c>
      <c r="L53">
        <v>4</v>
      </c>
      <c r="M53">
        <v>65000</v>
      </c>
      <c r="N53" t="s">
        <v>3702</v>
      </c>
      <c r="O53" t="s">
        <v>3706</v>
      </c>
    </row>
    <row r="54" spans="1:15" x14ac:dyDescent="0.35">
      <c r="A54" t="s">
        <v>67</v>
      </c>
      <c r="B54" t="s">
        <v>1266</v>
      </c>
      <c r="C54" t="s">
        <v>1839</v>
      </c>
      <c r="D54" t="s">
        <v>2535</v>
      </c>
      <c r="E54" t="s">
        <v>3671</v>
      </c>
      <c r="F54">
        <v>34</v>
      </c>
      <c r="G54" t="s">
        <v>3676</v>
      </c>
      <c r="H54" t="s">
        <v>3682</v>
      </c>
      <c r="I54" t="s">
        <v>3688</v>
      </c>
      <c r="J54" t="s">
        <v>3694</v>
      </c>
      <c r="K54" t="s">
        <v>3698</v>
      </c>
      <c r="L54">
        <v>2</v>
      </c>
      <c r="M54">
        <v>4500</v>
      </c>
      <c r="N54" t="s">
        <v>3701</v>
      </c>
      <c r="O54" t="s">
        <v>3707</v>
      </c>
    </row>
    <row r="55" spans="1:15" x14ac:dyDescent="0.35">
      <c r="A55" t="s">
        <v>68</v>
      </c>
      <c r="B55" t="s">
        <v>1267</v>
      </c>
      <c r="C55" t="s">
        <v>1840</v>
      </c>
      <c r="D55" t="s">
        <v>2536</v>
      </c>
      <c r="E55" t="s">
        <v>3672</v>
      </c>
      <c r="F55">
        <v>34</v>
      </c>
      <c r="G55" t="s">
        <v>3675</v>
      </c>
      <c r="H55" t="s">
        <v>3681</v>
      </c>
      <c r="I55" t="s">
        <v>3688</v>
      </c>
      <c r="J55" t="s">
        <v>3694</v>
      </c>
      <c r="K55" t="s">
        <v>3698</v>
      </c>
      <c r="L55">
        <v>4</v>
      </c>
      <c r="M55">
        <v>4500</v>
      </c>
      <c r="N55" t="s">
        <v>3703</v>
      </c>
      <c r="O55" t="s">
        <v>3706</v>
      </c>
    </row>
    <row r="56" spans="1:15" x14ac:dyDescent="0.35">
      <c r="A56" t="s">
        <v>69</v>
      </c>
      <c r="B56" t="s">
        <v>1268</v>
      </c>
      <c r="C56" t="s">
        <v>1841</v>
      </c>
      <c r="D56" t="s">
        <v>2537</v>
      </c>
      <c r="E56" t="s">
        <v>3672</v>
      </c>
      <c r="F56">
        <v>31</v>
      </c>
      <c r="G56" t="s">
        <v>3679</v>
      </c>
      <c r="H56" t="s">
        <v>3684</v>
      </c>
      <c r="I56" t="s">
        <v>3691</v>
      </c>
      <c r="J56" t="s">
        <v>3693</v>
      </c>
      <c r="K56" t="s">
        <v>3696</v>
      </c>
      <c r="L56">
        <v>2</v>
      </c>
      <c r="M56">
        <v>58000</v>
      </c>
      <c r="N56" t="s">
        <v>3704</v>
      </c>
      <c r="O56" t="s">
        <v>3706</v>
      </c>
    </row>
    <row r="57" spans="1:15" x14ac:dyDescent="0.35">
      <c r="A57" t="s">
        <v>70</v>
      </c>
      <c r="B57" t="s">
        <v>1269</v>
      </c>
      <c r="C57" t="s">
        <v>1842</v>
      </c>
      <c r="D57" t="s">
        <v>2538</v>
      </c>
      <c r="E57" t="s">
        <v>3672</v>
      </c>
      <c r="F57">
        <v>51</v>
      </c>
      <c r="G57" t="s">
        <v>3678</v>
      </c>
      <c r="H57" t="s">
        <v>3683</v>
      </c>
      <c r="I57" t="s">
        <v>3687</v>
      </c>
      <c r="J57" t="s">
        <v>3693</v>
      </c>
      <c r="K57" t="s">
        <v>3697</v>
      </c>
      <c r="L57">
        <v>3</v>
      </c>
      <c r="M57">
        <v>5000</v>
      </c>
      <c r="N57" t="s">
        <v>3702</v>
      </c>
      <c r="O57" t="s">
        <v>3705</v>
      </c>
    </row>
    <row r="58" spans="1:15" x14ac:dyDescent="0.35">
      <c r="A58" t="s">
        <v>71</v>
      </c>
      <c r="B58" t="s">
        <v>1270</v>
      </c>
      <c r="C58" t="s">
        <v>1801</v>
      </c>
      <c r="D58" t="s">
        <v>2539</v>
      </c>
      <c r="E58" t="s">
        <v>3672</v>
      </c>
      <c r="F58">
        <v>53</v>
      </c>
      <c r="G58" t="s">
        <v>3679</v>
      </c>
      <c r="H58" t="s">
        <v>3684</v>
      </c>
      <c r="I58" t="s">
        <v>3688</v>
      </c>
      <c r="J58" t="s">
        <v>3694</v>
      </c>
      <c r="K58" t="s">
        <v>3698</v>
      </c>
      <c r="L58">
        <v>5</v>
      </c>
      <c r="M58">
        <v>4500</v>
      </c>
      <c r="N58" t="s">
        <v>3702</v>
      </c>
      <c r="O58" t="s">
        <v>3707</v>
      </c>
    </row>
    <row r="59" spans="1:15" x14ac:dyDescent="0.35">
      <c r="A59" t="s">
        <v>72</v>
      </c>
      <c r="B59" t="s">
        <v>1271</v>
      </c>
      <c r="C59" t="s">
        <v>1843</v>
      </c>
      <c r="D59" t="s">
        <v>2540</v>
      </c>
      <c r="E59" t="s">
        <v>3672</v>
      </c>
      <c r="F59">
        <v>57</v>
      </c>
      <c r="G59" t="s">
        <v>3674</v>
      </c>
      <c r="H59" t="s">
        <v>3680</v>
      </c>
      <c r="I59" t="s">
        <v>3686</v>
      </c>
      <c r="J59" t="s">
        <v>3693</v>
      </c>
      <c r="K59" t="s">
        <v>3696</v>
      </c>
      <c r="L59">
        <v>5</v>
      </c>
      <c r="M59">
        <v>65000</v>
      </c>
      <c r="N59" t="s">
        <v>3702</v>
      </c>
      <c r="O59" t="s">
        <v>3707</v>
      </c>
    </row>
    <row r="60" spans="1:15" x14ac:dyDescent="0.35">
      <c r="A60" t="s">
        <v>73</v>
      </c>
      <c r="B60" t="s">
        <v>1272</v>
      </c>
      <c r="C60" t="s">
        <v>1841</v>
      </c>
      <c r="D60" t="s">
        <v>2541</v>
      </c>
      <c r="E60" t="s">
        <v>3671</v>
      </c>
      <c r="F60">
        <v>20</v>
      </c>
      <c r="G60" t="s">
        <v>3675</v>
      </c>
      <c r="H60" t="s">
        <v>3681</v>
      </c>
      <c r="I60" t="s">
        <v>3689</v>
      </c>
      <c r="J60" t="s">
        <v>3694</v>
      </c>
      <c r="K60" t="s">
        <v>3699</v>
      </c>
      <c r="L60">
        <v>5</v>
      </c>
      <c r="M60">
        <v>1800</v>
      </c>
      <c r="N60" t="s">
        <v>3702</v>
      </c>
      <c r="O60" t="s">
        <v>3705</v>
      </c>
    </row>
    <row r="61" spans="1:15" x14ac:dyDescent="0.35">
      <c r="A61" t="s">
        <v>74</v>
      </c>
      <c r="B61" t="s">
        <v>1273</v>
      </c>
      <c r="C61" t="s">
        <v>1844</v>
      </c>
      <c r="D61" t="s">
        <v>2542</v>
      </c>
      <c r="E61" t="s">
        <v>3671</v>
      </c>
      <c r="F61">
        <v>55</v>
      </c>
      <c r="G61" t="s">
        <v>3677</v>
      </c>
      <c r="H61" t="s">
        <v>3680</v>
      </c>
      <c r="I61" t="s">
        <v>3685</v>
      </c>
      <c r="J61" t="s">
        <v>3692</v>
      </c>
      <c r="K61" t="s">
        <v>3695</v>
      </c>
      <c r="L61">
        <v>3</v>
      </c>
      <c r="M61">
        <v>12000</v>
      </c>
      <c r="N61" t="s">
        <v>3703</v>
      </c>
      <c r="O61" t="s">
        <v>3705</v>
      </c>
    </row>
    <row r="62" spans="1:15" x14ac:dyDescent="0.35">
      <c r="A62" t="s">
        <v>75</v>
      </c>
      <c r="B62" t="s">
        <v>1274</v>
      </c>
      <c r="C62" t="s">
        <v>1845</v>
      </c>
      <c r="D62" t="s">
        <v>2543</v>
      </c>
      <c r="E62" t="s">
        <v>3672</v>
      </c>
      <c r="F62">
        <v>54</v>
      </c>
      <c r="G62" t="s">
        <v>3678</v>
      </c>
      <c r="H62" t="s">
        <v>3683</v>
      </c>
      <c r="I62" t="s">
        <v>3685</v>
      </c>
      <c r="J62" t="s">
        <v>3692</v>
      </c>
      <c r="K62" t="s">
        <v>3695</v>
      </c>
      <c r="L62">
        <v>1</v>
      </c>
      <c r="M62">
        <v>12000</v>
      </c>
      <c r="N62" t="s">
        <v>3702</v>
      </c>
      <c r="O62" t="s">
        <v>3706</v>
      </c>
    </row>
    <row r="63" spans="1:15" x14ac:dyDescent="0.35">
      <c r="A63" t="s">
        <v>76</v>
      </c>
      <c r="B63" t="s">
        <v>1275</v>
      </c>
      <c r="C63" t="s">
        <v>1846</v>
      </c>
      <c r="D63" t="s">
        <v>2544</v>
      </c>
      <c r="E63" t="s">
        <v>3672</v>
      </c>
      <c r="F63">
        <v>50</v>
      </c>
      <c r="G63" t="s">
        <v>3679</v>
      </c>
      <c r="H63" t="s">
        <v>3684</v>
      </c>
      <c r="I63" t="s">
        <v>3689</v>
      </c>
      <c r="J63" t="s">
        <v>3694</v>
      </c>
      <c r="K63" t="s">
        <v>3699</v>
      </c>
      <c r="L63">
        <v>3</v>
      </c>
      <c r="M63">
        <v>1800</v>
      </c>
      <c r="N63" t="s">
        <v>3702</v>
      </c>
      <c r="O63" t="s">
        <v>3705</v>
      </c>
    </row>
    <row r="64" spans="1:15" x14ac:dyDescent="0.35">
      <c r="A64" t="s">
        <v>77</v>
      </c>
      <c r="B64" t="s">
        <v>1276</v>
      </c>
      <c r="C64" t="s">
        <v>1847</v>
      </c>
      <c r="D64" t="s">
        <v>2545</v>
      </c>
      <c r="E64" t="s">
        <v>3671</v>
      </c>
      <c r="F64">
        <v>53</v>
      </c>
      <c r="G64" t="s">
        <v>3679</v>
      </c>
      <c r="H64" t="s">
        <v>3684</v>
      </c>
      <c r="I64" t="s">
        <v>3686</v>
      </c>
      <c r="J64" t="s">
        <v>3693</v>
      </c>
      <c r="K64" t="s">
        <v>3696</v>
      </c>
      <c r="L64">
        <v>5</v>
      </c>
      <c r="M64">
        <v>65000</v>
      </c>
      <c r="N64" t="s">
        <v>3702</v>
      </c>
      <c r="O64" t="s">
        <v>3706</v>
      </c>
    </row>
    <row r="65" spans="1:15" x14ac:dyDescent="0.35">
      <c r="A65" t="s">
        <v>78</v>
      </c>
      <c r="B65" t="s">
        <v>1277</v>
      </c>
      <c r="C65" t="s">
        <v>1832</v>
      </c>
      <c r="D65" t="s">
        <v>2546</v>
      </c>
      <c r="E65" t="s">
        <v>3672</v>
      </c>
      <c r="F65">
        <v>40</v>
      </c>
      <c r="G65" t="s">
        <v>3678</v>
      </c>
      <c r="H65" t="s">
        <v>3683</v>
      </c>
      <c r="I65" t="s">
        <v>3691</v>
      </c>
      <c r="J65" t="s">
        <v>3693</v>
      </c>
      <c r="K65" t="s">
        <v>3696</v>
      </c>
      <c r="L65">
        <v>5</v>
      </c>
      <c r="M65">
        <v>58000</v>
      </c>
      <c r="N65" t="s">
        <v>3704</v>
      </c>
      <c r="O65" t="s">
        <v>3706</v>
      </c>
    </row>
    <row r="66" spans="1:15" x14ac:dyDescent="0.35">
      <c r="A66" t="s">
        <v>79</v>
      </c>
      <c r="B66" t="s">
        <v>1278</v>
      </c>
      <c r="C66" t="s">
        <v>1848</v>
      </c>
      <c r="D66" t="s">
        <v>2547</v>
      </c>
      <c r="E66" t="s">
        <v>3671</v>
      </c>
      <c r="F66">
        <v>29</v>
      </c>
      <c r="G66" t="s">
        <v>3674</v>
      </c>
      <c r="H66" t="s">
        <v>3680</v>
      </c>
      <c r="I66" t="s">
        <v>3685</v>
      </c>
      <c r="J66" t="s">
        <v>3692</v>
      </c>
      <c r="K66" t="s">
        <v>3695</v>
      </c>
      <c r="L66">
        <v>4</v>
      </c>
      <c r="M66">
        <v>12000</v>
      </c>
      <c r="N66" t="s">
        <v>3701</v>
      </c>
      <c r="O66" t="s">
        <v>3706</v>
      </c>
    </row>
    <row r="67" spans="1:15" x14ac:dyDescent="0.35">
      <c r="A67" t="s">
        <v>80</v>
      </c>
      <c r="B67" t="s">
        <v>1279</v>
      </c>
      <c r="C67" t="s">
        <v>1849</v>
      </c>
      <c r="D67" t="s">
        <v>2548</v>
      </c>
      <c r="E67" t="s">
        <v>3672</v>
      </c>
      <c r="F67">
        <v>28</v>
      </c>
      <c r="G67" t="s">
        <v>3674</v>
      </c>
      <c r="H67" t="s">
        <v>3680</v>
      </c>
      <c r="I67" t="s">
        <v>3690</v>
      </c>
      <c r="J67" t="s">
        <v>3693</v>
      </c>
      <c r="K67" t="s">
        <v>3700</v>
      </c>
      <c r="L67">
        <v>3</v>
      </c>
      <c r="M67">
        <v>72000</v>
      </c>
      <c r="N67" t="s">
        <v>3702</v>
      </c>
      <c r="O67" t="s">
        <v>3707</v>
      </c>
    </row>
    <row r="68" spans="1:15" x14ac:dyDescent="0.35">
      <c r="A68" t="s">
        <v>81</v>
      </c>
      <c r="B68" t="s">
        <v>1280</v>
      </c>
      <c r="C68" t="s">
        <v>1850</v>
      </c>
      <c r="D68" t="s">
        <v>2549</v>
      </c>
      <c r="E68" t="s">
        <v>3672</v>
      </c>
      <c r="F68">
        <v>60</v>
      </c>
      <c r="G68" t="s">
        <v>3678</v>
      </c>
      <c r="H68" t="s">
        <v>3683</v>
      </c>
      <c r="I68" t="s">
        <v>3688</v>
      </c>
      <c r="J68" t="s">
        <v>3694</v>
      </c>
      <c r="K68" t="s">
        <v>3698</v>
      </c>
      <c r="L68">
        <v>4</v>
      </c>
      <c r="M68">
        <v>4500</v>
      </c>
      <c r="N68" t="s">
        <v>3704</v>
      </c>
      <c r="O68" t="s">
        <v>3705</v>
      </c>
    </row>
    <row r="69" spans="1:15" x14ac:dyDescent="0.35">
      <c r="A69" t="s">
        <v>82</v>
      </c>
      <c r="B69" t="s">
        <v>1281</v>
      </c>
      <c r="C69" t="s">
        <v>1851</v>
      </c>
      <c r="D69" t="s">
        <v>2550</v>
      </c>
      <c r="E69" t="s">
        <v>3671</v>
      </c>
      <c r="F69">
        <v>51</v>
      </c>
      <c r="G69" t="s">
        <v>3679</v>
      </c>
      <c r="H69" t="s">
        <v>3684</v>
      </c>
      <c r="I69" t="s">
        <v>3688</v>
      </c>
      <c r="J69" t="s">
        <v>3694</v>
      </c>
      <c r="K69" t="s">
        <v>3698</v>
      </c>
      <c r="L69">
        <v>1</v>
      </c>
      <c r="M69">
        <v>4500</v>
      </c>
      <c r="N69" t="s">
        <v>3701</v>
      </c>
      <c r="O69" t="s">
        <v>3705</v>
      </c>
    </row>
    <row r="70" spans="1:15" x14ac:dyDescent="0.35">
      <c r="A70" t="s">
        <v>83</v>
      </c>
      <c r="B70" t="s">
        <v>1282</v>
      </c>
      <c r="C70" t="s">
        <v>1831</v>
      </c>
      <c r="D70" t="s">
        <v>2551</v>
      </c>
      <c r="E70" t="s">
        <v>3672</v>
      </c>
      <c r="F70">
        <v>26</v>
      </c>
      <c r="G70" t="s">
        <v>3673</v>
      </c>
      <c r="H70" t="s">
        <v>3673</v>
      </c>
      <c r="I70" t="s">
        <v>3689</v>
      </c>
      <c r="J70" t="s">
        <v>3694</v>
      </c>
      <c r="K70" t="s">
        <v>3699</v>
      </c>
      <c r="L70">
        <v>3</v>
      </c>
      <c r="M70">
        <v>1800</v>
      </c>
      <c r="N70" t="s">
        <v>3702</v>
      </c>
      <c r="O70" t="s">
        <v>3705</v>
      </c>
    </row>
    <row r="71" spans="1:15" x14ac:dyDescent="0.35">
      <c r="A71" t="s">
        <v>84</v>
      </c>
      <c r="B71" t="s">
        <v>1283</v>
      </c>
      <c r="C71" t="s">
        <v>1834</v>
      </c>
      <c r="D71" t="s">
        <v>2552</v>
      </c>
      <c r="E71" t="s">
        <v>3672</v>
      </c>
      <c r="F71">
        <v>24</v>
      </c>
      <c r="G71" t="s">
        <v>3678</v>
      </c>
      <c r="H71" t="s">
        <v>3683</v>
      </c>
      <c r="I71" t="s">
        <v>3685</v>
      </c>
      <c r="J71" t="s">
        <v>3692</v>
      </c>
      <c r="K71" t="s">
        <v>3695</v>
      </c>
      <c r="L71">
        <v>3</v>
      </c>
      <c r="M71">
        <v>12000</v>
      </c>
      <c r="N71" t="s">
        <v>3701</v>
      </c>
      <c r="O71" t="s">
        <v>3706</v>
      </c>
    </row>
    <row r="72" spans="1:15" x14ac:dyDescent="0.35">
      <c r="A72" t="s">
        <v>85</v>
      </c>
      <c r="B72" t="s">
        <v>1284</v>
      </c>
      <c r="C72" t="s">
        <v>1852</v>
      </c>
      <c r="D72" t="s">
        <v>2553</v>
      </c>
      <c r="E72" t="s">
        <v>3671</v>
      </c>
      <c r="F72">
        <v>20</v>
      </c>
      <c r="G72" t="s">
        <v>3679</v>
      </c>
      <c r="H72" t="s">
        <v>3684</v>
      </c>
      <c r="I72" t="s">
        <v>3688</v>
      </c>
      <c r="J72" t="s">
        <v>3694</v>
      </c>
      <c r="K72" t="s">
        <v>3698</v>
      </c>
      <c r="L72">
        <v>4</v>
      </c>
      <c r="M72">
        <v>4500</v>
      </c>
      <c r="N72" t="s">
        <v>3703</v>
      </c>
      <c r="O72" t="s">
        <v>3707</v>
      </c>
    </row>
    <row r="73" spans="1:15" x14ac:dyDescent="0.35">
      <c r="A73" t="s">
        <v>86</v>
      </c>
      <c r="B73" t="s">
        <v>1255</v>
      </c>
      <c r="C73" t="s">
        <v>1853</v>
      </c>
      <c r="D73" t="s">
        <v>2554</v>
      </c>
      <c r="E73" t="s">
        <v>3671</v>
      </c>
      <c r="F73">
        <v>27</v>
      </c>
      <c r="G73" t="s">
        <v>3673</v>
      </c>
      <c r="H73" t="s">
        <v>3673</v>
      </c>
      <c r="I73" t="s">
        <v>3685</v>
      </c>
      <c r="J73" t="s">
        <v>3692</v>
      </c>
      <c r="K73" t="s">
        <v>3695</v>
      </c>
      <c r="L73">
        <v>2</v>
      </c>
      <c r="M73">
        <v>12000</v>
      </c>
      <c r="N73" t="s">
        <v>3704</v>
      </c>
      <c r="O73" t="s">
        <v>3705</v>
      </c>
    </row>
    <row r="74" spans="1:15" x14ac:dyDescent="0.35">
      <c r="A74" t="s">
        <v>87</v>
      </c>
      <c r="B74" t="s">
        <v>1285</v>
      </c>
      <c r="C74" t="s">
        <v>1854</v>
      </c>
      <c r="D74" t="s">
        <v>2555</v>
      </c>
      <c r="E74" t="s">
        <v>3672</v>
      </c>
      <c r="F74">
        <v>23</v>
      </c>
      <c r="G74" t="s">
        <v>3675</v>
      </c>
      <c r="H74" t="s">
        <v>3681</v>
      </c>
      <c r="I74" t="s">
        <v>3686</v>
      </c>
      <c r="J74" t="s">
        <v>3693</v>
      </c>
      <c r="K74" t="s">
        <v>3696</v>
      </c>
      <c r="L74">
        <v>5</v>
      </c>
      <c r="M74">
        <v>65000</v>
      </c>
      <c r="N74" t="s">
        <v>3704</v>
      </c>
      <c r="O74" t="s">
        <v>3705</v>
      </c>
    </row>
    <row r="75" spans="1:15" x14ac:dyDescent="0.35">
      <c r="A75" t="s">
        <v>88</v>
      </c>
      <c r="B75" t="s">
        <v>1286</v>
      </c>
      <c r="C75" t="s">
        <v>1855</v>
      </c>
      <c r="D75" t="s">
        <v>2556</v>
      </c>
      <c r="E75" t="s">
        <v>3672</v>
      </c>
      <c r="F75">
        <v>51</v>
      </c>
      <c r="G75" t="s">
        <v>3675</v>
      </c>
      <c r="H75" t="s">
        <v>3681</v>
      </c>
      <c r="I75" t="s">
        <v>3685</v>
      </c>
      <c r="J75" t="s">
        <v>3692</v>
      </c>
      <c r="K75" t="s">
        <v>3695</v>
      </c>
      <c r="L75">
        <v>1</v>
      </c>
      <c r="M75">
        <v>12000</v>
      </c>
      <c r="N75" t="s">
        <v>3701</v>
      </c>
      <c r="O75" t="s">
        <v>3705</v>
      </c>
    </row>
    <row r="76" spans="1:15" x14ac:dyDescent="0.35">
      <c r="A76" t="s">
        <v>89</v>
      </c>
      <c r="B76" t="s">
        <v>1287</v>
      </c>
      <c r="C76" t="s">
        <v>1856</v>
      </c>
      <c r="D76" t="s">
        <v>2557</v>
      </c>
      <c r="E76" t="s">
        <v>3672</v>
      </c>
      <c r="F76">
        <v>34</v>
      </c>
      <c r="G76" t="s">
        <v>3676</v>
      </c>
      <c r="H76" t="s">
        <v>3682</v>
      </c>
      <c r="I76" t="s">
        <v>3691</v>
      </c>
      <c r="J76" t="s">
        <v>3693</v>
      </c>
      <c r="K76" t="s">
        <v>3696</v>
      </c>
      <c r="L76">
        <v>2</v>
      </c>
      <c r="M76">
        <v>58000</v>
      </c>
      <c r="N76" t="s">
        <v>3702</v>
      </c>
      <c r="O76" t="s">
        <v>3706</v>
      </c>
    </row>
    <row r="77" spans="1:15" x14ac:dyDescent="0.35">
      <c r="A77" t="s">
        <v>90</v>
      </c>
      <c r="B77" t="s">
        <v>1288</v>
      </c>
      <c r="C77" t="s">
        <v>1857</v>
      </c>
      <c r="D77" t="s">
        <v>2558</v>
      </c>
      <c r="E77" t="s">
        <v>3671</v>
      </c>
      <c r="F77">
        <v>29</v>
      </c>
      <c r="G77" t="s">
        <v>3674</v>
      </c>
      <c r="H77" t="s">
        <v>3680</v>
      </c>
      <c r="I77" t="s">
        <v>3691</v>
      </c>
      <c r="J77" t="s">
        <v>3693</v>
      </c>
      <c r="K77" t="s">
        <v>3696</v>
      </c>
      <c r="L77">
        <v>4</v>
      </c>
      <c r="M77">
        <v>58000</v>
      </c>
      <c r="N77" t="s">
        <v>3703</v>
      </c>
      <c r="O77" t="s">
        <v>3706</v>
      </c>
    </row>
    <row r="78" spans="1:15" x14ac:dyDescent="0.35">
      <c r="A78" t="s">
        <v>91</v>
      </c>
      <c r="B78" t="s">
        <v>1289</v>
      </c>
      <c r="C78" t="s">
        <v>1858</v>
      </c>
      <c r="D78" t="s">
        <v>2559</v>
      </c>
      <c r="E78" t="s">
        <v>3671</v>
      </c>
      <c r="F78">
        <v>55</v>
      </c>
      <c r="G78" t="s">
        <v>3677</v>
      </c>
      <c r="H78" t="s">
        <v>3680</v>
      </c>
      <c r="I78" t="s">
        <v>3690</v>
      </c>
      <c r="J78" t="s">
        <v>3693</v>
      </c>
      <c r="K78" t="s">
        <v>3700</v>
      </c>
      <c r="L78">
        <v>3</v>
      </c>
      <c r="M78">
        <v>72000</v>
      </c>
      <c r="N78" t="s">
        <v>3702</v>
      </c>
      <c r="O78" t="s">
        <v>3705</v>
      </c>
    </row>
    <row r="79" spans="1:15" x14ac:dyDescent="0.35">
      <c r="A79" t="s">
        <v>92</v>
      </c>
      <c r="B79" t="s">
        <v>1290</v>
      </c>
      <c r="C79" t="s">
        <v>1859</v>
      </c>
      <c r="D79" t="s">
        <v>2560</v>
      </c>
      <c r="E79" t="s">
        <v>3672</v>
      </c>
      <c r="F79">
        <v>49</v>
      </c>
      <c r="G79" t="s">
        <v>3677</v>
      </c>
      <c r="H79" t="s">
        <v>3680</v>
      </c>
      <c r="I79" t="s">
        <v>3685</v>
      </c>
      <c r="J79" t="s">
        <v>3692</v>
      </c>
      <c r="K79" t="s">
        <v>3695</v>
      </c>
      <c r="L79">
        <v>3</v>
      </c>
      <c r="M79">
        <v>12000</v>
      </c>
      <c r="N79" t="s">
        <v>3701</v>
      </c>
      <c r="O79" t="s">
        <v>3705</v>
      </c>
    </row>
    <row r="80" spans="1:15" x14ac:dyDescent="0.35">
      <c r="A80" t="s">
        <v>93</v>
      </c>
      <c r="B80" t="s">
        <v>1291</v>
      </c>
      <c r="C80" t="s">
        <v>1860</v>
      </c>
      <c r="D80" t="s">
        <v>2561</v>
      </c>
      <c r="E80" t="s">
        <v>3672</v>
      </c>
      <c r="F80">
        <v>29</v>
      </c>
      <c r="G80" t="s">
        <v>3679</v>
      </c>
      <c r="H80" t="s">
        <v>3684</v>
      </c>
      <c r="I80" t="s">
        <v>3685</v>
      </c>
      <c r="J80" t="s">
        <v>3692</v>
      </c>
      <c r="K80" t="s">
        <v>3695</v>
      </c>
      <c r="L80">
        <v>2</v>
      </c>
      <c r="M80">
        <v>12000</v>
      </c>
      <c r="N80" t="s">
        <v>3702</v>
      </c>
      <c r="O80" t="s">
        <v>3707</v>
      </c>
    </row>
    <row r="81" spans="1:15" x14ac:dyDescent="0.35">
      <c r="A81" t="s">
        <v>94</v>
      </c>
      <c r="B81" t="s">
        <v>1292</v>
      </c>
      <c r="C81" t="s">
        <v>1861</v>
      </c>
      <c r="D81" t="s">
        <v>2562</v>
      </c>
      <c r="E81" t="s">
        <v>3672</v>
      </c>
      <c r="F81">
        <v>24</v>
      </c>
      <c r="G81" t="s">
        <v>3673</v>
      </c>
      <c r="H81" t="s">
        <v>3673</v>
      </c>
      <c r="I81" t="s">
        <v>3685</v>
      </c>
      <c r="J81" t="s">
        <v>3692</v>
      </c>
      <c r="K81" t="s">
        <v>3695</v>
      </c>
      <c r="L81">
        <v>5</v>
      </c>
      <c r="M81">
        <v>12000</v>
      </c>
      <c r="N81" t="s">
        <v>3704</v>
      </c>
      <c r="O81" t="s">
        <v>3707</v>
      </c>
    </row>
    <row r="82" spans="1:15" x14ac:dyDescent="0.35">
      <c r="A82" t="s">
        <v>95</v>
      </c>
      <c r="B82" t="s">
        <v>1293</v>
      </c>
      <c r="C82" t="s">
        <v>1862</v>
      </c>
      <c r="D82" t="s">
        <v>2563</v>
      </c>
      <c r="E82" t="s">
        <v>3672</v>
      </c>
      <c r="F82">
        <v>31</v>
      </c>
      <c r="G82" t="s">
        <v>3674</v>
      </c>
      <c r="H82" t="s">
        <v>3680</v>
      </c>
      <c r="I82" t="s">
        <v>3686</v>
      </c>
      <c r="J82" t="s">
        <v>3693</v>
      </c>
      <c r="K82" t="s">
        <v>3696</v>
      </c>
      <c r="L82">
        <v>5</v>
      </c>
      <c r="M82">
        <v>65000</v>
      </c>
      <c r="N82" t="s">
        <v>3702</v>
      </c>
      <c r="O82" t="s">
        <v>3705</v>
      </c>
    </row>
    <row r="83" spans="1:15" x14ac:dyDescent="0.35">
      <c r="A83" t="s">
        <v>96</v>
      </c>
      <c r="B83" t="s">
        <v>1294</v>
      </c>
      <c r="C83" t="s">
        <v>1863</v>
      </c>
      <c r="D83" t="s">
        <v>2564</v>
      </c>
      <c r="E83" t="s">
        <v>3671</v>
      </c>
      <c r="F83">
        <v>22</v>
      </c>
      <c r="G83" t="s">
        <v>3679</v>
      </c>
      <c r="H83" t="s">
        <v>3684</v>
      </c>
      <c r="I83" t="s">
        <v>3688</v>
      </c>
      <c r="J83" t="s">
        <v>3694</v>
      </c>
      <c r="K83" t="s">
        <v>3698</v>
      </c>
      <c r="L83">
        <v>5</v>
      </c>
      <c r="M83">
        <v>4500</v>
      </c>
      <c r="N83" t="s">
        <v>3701</v>
      </c>
      <c r="O83" t="s">
        <v>3707</v>
      </c>
    </row>
    <row r="84" spans="1:15" x14ac:dyDescent="0.35">
      <c r="A84" t="s">
        <v>97</v>
      </c>
      <c r="B84" t="s">
        <v>1295</v>
      </c>
      <c r="C84" t="s">
        <v>1864</v>
      </c>
      <c r="D84" t="s">
        <v>2565</v>
      </c>
      <c r="E84" t="s">
        <v>3671</v>
      </c>
      <c r="F84">
        <v>52</v>
      </c>
      <c r="G84" t="s">
        <v>3673</v>
      </c>
      <c r="H84" t="s">
        <v>3673</v>
      </c>
      <c r="I84" t="s">
        <v>3690</v>
      </c>
      <c r="J84" t="s">
        <v>3693</v>
      </c>
      <c r="K84" t="s">
        <v>3700</v>
      </c>
      <c r="L84">
        <v>3</v>
      </c>
      <c r="M84">
        <v>72000</v>
      </c>
      <c r="N84" t="s">
        <v>3702</v>
      </c>
      <c r="O84" t="s">
        <v>3705</v>
      </c>
    </row>
    <row r="85" spans="1:15" x14ac:dyDescent="0.35">
      <c r="A85" t="s">
        <v>98</v>
      </c>
      <c r="B85" t="s">
        <v>1296</v>
      </c>
      <c r="C85" t="s">
        <v>1865</v>
      </c>
      <c r="D85" t="s">
        <v>2566</v>
      </c>
      <c r="E85" t="s">
        <v>3672</v>
      </c>
      <c r="F85">
        <v>18</v>
      </c>
      <c r="G85" t="s">
        <v>3678</v>
      </c>
      <c r="H85" t="s">
        <v>3683</v>
      </c>
      <c r="I85" t="s">
        <v>3685</v>
      </c>
      <c r="J85" t="s">
        <v>3692</v>
      </c>
      <c r="K85" t="s">
        <v>3695</v>
      </c>
      <c r="L85">
        <v>2</v>
      </c>
      <c r="M85">
        <v>12000</v>
      </c>
      <c r="N85" t="s">
        <v>3702</v>
      </c>
      <c r="O85" t="s">
        <v>3707</v>
      </c>
    </row>
    <row r="86" spans="1:15" x14ac:dyDescent="0.35">
      <c r="A86" t="s">
        <v>99</v>
      </c>
      <c r="B86" t="s">
        <v>1297</v>
      </c>
      <c r="C86" t="s">
        <v>1866</v>
      </c>
      <c r="D86" t="s">
        <v>2567</v>
      </c>
      <c r="E86" t="s">
        <v>3672</v>
      </c>
      <c r="F86">
        <v>59</v>
      </c>
      <c r="G86" t="s">
        <v>3679</v>
      </c>
      <c r="H86" t="s">
        <v>3684</v>
      </c>
      <c r="I86" t="s">
        <v>3690</v>
      </c>
      <c r="J86" t="s">
        <v>3693</v>
      </c>
      <c r="K86" t="s">
        <v>3700</v>
      </c>
      <c r="L86">
        <v>2</v>
      </c>
      <c r="M86">
        <v>72000</v>
      </c>
      <c r="N86" t="s">
        <v>3704</v>
      </c>
      <c r="O86" t="s">
        <v>3706</v>
      </c>
    </row>
    <row r="87" spans="1:15" x14ac:dyDescent="0.35">
      <c r="A87" t="s">
        <v>100</v>
      </c>
      <c r="B87" t="s">
        <v>1298</v>
      </c>
      <c r="C87" t="s">
        <v>1867</v>
      </c>
      <c r="D87" t="s">
        <v>2568</v>
      </c>
      <c r="E87" t="s">
        <v>3671</v>
      </c>
      <c r="F87">
        <v>30</v>
      </c>
      <c r="G87" t="s">
        <v>3678</v>
      </c>
      <c r="H87" t="s">
        <v>3683</v>
      </c>
      <c r="I87" t="s">
        <v>3691</v>
      </c>
      <c r="J87" t="s">
        <v>3693</v>
      </c>
      <c r="K87" t="s">
        <v>3696</v>
      </c>
      <c r="L87">
        <v>1</v>
      </c>
      <c r="M87">
        <v>58000</v>
      </c>
      <c r="N87" t="s">
        <v>3701</v>
      </c>
      <c r="O87" t="s">
        <v>3706</v>
      </c>
    </row>
    <row r="88" spans="1:15" x14ac:dyDescent="0.35">
      <c r="A88" t="s">
        <v>101</v>
      </c>
      <c r="B88" t="s">
        <v>1263</v>
      </c>
      <c r="C88" t="s">
        <v>1868</v>
      </c>
      <c r="D88" t="s">
        <v>2569</v>
      </c>
      <c r="E88" t="s">
        <v>3672</v>
      </c>
      <c r="F88">
        <v>42</v>
      </c>
      <c r="G88" t="s">
        <v>3673</v>
      </c>
      <c r="H88" t="s">
        <v>3673</v>
      </c>
      <c r="I88" t="s">
        <v>3688</v>
      </c>
      <c r="J88" t="s">
        <v>3694</v>
      </c>
      <c r="K88" t="s">
        <v>3698</v>
      </c>
      <c r="L88">
        <v>2</v>
      </c>
      <c r="M88">
        <v>4500</v>
      </c>
      <c r="N88" t="s">
        <v>3703</v>
      </c>
      <c r="O88" t="s">
        <v>3706</v>
      </c>
    </row>
    <row r="89" spans="1:15" x14ac:dyDescent="0.35">
      <c r="A89" t="s">
        <v>102</v>
      </c>
      <c r="B89" t="s">
        <v>1299</v>
      </c>
      <c r="C89" t="s">
        <v>1869</v>
      </c>
      <c r="D89" t="s">
        <v>2570</v>
      </c>
      <c r="E89" t="s">
        <v>3671</v>
      </c>
      <c r="F89">
        <v>52</v>
      </c>
      <c r="G89" t="s">
        <v>3677</v>
      </c>
      <c r="H89" t="s">
        <v>3680</v>
      </c>
      <c r="I89" t="s">
        <v>3689</v>
      </c>
      <c r="J89" t="s">
        <v>3694</v>
      </c>
      <c r="K89" t="s">
        <v>3699</v>
      </c>
      <c r="L89">
        <v>5</v>
      </c>
      <c r="M89">
        <v>1800</v>
      </c>
      <c r="N89" t="s">
        <v>3701</v>
      </c>
      <c r="O89" t="s">
        <v>3707</v>
      </c>
    </row>
    <row r="90" spans="1:15" x14ac:dyDescent="0.35">
      <c r="A90" t="s">
        <v>103</v>
      </c>
      <c r="B90" t="s">
        <v>1300</v>
      </c>
      <c r="C90" t="s">
        <v>1870</v>
      </c>
      <c r="D90" t="s">
        <v>2571</v>
      </c>
      <c r="E90" t="s">
        <v>3671</v>
      </c>
      <c r="F90">
        <v>46</v>
      </c>
      <c r="G90" t="s">
        <v>3677</v>
      </c>
      <c r="H90" t="s">
        <v>3680</v>
      </c>
      <c r="I90" t="s">
        <v>3686</v>
      </c>
      <c r="J90" t="s">
        <v>3693</v>
      </c>
      <c r="K90" t="s">
        <v>3696</v>
      </c>
      <c r="L90">
        <v>4</v>
      </c>
      <c r="M90">
        <v>65000</v>
      </c>
      <c r="N90" t="s">
        <v>3703</v>
      </c>
      <c r="O90" t="s">
        <v>3705</v>
      </c>
    </row>
    <row r="91" spans="1:15" x14ac:dyDescent="0.35">
      <c r="A91" t="s">
        <v>104</v>
      </c>
      <c r="B91" t="s">
        <v>1301</v>
      </c>
      <c r="C91" t="s">
        <v>1871</v>
      </c>
      <c r="D91" t="s">
        <v>2572</v>
      </c>
      <c r="E91" t="s">
        <v>3671</v>
      </c>
      <c r="F91">
        <v>27</v>
      </c>
      <c r="G91" t="s">
        <v>3673</v>
      </c>
      <c r="H91" t="s">
        <v>3673</v>
      </c>
      <c r="I91" t="s">
        <v>3690</v>
      </c>
      <c r="J91" t="s">
        <v>3693</v>
      </c>
      <c r="K91" t="s">
        <v>3700</v>
      </c>
      <c r="L91">
        <v>4</v>
      </c>
      <c r="M91">
        <v>72000</v>
      </c>
      <c r="N91" t="s">
        <v>3701</v>
      </c>
      <c r="O91" t="s">
        <v>3705</v>
      </c>
    </row>
    <row r="92" spans="1:15" x14ac:dyDescent="0.35">
      <c r="A92" t="s">
        <v>105</v>
      </c>
      <c r="B92" t="s">
        <v>1302</v>
      </c>
      <c r="C92" t="s">
        <v>1872</v>
      </c>
      <c r="D92" t="s">
        <v>2573</v>
      </c>
      <c r="E92" t="s">
        <v>3672</v>
      </c>
      <c r="F92">
        <v>59</v>
      </c>
      <c r="G92" t="s">
        <v>3678</v>
      </c>
      <c r="H92" t="s">
        <v>3683</v>
      </c>
      <c r="I92" t="s">
        <v>3690</v>
      </c>
      <c r="J92" t="s">
        <v>3693</v>
      </c>
      <c r="K92" t="s">
        <v>3700</v>
      </c>
      <c r="L92">
        <v>4</v>
      </c>
      <c r="M92">
        <v>72000</v>
      </c>
      <c r="N92" t="s">
        <v>3704</v>
      </c>
      <c r="O92" t="s">
        <v>3706</v>
      </c>
    </row>
    <row r="93" spans="1:15" x14ac:dyDescent="0.35">
      <c r="A93" t="s">
        <v>106</v>
      </c>
      <c r="B93" t="s">
        <v>1303</v>
      </c>
      <c r="C93" t="s">
        <v>1873</v>
      </c>
      <c r="D93" t="s">
        <v>2574</v>
      </c>
      <c r="E93" t="s">
        <v>3672</v>
      </c>
      <c r="F93">
        <v>47</v>
      </c>
      <c r="G93" t="s">
        <v>3673</v>
      </c>
      <c r="H93" t="s">
        <v>3673</v>
      </c>
      <c r="I93" t="s">
        <v>3691</v>
      </c>
      <c r="J93" t="s">
        <v>3693</v>
      </c>
      <c r="K93" t="s">
        <v>3696</v>
      </c>
      <c r="L93">
        <v>5</v>
      </c>
      <c r="M93">
        <v>58000</v>
      </c>
      <c r="N93" t="s">
        <v>3704</v>
      </c>
      <c r="O93" t="s">
        <v>3706</v>
      </c>
    </row>
    <row r="94" spans="1:15" x14ac:dyDescent="0.35">
      <c r="A94" t="s">
        <v>107</v>
      </c>
      <c r="B94" t="s">
        <v>1304</v>
      </c>
      <c r="C94" t="s">
        <v>1874</v>
      </c>
      <c r="D94" t="s">
        <v>2575</v>
      </c>
      <c r="E94" t="s">
        <v>3672</v>
      </c>
      <c r="F94">
        <v>53</v>
      </c>
      <c r="G94" t="s">
        <v>3678</v>
      </c>
      <c r="H94" t="s">
        <v>3683</v>
      </c>
      <c r="I94" t="s">
        <v>3686</v>
      </c>
      <c r="J94" t="s">
        <v>3693</v>
      </c>
      <c r="K94" t="s">
        <v>3696</v>
      </c>
      <c r="L94">
        <v>3</v>
      </c>
      <c r="M94">
        <v>65000</v>
      </c>
      <c r="N94" t="s">
        <v>3701</v>
      </c>
      <c r="O94" t="s">
        <v>3705</v>
      </c>
    </row>
    <row r="95" spans="1:15" x14ac:dyDescent="0.35">
      <c r="A95" t="s">
        <v>108</v>
      </c>
      <c r="B95" t="s">
        <v>1305</v>
      </c>
      <c r="C95" t="s">
        <v>1875</v>
      </c>
      <c r="D95" t="s">
        <v>2576</v>
      </c>
      <c r="E95" t="s">
        <v>3671</v>
      </c>
      <c r="F95">
        <v>46</v>
      </c>
      <c r="G95" t="s">
        <v>3676</v>
      </c>
      <c r="H95" t="s">
        <v>3682</v>
      </c>
      <c r="I95" t="s">
        <v>3686</v>
      </c>
      <c r="J95" t="s">
        <v>3693</v>
      </c>
      <c r="K95" t="s">
        <v>3696</v>
      </c>
      <c r="L95">
        <v>4</v>
      </c>
      <c r="M95">
        <v>65000</v>
      </c>
      <c r="N95" t="s">
        <v>3701</v>
      </c>
      <c r="O95" t="s">
        <v>3707</v>
      </c>
    </row>
    <row r="96" spans="1:15" x14ac:dyDescent="0.35">
      <c r="A96" t="s">
        <v>109</v>
      </c>
      <c r="B96" t="s">
        <v>1306</v>
      </c>
      <c r="C96" t="s">
        <v>1876</v>
      </c>
      <c r="D96" t="s">
        <v>2577</v>
      </c>
      <c r="E96" t="s">
        <v>3671</v>
      </c>
      <c r="F96">
        <v>19</v>
      </c>
      <c r="G96" t="s">
        <v>3679</v>
      </c>
      <c r="H96" t="s">
        <v>3684</v>
      </c>
      <c r="I96" t="s">
        <v>3689</v>
      </c>
      <c r="J96" t="s">
        <v>3694</v>
      </c>
      <c r="K96" t="s">
        <v>3699</v>
      </c>
      <c r="L96">
        <v>4</v>
      </c>
      <c r="M96">
        <v>1800</v>
      </c>
      <c r="N96" t="s">
        <v>3704</v>
      </c>
      <c r="O96" t="s">
        <v>3706</v>
      </c>
    </row>
    <row r="97" spans="1:15" x14ac:dyDescent="0.35">
      <c r="A97" t="s">
        <v>110</v>
      </c>
      <c r="B97" t="s">
        <v>1307</v>
      </c>
      <c r="C97" t="s">
        <v>1877</v>
      </c>
      <c r="D97" t="s">
        <v>2578</v>
      </c>
      <c r="E97" t="s">
        <v>3671</v>
      </c>
      <c r="F97">
        <v>26</v>
      </c>
      <c r="G97" t="s">
        <v>3678</v>
      </c>
      <c r="H97" t="s">
        <v>3683</v>
      </c>
      <c r="I97" t="s">
        <v>3690</v>
      </c>
      <c r="J97" t="s">
        <v>3693</v>
      </c>
      <c r="K97" t="s">
        <v>3700</v>
      </c>
      <c r="L97">
        <v>1</v>
      </c>
      <c r="M97">
        <v>72000</v>
      </c>
      <c r="N97" t="s">
        <v>3702</v>
      </c>
      <c r="O97" t="s">
        <v>3707</v>
      </c>
    </row>
    <row r="98" spans="1:15" x14ac:dyDescent="0.35">
      <c r="A98" t="s">
        <v>111</v>
      </c>
      <c r="B98" t="s">
        <v>1308</v>
      </c>
      <c r="C98" t="s">
        <v>1878</v>
      </c>
      <c r="D98" t="s">
        <v>2579</v>
      </c>
      <c r="E98" t="s">
        <v>3672</v>
      </c>
      <c r="F98">
        <v>42</v>
      </c>
      <c r="G98" t="s">
        <v>3674</v>
      </c>
      <c r="H98" t="s">
        <v>3680</v>
      </c>
      <c r="I98" t="s">
        <v>3686</v>
      </c>
      <c r="J98" t="s">
        <v>3693</v>
      </c>
      <c r="K98" t="s">
        <v>3696</v>
      </c>
      <c r="L98">
        <v>3</v>
      </c>
      <c r="M98">
        <v>65000</v>
      </c>
      <c r="N98" t="s">
        <v>3704</v>
      </c>
      <c r="O98" t="s">
        <v>3706</v>
      </c>
    </row>
    <row r="99" spans="1:15" x14ac:dyDescent="0.35">
      <c r="A99" t="s">
        <v>112</v>
      </c>
      <c r="B99" t="s">
        <v>1309</v>
      </c>
      <c r="C99" t="s">
        <v>1879</v>
      </c>
      <c r="D99" t="s">
        <v>2580</v>
      </c>
      <c r="E99" t="s">
        <v>3671</v>
      </c>
      <c r="F99">
        <v>39</v>
      </c>
      <c r="G99" t="s">
        <v>3679</v>
      </c>
      <c r="H99" t="s">
        <v>3684</v>
      </c>
      <c r="I99" t="s">
        <v>3690</v>
      </c>
      <c r="J99" t="s">
        <v>3693</v>
      </c>
      <c r="K99" t="s">
        <v>3700</v>
      </c>
      <c r="L99">
        <v>4</v>
      </c>
      <c r="M99">
        <v>72000</v>
      </c>
      <c r="N99" t="s">
        <v>3704</v>
      </c>
      <c r="O99" t="s">
        <v>3707</v>
      </c>
    </row>
    <row r="100" spans="1:15" x14ac:dyDescent="0.35">
      <c r="A100" t="s">
        <v>113</v>
      </c>
      <c r="B100" t="s">
        <v>1310</v>
      </c>
      <c r="C100" t="s">
        <v>1880</v>
      </c>
      <c r="D100" t="s">
        <v>2581</v>
      </c>
      <c r="E100" t="s">
        <v>3671</v>
      </c>
      <c r="F100">
        <v>28</v>
      </c>
      <c r="G100" t="s">
        <v>3676</v>
      </c>
      <c r="H100" t="s">
        <v>3682</v>
      </c>
      <c r="I100" t="s">
        <v>3689</v>
      </c>
      <c r="J100" t="s">
        <v>3694</v>
      </c>
      <c r="K100" t="s">
        <v>3699</v>
      </c>
      <c r="L100">
        <v>3</v>
      </c>
      <c r="M100">
        <v>1800</v>
      </c>
      <c r="N100" t="s">
        <v>3701</v>
      </c>
      <c r="O100" t="s">
        <v>3705</v>
      </c>
    </row>
    <row r="101" spans="1:15" x14ac:dyDescent="0.35">
      <c r="A101" t="s">
        <v>114</v>
      </c>
      <c r="B101" t="s">
        <v>1268</v>
      </c>
      <c r="C101" t="s">
        <v>1881</v>
      </c>
      <c r="D101" t="s">
        <v>2582</v>
      </c>
      <c r="E101" t="s">
        <v>3671</v>
      </c>
      <c r="F101">
        <v>46</v>
      </c>
      <c r="G101" t="s">
        <v>3678</v>
      </c>
      <c r="H101" t="s">
        <v>3683</v>
      </c>
      <c r="I101" t="s">
        <v>3686</v>
      </c>
      <c r="J101" t="s">
        <v>3693</v>
      </c>
      <c r="K101" t="s">
        <v>3696</v>
      </c>
      <c r="L101">
        <v>4</v>
      </c>
      <c r="M101">
        <v>65000</v>
      </c>
      <c r="N101" t="s">
        <v>3704</v>
      </c>
      <c r="O101" t="s">
        <v>3706</v>
      </c>
    </row>
    <row r="102" spans="1:15" x14ac:dyDescent="0.35">
      <c r="A102" t="s">
        <v>115</v>
      </c>
      <c r="B102" t="s">
        <v>1311</v>
      </c>
      <c r="C102" t="s">
        <v>1831</v>
      </c>
      <c r="D102" t="s">
        <v>2583</v>
      </c>
      <c r="E102" t="s">
        <v>3671</v>
      </c>
      <c r="F102">
        <v>33</v>
      </c>
      <c r="G102" t="s">
        <v>3674</v>
      </c>
      <c r="H102" t="s">
        <v>3680</v>
      </c>
      <c r="I102" t="s">
        <v>3685</v>
      </c>
      <c r="J102" t="s">
        <v>3692</v>
      </c>
      <c r="K102" t="s">
        <v>3695</v>
      </c>
      <c r="L102">
        <v>5</v>
      </c>
      <c r="M102">
        <v>12000</v>
      </c>
      <c r="N102" t="s">
        <v>3701</v>
      </c>
      <c r="O102" t="s">
        <v>3705</v>
      </c>
    </row>
    <row r="103" spans="1:15" x14ac:dyDescent="0.35">
      <c r="A103" t="s">
        <v>116</v>
      </c>
      <c r="B103" t="s">
        <v>1228</v>
      </c>
      <c r="C103" t="s">
        <v>1854</v>
      </c>
      <c r="D103" t="s">
        <v>2584</v>
      </c>
      <c r="E103" t="s">
        <v>3671</v>
      </c>
      <c r="F103">
        <v>60</v>
      </c>
      <c r="G103" t="s">
        <v>3677</v>
      </c>
      <c r="H103" t="s">
        <v>3680</v>
      </c>
      <c r="I103" t="s">
        <v>3685</v>
      </c>
      <c r="J103" t="s">
        <v>3692</v>
      </c>
      <c r="K103" t="s">
        <v>3695</v>
      </c>
      <c r="L103">
        <v>1</v>
      </c>
      <c r="M103">
        <v>12000</v>
      </c>
      <c r="N103" t="s">
        <v>3704</v>
      </c>
      <c r="O103" t="s">
        <v>3705</v>
      </c>
    </row>
    <row r="104" spans="1:15" x14ac:dyDescent="0.35">
      <c r="A104" t="s">
        <v>117</v>
      </c>
      <c r="B104" t="s">
        <v>1312</v>
      </c>
      <c r="C104" t="s">
        <v>1882</v>
      </c>
      <c r="D104" t="s">
        <v>2585</v>
      </c>
      <c r="E104" t="s">
        <v>3671</v>
      </c>
      <c r="F104">
        <v>33</v>
      </c>
      <c r="G104" t="s">
        <v>3673</v>
      </c>
      <c r="H104" t="s">
        <v>3673</v>
      </c>
      <c r="I104" t="s">
        <v>3686</v>
      </c>
      <c r="J104" t="s">
        <v>3693</v>
      </c>
      <c r="K104" t="s">
        <v>3696</v>
      </c>
      <c r="L104">
        <v>4</v>
      </c>
      <c r="M104">
        <v>65000</v>
      </c>
      <c r="N104" t="s">
        <v>3702</v>
      </c>
      <c r="O104" t="s">
        <v>3707</v>
      </c>
    </row>
    <row r="105" spans="1:15" x14ac:dyDescent="0.35">
      <c r="A105" t="s">
        <v>118</v>
      </c>
      <c r="B105" t="s">
        <v>1313</v>
      </c>
      <c r="C105" t="s">
        <v>1883</v>
      </c>
      <c r="D105" t="s">
        <v>2586</v>
      </c>
      <c r="E105" t="s">
        <v>3671</v>
      </c>
      <c r="F105">
        <v>21</v>
      </c>
      <c r="G105" t="s">
        <v>3678</v>
      </c>
      <c r="H105" t="s">
        <v>3683</v>
      </c>
      <c r="I105" t="s">
        <v>3687</v>
      </c>
      <c r="J105" t="s">
        <v>3693</v>
      </c>
      <c r="K105" t="s">
        <v>3697</v>
      </c>
      <c r="L105">
        <v>4</v>
      </c>
      <c r="M105">
        <v>5000</v>
      </c>
      <c r="N105" t="s">
        <v>3704</v>
      </c>
      <c r="O105" t="s">
        <v>3705</v>
      </c>
    </row>
    <row r="106" spans="1:15" x14ac:dyDescent="0.35">
      <c r="A106" t="s">
        <v>119</v>
      </c>
      <c r="B106" t="s">
        <v>1314</v>
      </c>
      <c r="C106" t="s">
        <v>1884</v>
      </c>
      <c r="D106" t="s">
        <v>2587</v>
      </c>
      <c r="E106" t="s">
        <v>3672</v>
      </c>
      <c r="F106">
        <v>41</v>
      </c>
      <c r="G106" t="s">
        <v>3679</v>
      </c>
      <c r="H106" t="s">
        <v>3684</v>
      </c>
      <c r="I106" t="s">
        <v>3686</v>
      </c>
      <c r="J106" t="s">
        <v>3693</v>
      </c>
      <c r="K106" t="s">
        <v>3696</v>
      </c>
      <c r="L106">
        <v>1</v>
      </c>
      <c r="M106">
        <v>65000</v>
      </c>
      <c r="N106" t="s">
        <v>3703</v>
      </c>
      <c r="O106" t="s">
        <v>3706</v>
      </c>
    </row>
    <row r="107" spans="1:15" x14ac:dyDescent="0.35">
      <c r="A107" t="s">
        <v>120</v>
      </c>
      <c r="B107" t="s">
        <v>1315</v>
      </c>
      <c r="C107" t="s">
        <v>1885</v>
      </c>
      <c r="D107" t="s">
        <v>2588</v>
      </c>
      <c r="E107" t="s">
        <v>3671</v>
      </c>
      <c r="F107">
        <v>54</v>
      </c>
      <c r="G107" t="s">
        <v>3675</v>
      </c>
      <c r="H107" t="s">
        <v>3681</v>
      </c>
      <c r="I107" t="s">
        <v>3685</v>
      </c>
      <c r="J107" t="s">
        <v>3692</v>
      </c>
      <c r="K107" t="s">
        <v>3695</v>
      </c>
      <c r="L107">
        <v>5</v>
      </c>
      <c r="M107">
        <v>12000</v>
      </c>
      <c r="N107" t="s">
        <v>3704</v>
      </c>
      <c r="O107" t="s">
        <v>3705</v>
      </c>
    </row>
    <row r="108" spans="1:15" x14ac:dyDescent="0.35">
      <c r="A108" t="s">
        <v>121</v>
      </c>
      <c r="B108" t="s">
        <v>1316</v>
      </c>
      <c r="C108" t="s">
        <v>1886</v>
      </c>
      <c r="D108" t="s">
        <v>2589</v>
      </c>
      <c r="E108" t="s">
        <v>3671</v>
      </c>
      <c r="F108">
        <v>54</v>
      </c>
      <c r="G108" t="s">
        <v>3675</v>
      </c>
      <c r="H108" t="s">
        <v>3681</v>
      </c>
      <c r="I108" t="s">
        <v>3685</v>
      </c>
      <c r="J108" t="s">
        <v>3692</v>
      </c>
      <c r="K108" t="s">
        <v>3695</v>
      </c>
      <c r="L108">
        <v>2</v>
      </c>
      <c r="M108">
        <v>12000</v>
      </c>
      <c r="N108" t="s">
        <v>3702</v>
      </c>
      <c r="O108" t="s">
        <v>3706</v>
      </c>
    </row>
    <row r="109" spans="1:15" x14ac:dyDescent="0.35">
      <c r="A109" t="s">
        <v>122</v>
      </c>
      <c r="B109" t="s">
        <v>1317</v>
      </c>
      <c r="C109" t="s">
        <v>1887</v>
      </c>
      <c r="D109" t="s">
        <v>2590</v>
      </c>
      <c r="E109" t="s">
        <v>3671</v>
      </c>
      <c r="F109">
        <v>48</v>
      </c>
      <c r="G109" t="s">
        <v>3673</v>
      </c>
      <c r="H109" t="s">
        <v>3673</v>
      </c>
      <c r="I109" t="s">
        <v>3689</v>
      </c>
      <c r="J109" t="s">
        <v>3694</v>
      </c>
      <c r="K109" t="s">
        <v>3699</v>
      </c>
      <c r="L109">
        <v>4</v>
      </c>
      <c r="M109">
        <v>1800</v>
      </c>
      <c r="N109" t="s">
        <v>3703</v>
      </c>
      <c r="O109" t="s">
        <v>3707</v>
      </c>
    </row>
    <row r="110" spans="1:15" x14ac:dyDescent="0.35">
      <c r="A110" t="s">
        <v>123</v>
      </c>
      <c r="B110" t="s">
        <v>1318</v>
      </c>
      <c r="C110" t="s">
        <v>1827</v>
      </c>
      <c r="D110" t="s">
        <v>2591</v>
      </c>
      <c r="E110" t="s">
        <v>3671</v>
      </c>
      <c r="F110">
        <v>34</v>
      </c>
      <c r="G110" t="s">
        <v>3674</v>
      </c>
      <c r="H110" t="s">
        <v>3680</v>
      </c>
      <c r="I110" t="s">
        <v>3685</v>
      </c>
      <c r="J110" t="s">
        <v>3692</v>
      </c>
      <c r="K110" t="s">
        <v>3695</v>
      </c>
      <c r="L110">
        <v>5</v>
      </c>
      <c r="M110">
        <v>12000</v>
      </c>
      <c r="N110" t="s">
        <v>3702</v>
      </c>
      <c r="O110" t="s">
        <v>3707</v>
      </c>
    </row>
    <row r="111" spans="1:15" x14ac:dyDescent="0.35">
      <c r="A111" t="s">
        <v>124</v>
      </c>
      <c r="B111" t="s">
        <v>1319</v>
      </c>
      <c r="C111" t="s">
        <v>1888</v>
      </c>
      <c r="D111" t="s">
        <v>2592</v>
      </c>
      <c r="E111" t="s">
        <v>3671</v>
      </c>
      <c r="F111">
        <v>47</v>
      </c>
      <c r="G111" t="s">
        <v>3677</v>
      </c>
      <c r="H111" t="s">
        <v>3680</v>
      </c>
      <c r="I111" t="s">
        <v>3687</v>
      </c>
      <c r="J111" t="s">
        <v>3693</v>
      </c>
      <c r="K111" t="s">
        <v>3697</v>
      </c>
      <c r="L111">
        <v>2</v>
      </c>
      <c r="M111">
        <v>5000</v>
      </c>
      <c r="N111" t="s">
        <v>3704</v>
      </c>
      <c r="O111" t="s">
        <v>3707</v>
      </c>
    </row>
    <row r="112" spans="1:15" x14ac:dyDescent="0.35">
      <c r="A112" t="s">
        <v>125</v>
      </c>
      <c r="B112" t="s">
        <v>1320</v>
      </c>
      <c r="C112" t="s">
        <v>1889</v>
      </c>
      <c r="D112" t="s">
        <v>2593</v>
      </c>
      <c r="E112" t="s">
        <v>3671</v>
      </c>
      <c r="F112">
        <v>34</v>
      </c>
      <c r="G112" t="s">
        <v>3674</v>
      </c>
      <c r="H112" t="s">
        <v>3680</v>
      </c>
      <c r="I112" t="s">
        <v>3686</v>
      </c>
      <c r="J112" t="s">
        <v>3693</v>
      </c>
      <c r="K112" t="s">
        <v>3696</v>
      </c>
      <c r="L112">
        <v>5</v>
      </c>
      <c r="M112">
        <v>65000</v>
      </c>
      <c r="N112" t="s">
        <v>3703</v>
      </c>
      <c r="O112" t="s">
        <v>3705</v>
      </c>
    </row>
    <row r="113" spans="1:15" x14ac:dyDescent="0.35">
      <c r="A113" t="s">
        <v>126</v>
      </c>
      <c r="B113" t="s">
        <v>1321</v>
      </c>
      <c r="C113" t="s">
        <v>1890</v>
      </c>
      <c r="D113" t="s">
        <v>2594</v>
      </c>
      <c r="E113" t="s">
        <v>3671</v>
      </c>
      <c r="F113">
        <v>54</v>
      </c>
      <c r="G113" t="s">
        <v>3675</v>
      </c>
      <c r="H113" t="s">
        <v>3681</v>
      </c>
      <c r="I113" t="s">
        <v>3686</v>
      </c>
      <c r="J113" t="s">
        <v>3693</v>
      </c>
      <c r="K113" t="s">
        <v>3696</v>
      </c>
      <c r="L113">
        <v>5</v>
      </c>
      <c r="M113">
        <v>65000</v>
      </c>
      <c r="N113" t="s">
        <v>3703</v>
      </c>
      <c r="O113" t="s">
        <v>3707</v>
      </c>
    </row>
    <row r="114" spans="1:15" x14ac:dyDescent="0.35">
      <c r="A114" t="s">
        <v>127</v>
      </c>
      <c r="B114" t="s">
        <v>1322</v>
      </c>
      <c r="C114" t="s">
        <v>1891</v>
      </c>
      <c r="D114" t="s">
        <v>2595</v>
      </c>
      <c r="E114" t="s">
        <v>3672</v>
      </c>
      <c r="F114">
        <v>57</v>
      </c>
      <c r="G114" t="s">
        <v>3678</v>
      </c>
      <c r="H114" t="s">
        <v>3683</v>
      </c>
      <c r="I114" t="s">
        <v>3686</v>
      </c>
      <c r="J114" t="s">
        <v>3693</v>
      </c>
      <c r="K114" t="s">
        <v>3696</v>
      </c>
      <c r="L114">
        <v>3</v>
      </c>
      <c r="M114">
        <v>65000</v>
      </c>
      <c r="N114" t="s">
        <v>3704</v>
      </c>
      <c r="O114" t="s">
        <v>3707</v>
      </c>
    </row>
    <row r="115" spans="1:15" x14ac:dyDescent="0.35">
      <c r="A115" t="s">
        <v>128</v>
      </c>
      <c r="B115" t="s">
        <v>1323</v>
      </c>
      <c r="C115" t="s">
        <v>1892</v>
      </c>
      <c r="D115" t="s">
        <v>2596</v>
      </c>
      <c r="E115" t="s">
        <v>3671</v>
      </c>
      <c r="F115">
        <v>53</v>
      </c>
      <c r="G115" t="s">
        <v>3674</v>
      </c>
      <c r="H115" t="s">
        <v>3680</v>
      </c>
      <c r="I115" t="s">
        <v>3687</v>
      </c>
      <c r="J115" t="s">
        <v>3693</v>
      </c>
      <c r="K115" t="s">
        <v>3697</v>
      </c>
      <c r="L115">
        <v>5</v>
      </c>
      <c r="M115">
        <v>5000</v>
      </c>
      <c r="N115" t="s">
        <v>3702</v>
      </c>
      <c r="O115" t="s">
        <v>3707</v>
      </c>
    </row>
    <row r="116" spans="1:15" x14ac:dyDescent="0.35">
      <c r="A116" t="s">
        <v>129</v>
      </c>
      <c r="B116" t="s">
        <v>1324</v>
      </c>
      <c r="C116" t="s">
        <v>1893</v>
      </c>
      <c r="D116" t="s">
        <v>2597</v>
      </c>
      <c r="E116" t="s">
        <v>3672</v>
      </c>
      <c r="F116">
        <v>37</v>
      </c>
      <c r="G116" t="s">
        <v>3679</v>
      </c>
      <c r="H116" t="s">
        <v>3684</v>
      </c>
      <c r="I116" t="s">
        <v>3691</v>
      </c>
      <c r="J116" t="s">
        <v>3693</v>
      </c>
      <c r="K116" t="s">
        <v>3696</v>
      </c>
      <c r="L116">
        <v>1</v>
      </c>
      <c r="M116">
        <v>58000</v>
      </c>
      <c r="N116" t="s">
        <v>3704</v>
      </c>
      <c r="O116" t="s">
        <v>3707</v>
      </c>
    </row>
    <row r="117" spans="1:15" x14ac:dyDescent="0.35">
      <c r="A117" t="s">
        <v>130</v>
      </c>
      <c r="B117" t="s">
        <v>1325</v>
      </c>
      <c r="C117" t="s">
        <v>1894</v>
      </c>
      <c r="D117" t="s">
        <v>2598</v>
      </c>
      <c r="E117" t="s">
        <v>3672</v>
      </c>
      <c r="F117">
        <v>21</v>
      </c>
      <c r="G117" t="s">
        <v>3679</v>
      </c>
      <c r="H117" t="s">
        <v>3684</v>
      </c>
      <c r="I117" t="s">
        <v>3687</v>
      </c>
      <c r="J117" t="s">
        <v>3693</v>
      </c>
      <c r="K117" t="s">
        <v>3697</v>
      </c>
      <c r="L117">
        <v>3</v>
      </c>
      <c r="M117">
        <v>5000</v>
      </c>
      <c r="N117" t="s">
        <v>3702</v>
      </c>
      <c r="O117" t="s">
        <v>3705</v>
      </c>
    </row>
    <row r="118" spans="1:15" x14ac:dyDescent="0.35">
      <c r="A118" t="s">
        <v>131</v>
      </c>
      <c r="B118" t="s">
        <v>1274</v>
      </c>
      <c r="C118" t="s">
        <v>1895</v>
      </c>
      <c r="D118" t="s">
        <v>2599</v>
      </c>
      <c r="E118" t="s">
        <v>3671</v>
      </c>
      <c r="F118">
        <v>26</v>
      </c>
      <c r="G118" t="s">
        <v>3676</v>
      </c>
      <c r="H118" t="s">
        <v>3682</v>
      </c>
      <c r="I118" t="s">
        <v>3686</v>
      </c>
      <c r="J118" t="s">
        <v>3693</v>
      </c>
      <c r="K118" t="s">
        <v>3696</v>
      </c>
      <c r="L118">
        <v>3</v>
      </c>
      <c r="M118">
        <v>65000</v>
      </c>
      <c r="N118" t="s">
        <v>3701</v>
      </c>
      <c r="O118" t="s">
        <v>3705</v>
      </c>
    </row>
    <row r="119" spans="1:15" x14ac:dyDescent="0.35">
      <c r="A119" t="s">
        <v>132</v>
      </c>
      <c r="B119" t="s">
        <v>1326</v>
      </c>
      <c r="C119" t="s">
        <v>1896</v>
      </c>
      <c r="D119" t="s">
        <v>2600</v>
      </c>
      <c r="E119" t="s">
        <v>3672</v>
      </c>
      <c r="F119">
        <v>59</v>
      </c>
      <c r="G119" t="s">
        <v>3676</v>
      </c>
      <c r="H119" t="s">
        <v>3682</v>
      </c>
      <c r="I119" t="s">
        <v>3690</v>
      </c>
      <c r="J119" t="s">
        <v>3693</v>
      </c>
      <c r="K119" t="s">
        <v>3700</v>
      </c>
      <c r="L119">
        <v>1</v>
      </c>
      <c r="M119">
        <v>72000</v>
      </c>
      <c r="N119" t="s">
        <v>3701</v>
      </c>
      <c r="O119" t="s">
        <v>3705</v>
      </c>
    </row>
    <row r="120" spans="1:15" x14ac:dyDescent="0.35">
      <c r="A120" t="s">
        <v>133</v>
      </c>
      <c r="B120" t="s">
        <v>1327</v>
      </c>
      <c r="C120" t="s">
        <v>1897</v>
      </c>
      <c r="D120" t="s">
        <v>2601</v>
      </c>
      <c r="E120" t="s">
        <v>3672</v>
      </c>
      <c r="F120">
        <v>45</v>
      </c>
      <c r="G120" t="s">
        <v>3678</v>
      </c>
      <c r="H120" t="s">
        <v>3683</v>
      </c>
      <c r="I120" t="s">
        <v>3687</v>
      </c>
      <c r="J120" t="s">
        <v>3693</v>
      </c>
      <c r="K120" t="s">
        <v>3697</v>
      </c>
      <c r="L120">
        <v>2</v>
      </c>
      <c r="M120">
        <v>5000</v>
      </c>
      <c r="N120" t="s">
        <v>3704</v>
      </c>
      <c r="O120" t="s">
        <v>3707</v>
      </c>
    </row>
    <row r="121" spans="1:15" x14ac:dyDescent="0.35">
      <c r="A121" t="s">
        <v>134</v>
      </c>
      <c r="B121" t="s">
        <v>1307</v>
      </c>
      <c r="C121" t="s">
        <v>1898</v>
      </c>
      <c r="D121" t="s">
        <v>2602</v>
      </c>
      <c r="E121" t="s">
        <v>3672</v>
      </c>
      <c r="F121">
        <v>44</v>
      </c>
      <c r="G121" t="s">
        <v>3676</v>
      </c>
      <c r="H121" t="s">
        <v>3682</v>
      </c>
      <c r="I121" t="s">
        <v>3685</v>
      </c>
      <c r="J121" t="s">
        <v>3692</v>
      </c>
      <c r="K121" t="s">
        <v>3695</v>
      </c>
      <c r="L121">
        <v>3</v>
      </c>
      <c r="M121">
        <v>12000</v>
      </c>
      <c r="N121" t="s">
        <v>3701</v>
      </c>
      <c r="O121" t="s">
        <v>3706</v>
      </c>
    </row>
    <row r="122" spans="1:15" x14ac:dyDescent="0.35">
      <c r="A122" t="s">
        <v>135</v>
      </c>
      <c r="B122" t="s">
        <v>1328</v>
      </c>
      <c r="C122" t="s">
        <v>1899</v>
      </c>
      <c r="D122" t="s">
        <v>2603</v>
      </c>
      <c r="E122" t="s">
        <v>3672</v>
      </c>
      <c r="F122">
        <v>29</v>
      </c>
      <c r="G122" t="s">
        <v>3679</v>
      </c>
      <c r="H122" t="s">
        <v>3684</v>
      </c>
      <c r="I122" t="s">
        <v>3686</v>
      </c>
      <c r="J122" t="s">
        <v>3693</v>
      </c>
      <c r="K122" t="s">
        <v>3696</v>
      </c>
      <c r="L122">
        <v>2</v>
      </c>
      <c r="M122">
        <v>65000</v>
      </c>
      <c r="N122" t="s">
        <v>3701</v>
      </c>
      <c r="O122" t="s">
        <v>3705</v>
      </c>
    </row>
    <row r="123" spans="1:15" x14ac:dyDescent="0.35">
      <c r="A123" t="s">
        <v>136</v>
      </c>
      <c r="B123" t="s">
        <v>1329</v>
      </c>
      <c r="C123" t="s">
        <v>1900</v>
      </c>
      <c r="D123" t="s">
        <v>2604</v>
      </c>
      <c r="E123" t="s">
        <v>3671</v>
      </c>
      <c r="F123">
        <v>58</v>
      </c>
      <c r="G123" t="s">
        <v>3674</v>
      </c>
      <c r="H123" t="s">
        <v>3680</v>
      </c>
      <c r="I123" t="s">
        <v>3691</v>
      </c>
      <c r="J123" t="s">
        <v>3693</v>
      </c>
      <c r="K123" t="s">
        <v>3696</v>
      </c>
      <c r="L123">
        <v>2</v>
      </c>
      <c r="M123">
        <v>58000</v>
      </c>
      <c r="N123" t="s">
        <v>3704</v>
      </c>
      <c r="O123" t="s">
        <v>3706</v>
      </c>
    </row>
    <row r="124" spans="1:15" x14ac:dyDescent="0.35">
      <c r="A124" t="s">
        <v>137</v>
      </c>
      <c r="B124" t="s">
        <v>1330</v>
      </c>
      <c r="C124" t="s">
        <v>1901</v>
      </c>
      <c r="D124" t="s">
        <v>2605</v>
      </c>
      <c r="E124" t="s">
        <v>3671</v>
      </c>
      <c r="F124">
        <v>20</v>
      </c>
      <c r="G124" t="s">
        <v>3679</v>
      </c>
      <c r="H124" t="s">
        <v>3684</v>
      </c>
      <c r="I124" t="s">
        <v>3685</v>
      </c>
      <c r="J124" t="s">
        <v>3692</v>
      </c>
      <c r="K124" t="s">
        <v>3695</v>
      </c>
      <c r="L124">
        <v>2</v>
      </c>
      <c r="M124">
        <v>12000</v>
      </c>
      <c r="N124" t="s">
        <v>3702</v>
      </c>
      <c r="O124" t="s">
        <v>3706</v>
      </c>
    </row>
    <row r="125" spans="1:15" x14ac:dyDescent="0.35">
      <c r="A125" t="s">
        <v>138</v>
      </c>
      <c r="B125" t="s">
        <v>1331</v>
      </c>
      <c r="C125" t="s">
        <v>1870</v>
      </c>
      <c r="D125" t="s">
        <v>2606</v>
      </c>
      <c r="E125" t="s">
        <v>3671</v>
      </c>
      <c r="F125">
        <v>50</v>
      </c>
      <c r="G125" t="s">
        <v>3675</v>
      </c>
      <c r="H125" t="s">
        <v>3681</v>
      </c>
      <c r="I125" t="s">
        <v>3689</v>
      </c>
      <c r="J125" t="s">
        <v>3694</v>
      </c>
      <c r="K125" t="s">
        <v>3699</v>
      </c>
      <c r="L125">
        <v>3</v>
      </c>
      <c r="M125">
        <v>1800</v>
      </c>
      <c r="N125" t="s">
        <v>3703</v>
      </c>
      <c r="O125" t="s">
        <v>3706</v>
      </c>
    </row>
    <row r="126" spans="1:15" x14ac:dyDescent="0.35">
      <c r="A126" t="s">
        <v>139</v>
      </c>
      <c r="B126" t="s">
        <v>1259</v>
      </c>
      <c r="C126" t="s">
        <v>1902</v>
      </c>
      <c r="D126" t="s">
        <v>2607</v>
      </c>
      <c r="E126" t="s">
        <v>3672</v>
      </c>
      <c r="F126">
        <v>20</v>
      </c>
      <c r="G126" t="s">
        <v>3675</v>
      </c>
      <c r="H126" t="s">
        <v>3681</v>
      </c>
      <c r="I126" t="s">
        <v>3685</v>
      </c>
      <c r="J126" t="s">
        <v>3692</v>
      </c>
      <c r="K126" t="s">
        <v>3695</v>
      </c>
      <c r="L126">
        <v>5</v>
      </c>
      <c r="M126">
        <v>12000</v>
      </c>
      <c r="N126" t="s">
        <v>3703</v>
      </c>
      <c r="O126" t="s">
        <v>3707</v>
      </c>
    </row>
    <row r="127" spans="1:15" x14ac:dyDescent="0.35">
      <c r="A127" t="s">
        <v>140</v>
      </c>
      <c r="B127" t="s">
        <v>1332</v>
      </c>
      <c r="C127" t="s">
        <v>1810</v>
      </c>
      <c r="D127" t="s">
        <v>2608</v>
      </c>
      <c r="E127" t="s">
        <v>3672</v>
      </c>
      <c r="F127">
        <v>42</v>
      </c>
      <c r="G127" t="s">
        <v>3673</v>
      </c>
      <c r="H127" t="s">
        <v>3673</v>
      </c>
      <c r="I127" t="s">
        <v>3688</v>
      </c>
      <c r="J127" t="s">
        <v>3694</v>
      </c>
      <c r="K127" t="s">
        <v>3698</v>
      </c>
      <c r="L127">
        <v>4</v>
      </c>
      <c r="M127">
        <v>4500</v>
      </c>
      <c r="N127" t="s">
        <v>3702</v>
      </c>
      <c r="O127" t="s">
        <v>3705</v>
      </c>
    </row>
    <row r="128" spans="1:15" x14ac:dyDescent="0.35">
      <c r="A128" t="s">
        <v>141</v>
      </c>
      <c r="B128" t="s">
        <v>1333</v>
      </c>
      <c r="C128" t="s">
        <v>1903</v>
      </c>
      <c r="D128" t="s">
        <v>2609</v>
      </c>
      <c r="E128" t="s">
        <v>3671</v>
      </c>
      <c r="F128">
        <v>24</v>
      </c>
      <c r="G128" t="s">
        <v>3674</v>
      </c>
      <c r="H128" t="s">
        <v>3680</v>
      </c>
      <c r="I128" t="s">
        <v>3690</v>
      </c>
      <c r="J128" t="s">
        <v>3693</v>
      </c>
      <c r="K128" t="s">
        <v>3700</v>
      </c>
      <c r="L128">
        <v>3</v>
      </c>
      <c r="M128">
        <v>72000</v>
      </c>
      <c r="N128" t="s">
        <v>3702</v>
      </c>
      <c r="O128" t="s">
        <v>3706</v>
      </c>
    </row>
    <row r="129" spans="1:15" x14ac:dyDescent="0.35">
      <c r="A129" t="s">
        <v>142</v>
      </c>
      <c r="B129" t="s">
        <v>1334</v>
      </c>
      <c r="C129" t="s">
        <v>1904</v>
      </c>
      <c r="D129" t="s">
        <v>2610</v>
      </c>
      <c r="E129" t="s">
        <v>3672</v>
      </c>
      <c r="F129">
        <v>40</v>
      </c>
      <c r="G129" t="s">
        <v>3677</v>
      </c>
      <c r="H129" t="s">
        <v>3680</v>
      </c>
      <c r="I129" t="s">
        <v>3685</v>
      </c>
      <c r="J129" t="s">
        <v>3692</v>
      </c>
      <c r="K129" t="s">
        <v>3695</v>
      </c>
      <c r="L129">
        <v>3</v>
      </c>
      <c r="M129">
        <v>12000</v>
      </c>
      <c r="N129" t="s">
        <v>3703</v>
      </c>
      <c r="O129" t="s">
        <v>3707</v>
      </c>
    </row>
    <row r="130" spans="1:15" x14ac:dyDescent="0.35">
      <c r="A130" t="s">
        <v>143</v>
      </c>
      <c r="B130" t="s">
        <v>1335</v>
      </c>
      <c r="C130" t="s">
        <v>1905</v>
      </c>
      <c r="D130" t="s">
        <v>2611</v>
      </c>
      <c r="E130" t="s">
        <v>3672</v>
      </c>
      <c r="F130">
        <v>18</v>
      </c>
      <c r="G130" t="s">
        <v>3673</v>
      </c>
      <c r="H130" t="s">
        <v>3673</v>
      </c>
      <c r="I130" t="s">
        <v>3687</v>
      </c>
      <c r="J130" t="s">
        <v>3693</v>
      </c>
      <c r="K130" t="s">
        <v>3697</v>
      </c>
      <c r="L130">
        <v>4</v>
      </c>
      <c r="M130">
        <v>5000</v>
      </c>
      <c r="N130" t="s">
        <v>3701</v>
      </c>
      <c r="O130" t="s">
        <v>3705</v>
      </c>
    </row>
    <row r="131" spans="1:15" x14ac:dyDescent="0.35">
      <c r="A131" t="s">
        <v>144</v>
      </c>
      <c r="B131" t="s">
        <v>1336</v>
      </c>
      <c r="C131" t="s">
        <v>1906</v>
      </c>
      <c r="D131" t="s">
        <v>2612</v>
      </c>
      <c r="E131" t="s">
        <v>3672</v>
      </c>
      <c r="F131">
        <v>23</v>
      </c>
      <c r="G131" t="s">
        <v>3679</v>
      </c>
      <c r="H131" t="s">
        <v>3684</v>
      </c>
      <c r="I131" t="s">
        <v>3691</v>
      </c>
      <c r="J131" t="s">
        <v>3693</v>
      </c>
      <c r="K131" t="s">
        <v>3696</v>
      </c>
      <c r="L131">
        <v>5</v>
      </c>
      <c r="M131">
        <v>58000</v>
      </c>
      <c r="N131" t="s">
        <v>3703</v>
      </c>
      <c r="O131" t="s">
        <v>3707</v>
      </c>
    </row>
    <row r="132" spans="1:15" x14ac:dyDescent="0.35">
      <c r="A132" t="s">
        <v>145</v>
      </c>
      <c r="B132" t="s">
        <v>1337</v>
      </c>
      <c r="C132" t="s">
        <v>1907</v>
      </c>
      <c r="D132" t="s">
        <v>2613</v>
      </c>
      <c r="E132" t="s">
        <v>3672</v>
      </c>
      <c r="F132">
        <v>34</v>
      </c>
      <c r="G132" t="s">
        <v>3676</v>
      </c>
      <c r="H132" t="s">
        <v>3682</v>
      </c>
      <c r="I132" t="s">
        <v>3689</v>
      </c>
      <c r="J132" t="s">
        <v>3694</v>
      </c>
      <c r="K132" t="s">
        <v>3699</v>
      </c>
      <c r="L132">
        <v>3</v>
      </c>
      <c r="M132">
        <v>1800</v>
      </c>
      <c r="N132" t="s">
        <v>3701</v>
      </c>
      <c r="O132" t="s">
        <v>3705</v>
      </c>
    </row>
    <row r="133" spans="1:15" x14ac:dyDescent="0.35">
      <c r="A133" t="s">
        <v>146</v>
      </c>
      <c r="B133" t="s">
        <v>1338</v>
      </c>
      <c r="C133" t="s">
        <v>1908</v>
      </c>
      <c r="D133" t="s">
        <v>2614</v>
      </c>
      <c r="E133" t="s">
        <v>3671</v>
      </c>
      <c r="F133">
        <v>45</v>
      </c>
      <c r="G133" t="s">
        <v>3678</v>
      </c>
      <c r="H133" t="s">
        <v>3683</v>
      </c>
      <c r="I133" t="s">
        <v>3687</v>
      </c>
      <c r="J133" t="s">
        <v>3693</v>
      </c>
      <c r="K133" t="s">
        <v>3697</v>
      </c>
      <c r="L133">
        <v>2</v>
      </c>
      <c r="M133">
        <v>5000</v>
      </c>
      <c r="N133" t="s">
        <v>3703</v>
      </c>
      <c r="O133" t="s">
        <v>3706</v>
      </c>
    </row>
    <row r="134" spans="1:15" x14ac:dyDescent="0.35">
      <c r="A134" t="s">
        <v>147</v>
      </c>
      <c r="B134" t="s">
        <v>1339</v>
      </c>
      <c r="C134" t="s">
        <v>1886</v>
      </c>
      <c r="D134" t="s">
        <v>2615</v>
      </c>
      <c r="E134" t="s">
        <v>3671</v>
      </c>
      <c r="F134">
        <v>26</v>
      </c>
      <c r="G134" t="s">
        <v>3679</v>
      </c>
      <c r="H134" t="s">
        <v>3684</v>
      </c>
      <c r="I134" t="s">
        <v>3688</v>
      </c>
      <c r="J134" t="s">
        <v>3694</v>
      </c>
      <c r="K134" t="s">
        <v>3698</v>
      </c>
      <c r="L134">
        <v>3</v>
      </c>
      <c r="M134">
        <v>4500</v>
      </c>
      <c r="N134" t="s">
        <v>3702</v>
      </c>
      <c r="O134" t="s">
        <v>3705</v>
      </c>
    </row>
    <row r="135" spans="1:15" x14ac:dyDescent="0.35">
      <c r="A135" t="s">
        <v>148</v>
      </c>
      <c r="B135" t="s">
        <v>1340</v>
      </c>
      <c r="C135" t="s">
        <v>1909</v>
      </c>
      <c r="D135" t="s">
        <v>2616</v>
      </c>
      <c r="E135" t="s">
        <v>3671</v>
      </c>
      <c r="F135">
        <v>37</v>
      </c>
      <c r="G135" t="s">
        <v>3674</v>
      </c>
      <c r="H135" t="s">
        <v>3680</v>
      </c>
      <c r="I135" t="s">
        <v>3691</v>
      </c>
      <c r="J135" t="s">
        <v>3693</v>
      </c>
      <c r="K135" t="s">
        <v>3696</v>
      </c>
      <c r="L135">
        <v>2</v>
      </c>
      <c r="M135">
        <v>58000</v>
      </c>
      <c r="N135" t="s">
        <v>3703</v>
      </c>
      <c r="O135" t="s">
        <v>3707</v>
      </c>
    </row>
    <row r="136" spans="1:15" x14ac:dyDescent="0.35">
      <c r="A136" t="s">
        <v>149</v>
      </c>
      <c r="B136" t="s">
        <v>1339</v>
      </c>
      <c r="C136" t="s">
        <v>1910</v>
      </c>
      <c r="D136" t="s">
        <v>2617</v>
      </c>
      <c r="E136" t="s">
        <v>3671</v>
      </c>
      <c r="F136">
        <v>33</v>
      </c>
      <c r="G136" t="s">
        <v>3679</v>
      </c>
      <c r="H136" t="s">
        <v>3684</v>
      </c>
      <c r="I136" t="s">
        <v>3688</v>
      </c>
      <c r="J136" t="s">
        <v>3694</v>
      </c>
      <c r="K136" t="s">
        <v>3698</v>
      </c>
      <c r="L136">
        <v>2</v>
      </c>
      <c r="M136">
        <v>4500</v>
      </c>
      <c r="N136" t="s">
        <v>3704</v>
      </c>
      <c r="O136" t="s">
        <v>3707</v>
      </c>
    </row>
    <row r="137" spans="1:15" x14ac:dyDescent="0.35">
      <c r="A137" t="s">
        <v>150</v>
      </c>
      <c r="B137" t="s">
        <v>1341</v>
      </c>
      <c r="C137" t="s">
        <v>1911</v>
      </c>
      <c r="D137" t="s">
        <v>2618</v>
      </c>
      <c r="E137" t="s">
        <v>3672</v>
      </c>
      <c r="F137">
        <v>47</v>
      </c>
      <c r="G137" t="s">
        <v>3676</v>
      </c>
      <c r="H137" t="s">
        <v>3682</v>
      </c>
      <c r="I137" t="s">
        <v>3686</v>
      </c>
      <c r="J137" t="s">
        <v>3693</v>
      </c>
      <c r="K137" t="s">
        <v>3696</v>
      </c>
      <c r="L137">
        <v>1</v>
      </c>
      <c r="M137">
        <v>65000</v>
      </c>
      <c r="N137" t="s">
        <v>3701</v>
      </c>
      <c r="O137" t="s">
        <v>3706</v>
      </c>
    </row>
    <row r="138" spans="1:15" x14ac:dyDescent="0.35">
      <c r="A138" t="s">
        <v>151</v>
      </c>
      <c r="B138" t="s">
        <v>1342</v>
      </c>
      <c r="C138" t="s">
        <v>1912</v>
      </c>
      <c r="D138" t="s">
        <v>2619</v>
      </c>
      <c r="E138" t="s">
        <v>3672</v>
      </c>
      <c r="F138">
        <v>43</v>
      </c>
      <c r="G138" t="s">
        <v>3674</v>
      </c>
      <c r="H138" t="s">
        <v>3680</v>
      </c>
      <c r="I138" t="s">
        <v>3685</v>
      </c>
      <c r="J138" t="s">
        <v>3692</v>
      </c>
      <c r="K138" t="s">
        <v>3695</v>
      </c>
      <c r="L138">
        <v>4</v>
      </c>
      <c r="M138">
        <v>12000</v>
      </c>
      <c r="N138" t="s">
        <v>3704</v>
      </c>
      <c r="O138" t="s">
        <v>3706</v>
      </c>
    </row>
    <row r="139" spans="1:15" x14ac:dyDescent="0.35">
      <c r="A139" t="s">
        <v>152</v>
      </c>
      <c r="B139" t="s">
        <v>1343</v>
      </c>
      <c r="C139" t="s">
        <v>1913</v>
      </c>
      <c r="D139" t="s">
        <v>2620</v>
      </c>
      <c r="E139" t="s">
        <v>3671</v>
      </c>
      <c r="F139">
        <v>51</v>
      </c>
      <c r="G139" t="s">
        <v>3673</v>
      </c>
      <c r="H139" t="s">
        <v>3673</v>
      </c>
      <c r="I139" t="s">
        <v>3687</v>
      </c>
      <c r="J139" t="s">
        <v>3693</v>
      </c>
      <c r="K139" t="s">
        <v>3697</v>
      </c>
      <c r="L139">
        <v>3</v>
      </c>
      <c r="M139">
        <v>5000</v>
      </c>
      <c r="N139" t="s">
        <v>3704</v>
      </c>
      <c r="O139" t="s">
        <v>3707</v>
      </c>
    </row>
    <row r="140" spans="1:15" x14ac:dyDescent="0.35">
      <c r="A140" t="s">
        <v>153</v>
      </c>
      <c r="B140" t="s">
        <v>1344</v>
      </c>
      <c r="C140" t="s">
        <v>1914</v>
      </c>
      <c r="D140" t="s">
        <v>2621</v>
      </c>
      <c r="E140" t="s">
        <v>3672</v>
      </c>
      <c r="F140">
        <v>43</v>
      </c>
      <c r="G140" t="s">
        <v>3677</v>
      </c>
      <c r="H140" t="s">
        <v>3680</v>
      </c>
      <c r="I140" t="s">
        <v>3686</v>
      </c>
      <c r="J140" t="s">
        <v>3693</v>
      </c>
      <c r="K140" t="s">
        <v>3696</v>
      </c>
      <c r="L140">
        <v>4</v>
      </c>
      <c r="M140">
        <v>65000</v>
      </c>
      <c r="N140" t="s">
        <v>3702</v>
      </c>
      <c r="O140" t="s">
        <v>3706</v>
      </c>
    </row>
    <row r="141" spans="1:15" x14ac:dyDescent="0.35">
      <c r="A141" t="s">
        <v>154</v>
      </c>
      <c r="B141" t="s">
        <v>1345</v>
      </c>
      <c r="C141" t="s">
        <v>1915</v>
      </c>
      <c r="D141" t="s">
        <v>2622</v>
      </c>
      <c r="E141" t="s">
        <v>3672</v>
      </c>
      <c r="F141">
        <v>30</v>
      </c>
      <c r="G141" t="s">
        <v>3676</v>
      </c>
      <c r="H141" t="s">
        <v>3682</v>
      </c>
      <c r="I141" t="s">
        <v>3687</v>
      </c>
      <c r="J141" t="s">
        <v>3693</v>
      </c>
      <c r="K141" t="s">
        <v>3697</v>
      </c>
      <c r="L141">
        <v>3</v>
      </c>
      <c r="M141">
        <v>5000</v>
      </c>
      <c r="N141" t="s">
        <v>3701</v>
      </c>
      <c r="O141" t="s">
        <v>3706</v>
      </c>
    </row>
    <row r="142" spans="1:15" x14ac:dyDescent="0.35">
      <c r="A142" t="s">
        <v>155</v>
      </c>
      <c r="B142" t="s">
        <v>1346</v>
      </c>
      <c r="C142" t="s">
        <v>1916</v>
      </c>
      <c r="D142" t="s">
        <v>2623</v>
      </c>
      <c r="E142" t="s">
        <v>3671</v>
      </c>
      <c r="F142">
        <v>51</v>
      </c>
      <c r="G142" t="s">
        <v>3678</v>
      </c>
      <c r="H142" t="s">
        <v>3683</v>
      </c>
      <c r="I142" t="s">
        <v>3691</v>
      </c>
      <c r="J142" t="s">
        <v>3693</v>
      </c>
      <c r="K142" t="s">
        <v>3696</v>
      </c>
      <c r="L142">
        <v>4</v>
      </c>
      <c r="M142">
        <v>58000</v>
      </c>
      <c r="N142" t="s">
        <v>3702</v>
      </c>
      <c r="O142" t="s">
        <v>3707</v>
      </c>
    </row>
    <row r="143" spans="1:15" x14ac:dyDescent="0.35">
      <c r="A143" t="s">
        <v>156</v>
      </c>
      <c r="B143" t="s">
        <v>1271</v>
      </c>
      <c r="C143" t="s">
        <v>1907</v>
      </c>
      <c r="D143" t="s">
        <v>2624</v>
      </c>
      <c r="E143" t="s">
        <v>3672</v>
      </c>
      <c r="F143">
        <v>24</v>
      </c>
      <c r="G143" t="s">
        <v>3675</v>
      </c>
      <c r="H143" t="s">
        <v>3681</v>
      </c>
      <c r="I143" t="s">
        <v>3689</v>
      </c>
      <c r="J143" t="s">
        <v>3694</v>
      </c>
      <c r="K143" t="s">
        <v>3699</v>
      </c>
      <c r="L143">
        <v>2</v>
      </c>
      <c r="M143">
        <v>1800</v>
      </c>
      <c r="N143" t="s">
        <v>3701</v>
      </c>
      <c r="O143" t="s">
        <v>3706</v>
      </c>
    </row>
    <row r="144" spans="1:15" x14ac:dyDescent="0.35">
      <c r="A144" t="s">
        <v>157</v>
      </c>
      <c r="B144" t="s">
        <v>1347</v>
      </c>
      <c r="C144" t="s">
        <v>1917</v>
      </c>
      <c r="D144" t="s">
        <v>2625</v>
      </c>
      <c r="E144" t="s">
        <v>3671</v>
      </c>
      <c r="F144">
        <v>32</v>
      </c>
      <c r="G144" t="s">
        <v>3673</v>
      </c>
      <c r="H144" t="s">
        <v>3673</v>
      </c>
      <c r="I144" t="s">
        <v>3686</v>
      </c>
      <c r="J144" t="s">
        <v>3693</v>
      </c>
      <c r="K144" t="s">
        <v>3696</v>
      </c>
      <c r="L144">
        <v>1</v>
      </c>
      <c r="M144">
        <v>65000</v>
      </c>
      <c r="N144" t="s">
        <v>3703</v>
      </c>
      <c r="O144" t="s">
        <v>3706</v>
      </c>
    </row>
    <row r="145" spans="1:15" x14ac:dyDescent="0.35">
      <c r="A145" t="s">
        <v>158</v>
      </c>
      <c r="B145" t="s">
        <v>1348</v>
      </c>
      <c r="C145" t="s">
        <v>1918</v>
      </c>
      <c r="D145" t="s">
        <v>2626</v>
      </c>
      <c r="E145" t="s">
        <v>3671</v>
      </c>
      <c r="F145">
        <v>54</v>
      </c>
      <c r="G145" t="s">
        <v>3673</v>
      </c>
      <c r="H145" t="s">
        <v>3673</v>
      </c>
      <c r="I145" t="s">
        <v>3689</v>
      </c>
      <c r="J145" t="s">
        <v>3694</v>
      </c>
      <c r="K145" t="s">
        <v>3699</v>
      </c>
      <c r="L145">
        <v>5</v>
      </c>
      <c r="M145">
        <v>1800</v>
      </c>
      <c r="N145" t="s">
        <v>3704</v>
      </c>
      <c r="O145" t="s">
        <v>3707</v>
      </c>
    </row>
    <row r="146" spans="1:15" x14ac:dyDescent="0.35">
      <c r="A146" t="s">
        <v>159</v>
      </c>
      <c r="B146" t="s">
        <v>1349</v>
      </c>
      <c r="C146" t="s">
        <v>1919</v>
      </c>
      <c r="D146" t="s">
        <v>2627</v>
      </c>
      <c r="E146" t="s">
        <v>3671</v>
      </c>
      <c r="F146">
        <v>54</v>
      </c>
      <c r="G146" t="s">
        <v>3673</v>
      </c>
      <c r="H146" t="s">
        <v>3673</v>
      </c>
      <c r="I146" t="s">
        <v>3691</v>
      </c>
      <c r="J146" t="s">
        <v>3693</v>
      </c>
      <c r="K146" t="s">
        <v>3696</v>
      </c>
      <c r="L146">
        <v>1</v>
      </c>
      <c r="M146">
        <v>58000</v>
      </c>
      <c r="N146" t="s">
        <v>3704</v>
      </c>
      <c r="O146" t="s">
        <v>3707</v>
      </c>
    </row>
    <row r="147" spans="1:15" x14ac:dyDescent="0.35">
      <c r="A147" t="s">
        <v>160</v>
      </c>
      <c r="B147" t="s">
        <v>1350</v>
      </c>
      <c r="C147" t="s">
        <v>1920</v>
      </c>
      <c r="D147" t="s">
        <v>2628</v>
      </c>
      <c r="E147" t="s">
        <v>3671</v>
      </c>
      <c r="F147">
        <v>53</v>
      </c>
      <c r="G147" t="s">
        <v>3679</v>
      </c>
      <c r="H147" t="s">
        <v>3684</v>
      </c>
      <c r="I147" t="s">
        <v>3686</v>
      </c>
      <c r="J147" t="s">
        <v>3693</v>
      </c>
      <c r="K147" t="s">
        <v>3696</v>
      </c>
      <c r="L147">
        <v>2</v>
      </c>
      <c r="M147">
        <v>65000</v>
      </c>
      <c r="N147" t="s">
        <v>3704</v>
      </c>
      <c r="O147" t="s">
        <v>3705</v>
      </c>
    </row>
    <row r="148" spans="1:15" x14ac:dyDescent="0.35">
      <c r="A148" t="s">
        <v>161</v>
      </c>
      <c r="B148" t="s">
        <v>1351</v>
      </c>
      <c r="C148" t="s">
        <v>1921</v>
      </c>
      <c r="D148" t="s">
        <v>2629</v>
      </c>
      <c r="E148" t="s">
        <v>3671</v>
      </c>
      <c r="F148">
        <v>22</v>
      </c>
      <c r="G148" t="s">
        <v>3676</v>
      </c>
      <c r="H148" t="s">
        <v>3682</v>
      </c>
      <c r="I148" t="s">
        <v>3685</v>
      </c>
      <c r="J148" t="s">
        <v>3692</v>
      </c>
      <c r="K148" t="s">
        <v>3695</v>
      </c>
      <c r="L148">
        <v>3</v>
      </c>
      <c r="M148">
        <v>12000</v>
      </c>
      <c r="N148" t="s">
        <v>3704</v>
      </c>
      <c r="O148" t="s">
        <v>3706</v>
      </c>
    </row>
    <row r="149" spans="1:15" x14ac:dyDescent="0.35">
      <c r="A149" t="s">
        <v>162</v>
      </c>
      <c r="B149" t="s">
        <v>1352</v>
      </c>
      <c r="C149" t="s">
        <v>1922</v>
      </c>
      <c r="D149" t="s">
        <v>2630</v>
      </c>
      <c r="E149" t="s">
        <v>3671</v>
      </c>
      <c r="F149">
        <v>53</v>
      </c>
      <c r="G149" t="s">
        <v>3677</v>
      </c>
      <c r="H149" t="s">
        <v>3680</v>
      </c>
      <c r="I149" t="s">
        <v>3690</v>
      </c>
      <c r="J149" t="s">
        <v>3693</v>
      </c>
      <c r="K149" t="s">
        <v>3700</v>
      </c>
      <c r="L149">
        <v>5</v>
      </c>
      <c r="M149">
        <v>72000</v>
      </c>
      <c r="N149" t="s">
        <v>3704</v>
      </c>
      <c r="O149" t="s">
        <v>3706</v>
      </c>
    </row>
    <row r="150" spans="1:15" x14ac:dyDescent="0.35">
      <c r="A150" t="s">
        <v>163</v>
      </c>
      <c r="B150" t="s">
        <v>1353</v>
      </c>
      <c r="C150" t="s">
        <v>1923</v>
      </c>
      <c r="D150" t="s">
        <v>2631</v>
      </c>
      <c r="E150" t="s">
        <v>3672</v>
      </c>
      <c r="F150">
        <v>19</v>
      </c>
      <c r="G150" t="s">
        <v>3675</v>
      </c>
      <c r="H150" t="s">
        <v>3681</v>
      </c>
      <c r="I150" t="s">
        <v>3688</v>
      </c>
      <c r="J150" t="s">
        <v>3694</v>
      </c>
      <c r="K150" t="s">
        <v>3698</v>
      </c>
      <c r="L150">
        <v>1</v>
      </c>
      <c r="M150">
        <v>4500</v>
      </c>
      <c r="N150" t="s">
        <v>3703</v>
      </c>
      <c r="O150" t="s">
        <v>3707</v>
      </c>
    </row>
    <row r="151" spans="1:15" x14ac:dyDescent="0.35">
      <c r="A151" t="s">
        <v>164</v>
      </c>
      <c r="B151" t="s">
        <v>1354</v>
      </c>
      <c r="C151" t="s">
        <v>1924</v>
      </c>
      <c r="D151" t="s">
        <v>2632</v>
      </c>
      <c r="E151" t="s">
        <v>3672</v>
      </c>
      <c r="F151">
        <v>54</v>
      </c>
      <c r="G151" t="s">
        <v>3673</v>
      </c>
      <c r="H151" t="s">
        <v>3673</v>
      </c>
      <c r="I151" t="s">
        <v>3691</v>
      </c>
      <c r="J151" t="s">
        <v>3693</v>
      </c>
      <c r="K151" t="s">
        <v>3696</v>
      </c>
      <c r="L151">
        <v>1</v>
      </c>
      <c r="M151">
        <v>58000</v>
      </c>
      <c r="N151" t="s">
        <v>3701</v>
      </c>
      <c r="O151" t="s">
        <v>3705</v>
      </c>
    </row>
    <row r="152" spans="1:15" x14ac:dyDescent="0.35">
      <c r="A152" t="s">
        <v>165</v>
      </c>
      <c r="B152" t="s">
        <v>1322</v>
      </c>
      <c r="C152" t="s">
        <v>1925</v>
      </c>
      <c r="D152" t="s">
        <v>2633</v>
      </c>
      <c r="E152" t="s">
        <v>3671</v>
      </c>
      <c r="F152">
        <v>22</v>
      </c>
      <c r="G152" t="s">
        <v>3673</v>
      </c>
      <c r="H152" t="s">
        <v>3673</v>
      </c>
      <c r="I152" t="s">
        <v>3688</v>
      </c>
      <c r="J152" t="s">
        <v>3694</v>
      </c>
      <c r="K152" t="s">
        <v>3698</v>
      </c>
      <c r="L152">
        <v>1</v>
      </c>
      <c r="M152">
        <v>4500</v>
      </c>
      <c r="N152" t="s">
        <v>3701</v>
      </c>
      <c r="O152" t="s">
        <v>3707</v>
      </c>
    </row>
    <row r="153" spans="1:15" x14ac:dyDescent="0.35">
      <c r="A153" t="s">
        <v>166</v>
      </c>
      <c r="B153" t="s">
        <v>1355</v>
      </c>
      <c r="C153" t="s">
        <v>1926</v>
      </c>
      <c r="D153" t="s">
        <v>2634</v>
      </c>
      <c r="E153" t="s">
        <v>3671</v>
      </c>
      <c r="F153">
        <v>25</v>
      </c>
      <c r="G153" t="s">
        <v>3679</v>
      </c>
      <c r="H153" t="s">
        <v>3684</v>
      </c>
      <c r="I153" t="s">
        <v>3687</v>
      </c>
      <c r="J153" t="s">
        <v>3693</v>
      </c>
      <c r="K153" t="s">
        <v>3697</v>
      </c>
      <c r="L153">
        <v>3</v>
      </c>
      <c r="M153">
        <v>5000</v>
      </c>
      <c r="N153" t="s">
        <v>3702</v>
      </c>
      <c r="O153" t="s">
        <v>3707</v>
      </c>
    </row>
    <row r="154" spans="1:15" x14ac:dyDescent="0.35">
      <c r="A154" t="s">
        <v>167</v>
      </c>
      <c r="B154" t="s">
        <v>1356</v>
      </c>
      <c r="C154" t="s">
        <v>1851</v>
      </c>
      <c r="D154" t="s">
        <v>2635</v>
      </c>
      <c r="E154" t="s">
        <v>3672</v>
      </c>
      <c r="F154">
        <v>35</v>
      </c>
      <c r="G154" t="s">
        <v>3678</v>
      </c>
      <c r="H154" t="s">
        <v>3683</v>
      </c>
      <c r="I154" t="s">
        <v>3689</v>
      </c>
      <c r="J154" t="s">
        <v>3694</v>
      </c>
      <c r="K154" t="s">
        <v>3699</v>
      </c>
      <c r="L154">
        <v>5</v>
      </c>
      <c r="M154">
        <v>1800</v>
      </c>
      <c r="N154" t="s">
        <v>3703</v>
      </c>
      <c r="O154" t="s">
        <v>3706</v>
      </c>
    </row>
    <row r="155" spans="1:15" x14ac:dyDescent="0.35">
      <c r="A155" t="s">
        <v>168</v>
      </c>
      <c r="B155" t="s">
        <v>1233</v>
      </c>
      <c r="C155" t="s">
        <v>1927</v>
      </c>
      <c r="D155" t="s">
        <v>2636</v>
      </c>
      <c r="E155" t="s">
        <v>3672</v>
      </c>
      <c r="F155">
        <v>24</v>
      </c>
      <c r="G155" t="s">
        <v>3673</v>
      </c>
      <c r="H155" t="s">
        <v>3673</v>
      </c>
      <c r="I155" t="s">
        <v>3688</v>
      </c>
      <c r="J155" t="s">
        <v>3694</v>
      </c>
      <c r="K155" t="s">
        <v>3698</v>
      </c>
      <c r="L155">
        <v>4</v>
      </c>
      <c r="M155">
        <v>4500</v>
      </c>
      <c r="N155" t="s">
        <v>3703</v>
      </c>
      <c r="O155" t="s">
        <v>3707</v>
      </c>
    </row>
    <row r="156" spans="1:15" x14ac:dyDescent="0.35">
      <c r="A156" t="s">
        <v>169</v>
      </c>
      <c r="B156" t="s">
        <v>1357</v>
      </c>
      <c r="C156" t="s">
        <v>1918</v>
      </c>
      <c r="D156" t="s">
        <v>2637</v>
      </c>
      <c r="E156" t="s">
        <v>3671</v>
      </c>
      <c r="F156">
        <v>38</v>
      </c>
      <c r="G156" t="s">
        <v>3677</v>
      </c>
      <c r="H156" t="s">
        <v>3680</v>
      </c>
      <c r="I156" t="s">
        <v>3688</v>
      </c>
      <c r="J156" t="s">
        <v>3694</v>
      </c>
      <c r="K156" t="s">
        <v>3698</v>
      </c>
      <c r="L156">
        <v>2</v>
      </c>
      <c r="M156">
        <v>4500</v>
      </c>
      <c r="N156" t="s">
        <v>3703</v>
      </c>
      <c r="O156" t="s">
        <v>3706</v>
      </c>
    </row>
    <row r="157" spans="1:15" x14ac:dyDescent="0.35">
      <c r="A157" t="s">
        <v>170</v>
      </c>
      <c r="B157" t="s">
        <v>1358</v>
      </c>
      <c r="C157" t="s">
        <v>1928</v>
      </c>
      <c r="D157" t="s">
        <v>2638</v>
      </c>
      <c r="E157" t="s">
        <v>3672</v>
      </c>
      <c r="F157">
        <v>55</v>
      </c>
      <c r="G157" t="s">
        <v>3674</v>
      </c>
      <c r="H157" t="s">
        <v>3680</v>
      </c>
      <c r="I157" t="s">
        <v>3686</v>
      </c>
      <c r="J157" t="s">
        <v>3693</v>
      </c>
      <c r="K157" t="s">
        <v>3696</v>
      </c>
      <c r="L157">
        <v>5</v>
      </c>
      <c r="M157">
        <v>65000</v>
      </c>
      <c r="N157" t="s">
        <v>3701</v>
      </c>
      <c r="O157" t="s">
        <v>3705</v>
      </c>
    </row>
    <row r="158" spans="1:15" x14ac:dyDescent="0.35">
      <c r="A158" t="s">
        <v>171</v>
      </c>
      <c r="B158" t="s">
        <v>1223</v>
      </c>
      <c r="C158" t="s">
        <v>1929</v>
      </c>
      <c r="D158" t="s">
        <v>2639</v>
      </c>
      <c r="E158" t="s">
        <v>3672</v>
      </c>
      <c r="F158">
        <v>31</v>
      </c>
      <c r="G158" t="s">
        <v>3674</v>
      </c>
      <c r="H158" t="s">
        <v>3680</v>
      </c>
      <c r="I158" t="s">
        <v>3688</v>
      </c>
      <c r="J158" t="s">
        <v>3694</v>
      </c>
      <c r="K158" t="s">
        <v>3698</v>
      </c>
      <c r="L158">
        <v>5</v>
      </c>
      <c r="M158">
        <v>4500</v>
      </c>
      <c r="N158" t="s">
        <v>3702</v>
      </c>
      <c r="O158" t="s">
        <v>3707</v>
      </c>
    </row>
    <row r="159" spans="1:15" x14ac:dyDescent="0.35">
      <c r="A159" t="s">
        <v>172</v>
      </c>
      <c r="B159" t="s">
        <v>1359</v>
      </c>
      <c r="C159" t="s">
        <v>1930</v>
      </c>
      <c r="D159" t="s">
        <v>2640</v>
      </c>
      <c r="E159" t="s">
        <v>3672</v>
      </c>
      <c r="F159">
        <v>35</v>
      </c>
      <c r="G159" t="s">
        <v>3676</v>
      </c>
      <c r="H159" t="s">
        <v>3682</v>
      </c>
      <c r="I159" t="s">
        <v>3687</v>
      </c>
      <c r="J159" t="s">
        <v>3693</v>
      </c>
      <c r="K159" t="s">
        <v>3697</v>
      </c>
      <c r="L159">
        <v>4</v>
      </c>
      <c r="M159">
        <v>5000</v>
      </c>
      <c r="N159" t="s">
        <v>3702</v>
      </c>
      <c r="O159" t="s">
        <v>3707</v>
      </c>
    </row>
    <row r="160" spans="1:15" x14ac:dyDescent="0.35">
      <c r="A160" t="s">
        <v>173</v>
      </c>
      <c r="B160" t="s">
        <v>1360</v>
      </c>
      <c r="C160" t="s">
        <v>1931</v>
      </c>
      <c r="D160" t="s">
        <v>2641</v>
      </c>
      <c r="E160" t="s">
        <v>3672</v>
      </c>
      <c r="F160">
        <v>56</v>
      </c>
      <c r="G160" t="s">
        <v>3677</v>
      </c>
      <c r="H160" t="s">
        <v>3680</v>
      </c>
      <c r="I160" t="s">
        <v>3688</v>
      </c>
      <c r="J160" t="s">
        <v>3694</v>
      </c>
      <c r="K160" t="s">
        <v>3698</v>
      </c>
      <c r="L160">
        <v>2</v>
      </c>
      <c r="M160">
        <v>4500</v>
      </c>
      <c r="N160" t="s">
        <v>3704</v>
      </c>
      <c r="O160" t="s">
        <v>3705</v>
      </c>
    </row>
    <row r="161" spans="1:15" x14ac:dyDescent="0.35">
      <c r="A161" t="s">
        <v>174</v>
      </c>
      <c r="B161" t="s">
        <v>1361</v>
      </c>
      <c r="C161" t="s">
        <v>1844</v>
      </c>
      <c r="D161" t="s">
        <v>2642</v>
      </c>
      <c r="E161" t="s">
        <v>3671</v>
      </c>
      <c r="F161">
        <v>21</v>
      </c>
      <c r="G161" t="s">
        <v>3678</v>
      </c>
      <c r="H161" t="s">
        <v>3683</v>
      </c>
      <c r="I161" t="s">
        <v>3689</v>
      </c>
      <c r="J161" t="s">
        <v>3694</v>
      </c>
      <c r="K161" t="s">
        <v>3699</v>
      </c>
      <c r="L161">
        <v>3</v>
      </c>
      <c r="M161">
        <v>1800</v>
      </c>
      <c r="N161" t="s">
        <v>3703</v>
      </c>
      <c r="O161" t="s">
        <v>3707</v>
      </c>
    </row>
    <row r="162" spans="1:15" x14ac:dyDescent="0.35">
      <c r="A162" t="s">
        <v>175</v>
      </c>
      <c r="B162" t="s">
        <v>1355</v>
      </c>
      <c r="C162" t="s">
        <v>1932</v>
      </c>
      <c r="D162" t="s">
        <v>2643</v>
      </c>
      <c r="E162" t="s">
        <v>3671</v>
      </c>
      <c r="F162">
        <v>23</v>
      </c>
      <c r="G162" t="s">
        <v>3679</v>
      </c>
      <c r="H162" t="s">
        <v>3684</v>
      </c>
      <c r="I162" t="s">
        <v>3691</v>
      </c>
      <c r="J162" t="s">
        <v>3693</v>
      </c>
      <c r="K162" t="s">
        <v>3696</v>
      </c>
      <c r="L162">
        <v>2</v>
      </c>
      <c r="M162">
        <v>58000</v>
      </c>
      <c r="N162" t="s">
        <v>3702</v>
      </c>
      <c r="O162" t="s">
        <v>3706</v>
      </c>
    </row>
    <row r="163" spans="1:15" x14ac:dyDescent="0.35">
      <c r="A163" t="s">
        <v>176</v>
      </c>
      <c r="B163" t="s">
        <v>1362</v>
      </c>
      <c r="C163" t="s">
        <v>1933</v>
      </c>
      <c r="D163" t="s">
        <v>2644</v>
      </c>
      <c r="E163" t="s">
        <v>3672</v>
      </c>
      <c r="F163">
        <v>23</v>
      </c>
      <c r="G163" t="s">
        <v>3678</v>
      </c>
      <c r="H163" t="s">
        <v>3683</v>
      </c>
      <c r="I163" t="s">
        <v>3691</v>
      </c>
      <c r="J163" t="s">
        <v>3693</v>
      </c>
      <c r="K163" t="s">
        <v>3696</v>
      </c>
      <c r="L163">
        <v>2</v>
      </c>
      <c r="M163">
        <v>58000</v>
      </c>
      <c r="N163" t="s">
        <v>3701</v>
      </c>
      <c r="O163" t="s">
        <v>3705</v>
      </c>
    </row>
    <row r="164" spans="1:15" x14ac:dyDescent="0.35">
      <c r="A164" t="s">
        <v>177</v>
      </c>
      <c r="B164" t="s">
        <v>1363</v>
      </c>
      <c r="C164" t="s">
        <v>1934</v>
      </c>
      <c r="D164" t="s">
        <v>2645</v>
      </c>
      <c r="E164" t="s">
        <v>3672</v>
      </c>
      <c r="F164">
        <v>26</v>
      </c>
      <c r="G164" t="s">
        <v>3676</v>
      </c>
      <c r="H164" t="s">
        <v>3682</v>
      </c>
      <c r="I164" t="s">
        <v>3691</v>
      </c>
      <c r="J164" t="s">
        <v>3693</v>
      </c>
      <c r="K164" t="s">
        <v>3696</v>
      </c>
      <c r="L164">
        <v>4</v>
      </c>
      <c r="M164">
        <v>58000</v>
      </c>
      <c r="N164" t="s">
        <v>3704</v>
      </c>
      <c r="O164" t="s">
        <v>3705</v>
      </c>
    </row>
    <row r="165" spans="1:15" x14ac:dyDescent="0.35">
      <c r="A165" t="s">
        <v>178</v>
      </c>
      <c r="B165" t="s">
        <v>1364</v>
      </c>
      <c r="C165" t="s">
        <v>1796</v>
      </c>
      <c r="D165" t="s">
        <v>2646</v>
      </c>
      <c r="E165" t="s">
        <v>3671</v>
      </c>
      <c r="F165">
        <v>23</v>
      </c>
      <c r="G165" t="s">
        <v>3677</v>
      </c>
      <c r="H165" t="s">
        <v>3680</v>
      </c>
      <c r="I165" t="s">
        <v>3691</v>
      </c>
      <c r="J165" t="s">
        <v>3693</v>
      </c>
      <c r="K165" t="s">
        <v>3696</v>
      </c>
      <c r="L165">
        <v>5</v>
      </c>
      <c r="M165">
        <v>58000</v>
      </c>
      <c r="N165" t="s">
        <v>3702</v>
      </c>
      <c r="O165" t="s">
        <v>3707</v>
      </c>
    </row>
    <row r="166" spans="1:15" x14ac:dyDescent="0.35">
      <c r="A166" t="s">
        <v>179</v>
      </c>
      <c r="B166" t="s">
        <v>1365</v>
      </c>
      <c r="C166" t="s">
        <v>1842</v>
      </c>
      <c r="D166" t="s">
        <v>2647</v>
      </c>
      <c r="E166" t="s">
        <v>3671</v>
      </c>
      <c r="F166">
        <v>22</v>
      </c>
      <c r="G166" t="s">
        <v>3677</v>
      </c>
      <c r="H166" t="s">
        <v>3680</v>
      </c>
      <c r="I166" t="s">
        <v>3685</v>
      </c>
      <c r="J166" t="s">
        <v>3692</v>
      </c>
      <c r="K166" t="s">
        <v>3695</v>
      </c>
      <c r="L166">
        <v>3</v>
      </c>
      <c r="M166">
        <v>12000</v>
      </c>
      <c r="N166" t="s">
        <v>3703</v>
      </c>
      <c r="O166" t="s">
        <v>3706</v>
      </c>
    </row>
    <row r="167" spans="1:15" x14ac:dyDescent="0.35">
      <c r="A167" t="s">
        <v>180</v>
      </c>
      <c r="B167" t="s">
        <v>1366</v>
      </c>
      <c r="C167" t="s">
        <v>1829</v>
      </c>
      <c r="D167" t="s">
        <v>2648</v>
      </c>
      <c r="E167" t="s">
        <v>3671</v>
      </c>
      <c r="F167">
        <v>36</v>
      </c>
      <c r="G167" t="s">
        <v>3674</v>
      </c>
      <c r="H167" t="s">
        <v>3680</v>
      </c>
      <c r="I167" t="s">
        <v>3685</v>
      </c>
      <c r="J167" t="s">
        <v>3692</v>
      </c>
      <c r="K167" t="s">
        <v>3695</v>
      </c>
      <c r="L167">
        <v>3</v>
      </c>
      <c r="M167">
        <v>12000</v>
      </c>
      <c r="N167" t="s">
        <v>3704</v>
      </c>
      <c r="O167" t="s">
        <v>3705</v>
      </c>
    </row>
    <row r="168" spans="1:15" x14ac:dyDescent="0.35">
      <c r="A168" t="s">
        <v>181</v>
      </c>
      <c r="B168" t="s">
        <v>1367</v>
      </c>
      <c r="C168" t="s">
        <v>1935</v>
      </c>
      <c r="D168" t="s">
        <v>2649</v>
      </c>
      <c r="E168" t="s">
        <v>3672</v>
      </c>
      <c r="F168">
        <v>27</v>
      </c>
      <c r="G168" t="s">
        <v>3679</v>
      </c>
      <c r="H168" t="s">
        <v>3684</v>
      </c>
      <c r="I168" t="s">
        <v>3689</v>
      </c>
      <c r="J168" t="s">
        <v>3694</v>
      </c>
      <c r="K168" t="s">
        <v>3699</v>
      </c>
      <c r="L168">
        <v>1</v>
      </c>
      <c r="M168">
        <v>1800</v>
      </c>
      <c r="N168" t="s">
        <v>3703</v>
      </c>
      <c r="O168" t="s">
        <v>3706</v>
      </c>
    </row>
    <row r="169" spans="1:15" x14ac:dyDescent="0.35">
      <c r="A169" t="s">
        <v>182</v>
      </c>
      <c r="B169" t="s">
        <v>1368</v>
      </c>
      <c r="C169" t="s">
        <v>1936</v>
      </c>
      <c r="D169" t="s">
        <v>2650</v>
      </c>
      <c r="E169" t="s">
        <v>3671</v>
      </c>
      <c r="F169">
        <v>43</v>
      </c>
      <c r="G169" t="s">
        <v>3677</v>
      </c>
      <c r="H169" t="s">
        <v>3680</v>
      </c>
      <c r="I169" t="s">
        <v>3687</v>
      </c>
      <c r="J169" t="s">
        <v>3693</v>
      </c>
      <c r="K169" t="s">
        <v>3697</v>
      </c>
      <c r="L169">
        <v>5</v>
      </c>
      <c r="M169">
        <v>5000</v>
      </c>
      <c r="N169" t="s">
        <v>3701</v>
      </c>
      <c r="O169" t="s">
        <v>3706</v>
      </c>
    </row>
    <row r="170" spans="1:15" x14ac:dyDescent="0.35">
      <c r="A170" t="s">
        <v>183</v>
      </c>
      <c r="B170" t="s">
        <v>1369</v>
      </c>
      <c r="C170" t="s">
        <v>1937</v>
      </c>
      <c r="D170" t="s">
        <v>2651</v>
      </c>
      <c r="E170" t="s">
        <v>3672</v>
      </c>
      <c r="F170">
        <v>29</v>
      </c>
      <c r="G170" t="s">
        <v>3679</v>
      </c>
      <c r="H170" t="s">
        <v>3684</v>
      </c>
      <c r="I170" t="s">
        <v>3687</v>
      </c>
      <c r="J170" t="s">
        <v>3693</v>
      </c>
      <c r="K170" t="s">
        <v>3697</v>
      </c>
      <c r="L170">
        <v>4</v>
      </c>
      <c r="M170">
        <v>5000</v>
      </c>
      <c r="N170" t="s">
        <v>3704</v>
      </c>
      <c r="O170" t="s">
        <v>3707</v>
      </c>
    </row>
    <row r="171" spans="1:15" x14ac:dyDescent="0.35">
      <c r="A171" t="s">
        <v>184</v>
      </c>
      <c r="B171" t="s">
        <v>1370</v>
      </c>
      <c r="C171" t="s">
        <v>1794</v>
      </c>
      <c r="D171" t="s">
        <v>2652</v>
      </c>
      <c r="E171" t="s">
        <v>3671</v>
      </c>
      <c r="F171">
        <v>59</v>
      </c>
      <c r="G171" t="s">
        <v>3677</v>
      </c>
      <c r="H171" t="s">
        <v>3680</v>
      </c>
      <c r="I171" t="s">
        <v>3688</v>
      </c>
      <c r="J171" t="s">
        <v>3694</v>
      </c>
      <c r="K171" t="s">
        <v>3698</v>
      </c>
      <c r="L171">
        <v>3</v>
      </c>
      <c r="M171">
        <v>4500</v>
      </c>
      <c r="N171" t="s">
        <v>3703</v>
      </c>
      <c r="O171" t="s">
        <v>3707</v>
      </c>
    </row>
    <row r="172" spans="1:15" x14ac:dyDescent="0.35">
      <c r="A172" t="s">
        <v>185</v>
      </c>
      <c r="B172" t="s">
        <v>1371</v>
      </c>
      <c r="C172" t="s">
        <v>1829</v>
      </c>
      <c r="D172" t="s">
        <v>2653</v>
      </c>
      <c r="E172" t="s">
        <v>3671</v>
      </c>
      <c r="F172">
        <v>33</v>
      </c>
      <c r="G172" t="s">
        <v>3677</v>
      </c>
      <c r="H172" t="s">
        <v>3680</v>
      </c>
      <c r="I172" t="s">
        <v>3690</v>
      </c>
      <c r="J172" t="s">
        <v>3693</v>
      </c>
      <c r="K172" t="s">
        <v>3700</v>
      </c>
      <c r="L172">
        <v>5</v>
      </c>
      <c r="M172">
        <v>72000</v>
      </c>
      <c r="N172" t="s">
        <v>3704</v>
      </c>
      <c r="O172" t="s">
        <v>3705</v>
      </c>
    </row>
    <row r="173" spans="1:15" x14ac:dyDescent="0.35">
      <c r="A173" t="s">
        <v>186</v>
      </c>
      <c r="B173" t="s">
        <v>1350</v>
      </c>
      <c r="C173" t="s">
        <v>1938</v>
      </c>
      <c r="D173" t="s">
        <v>2654</v>
      </c>
      <c r="E173" t="s">
        <v>3672</v>
      </c>
      <c r="F173">
        <v>21</v>
      </c>
      <c r="G173" t="s">
        <v>3675</v>
      </c>
      <c r="H173" t="s">
        <v>3681</v>
      </c>
      <c r="I173" t="s">
        <v>3688</v>
      </c>
      <c r="J173" t="s">
        <v>3694</v>
      </c>
      <c r="K173" t="s">
        <v>3698</v>
      </c>
      <c r="L173">
        <v>3</v>
      </c>
      <c r="M173">
        <v>4500</v>
      </c>
      <c r="N173" t="s">
        <v>3702</v>
      </c>
      <c r="O173" t="s">
        <v>3706</v>
      </c>
    </row>
    <row r="174" spans="1:15" x14ac:dyDescent="0.35">
      <c r="A174" t="s">
        <v>187</v>
      </c>
      <c r="B174" t="s">
        <v>1372</v>
      </c>
      <c r="C174" t="s">
        <v>1939</v>
      </c>
      <c r="D174" t="s">
        <v>2655</v>
      </c>
      <c r="E174" t="s">
        <v>3672</v>
      </c>
      <c r="F174">
        <v>45</v>
      </c>
      <c r="G174" t="s">
        <v>3676</v>
      </c>
      <c r="H174" t="s">
        <v>3682</v>
      </c>
      <c r="I174" t="s">
        <v>3685</v>
      </c>
      <c r="J174" t="s">
        <v>3692</v>
      </c>
      <c r="K174" t="s">
        <v>3695</v>
      </c>
      <c r="L174">
        <v>1</v>
      </c>
      <c r="M174">
        <v>12000</v>
      </c>
      <c r="N174" t="s">
        <v>3703</v>
      </c>
      <c r="O174" t="s">
        <v>3706</v>
      </c>
    </row>
    <row r="175" spans="1:15" x14ac:dyDescent="0.35">
      <c r="A175" t="s">
        <v>188</v>
      </c>
      <c r="B175" t="s">
        <v>1284</v>
      </c>
      <c r="C175" t="s">
        <v>1803</v>
      </c>
      <c r="D175" t="s">
        <v>2656</v>
      </c>
      <c r="E175" t="s">
        <v>3672</v>
      </c>
      <c r="F175">
        <v>22</v>
      </c>
      <c r="G175" t="s">
        <v>3673</v>
      </c>
      <c r="H175" t="s">
        <v>3673</v>
      </c>
      <c r="I175" t="s">
        <v>3686</v>
      </c>
      <c r="J175" t="s">
        <v>3693</v>
      </c>
      <c r="K175" t="s">
        <v>3696</v>
      </c>
      <c r="L175">
        <v>1</v>
      </c>
      <c r="M175">
        <v>65000</v>
      </c>
      <c r="N175" t="s">
        <v>3702</v>
      </c>
      <c r="O175" t="s">
        <v>3705</v>
      </c>
    </row>
    <row r="176" spans="1:15" x14ac:dyDescent="0.35">
      <c r="A176" t="s">
        <v>189</v>
      </c>
      <c r="B176" t="s">
        <v>1373</v>
      </c>
      <c r="C176" t="s">
        <v>1940</v>
      </c>
      <c r="D176" t="s">
        <v>2657</v>
      </c>
      <c r="E176" t="s">
        <v>3672</v>
      </c>
      <c r="F176">
        <v>28</v>
      </c>
      <c r="G176" t="s">
        <v>3674</v>
      </c>
      <c r="H176" t="s">
        <v>3680</v>
      </c>
      <c r="I176" t="s">
        <v>3688</v>
      </c>
      <c r="J176" t="s">
        <v>3694</v>
      </c>
      <c r="K176" t="s">
        <v>3698</v>
      </c>
      <c r="L176">
        <v>2</v>
      </c>
      <c r="M176">
        <v>4500</v>
      </c>
      <c r="N176" t="s">
        <v>3702</v>
      </c>
      <c r="O176" t="s">
        <v>3705</v>
      </c>
    </row>
    <row r="177" spans="1:15" x14ac:dyDescent="0.35">
      <c r="A177" t="s">
        <v>190</v>
      </c>
      <c r="B177" t="s">
        <v>1374</v>
      </c>
      <c r="C177" t="s">
        <v>1941</v>
      </c>
      <c r="D177" t="s">
        <v>2658</v>
      </c>
      <c r="E177" t="s">
        <v>3671</v>
      </c>
      <c r="F177">
        <v>55</v>
      </c>
      <c r="G177" t="s">
        <v>3676</v>
      </c>
      <c r="H177" t="s">
        <v>3682</v>
      </c>
      <c r="I177" t="s">
        <v>3689</v>
      </c>
      <c r="J177" t="s">
        <v>3694</v>
      </c>
      <c r="K177" t="s">
        <v>3699</v>
      </c>
      <c r="L177">
        <v>2</v>
      </c>
      <c r="M177">
        <v>1800</v>
      </c>
      <c r="N177" t="s">
        <v>3703</v>
      </c>
      <c r="O177" t="s">
        <v>3707</v>
      </c>
    </row>
    <row r="178" spans="1:15" x14ac:dyDescent="0.35">
      <c r="A178" t="s">
        <v>191</v>
      </c>
      <c r="B178" t="s">
        <v>1375</v>
      </c>
      <c r="C178" t="s">
        <v>1942</v>
      </c>
      <c r="D178" t="s">
        <v>2659</v>
      </c>
      <c r="E178" t="s">
        <v>3672</v>
      </c>
      <c r="F178">
        <v>51</v>
      </c>
      <c r="G178" t="s">
        <v>3674</v>
      </c>
      <c r="H178" t="s">
        <v>3680</v>
      </c>
      <c r="I178" t="s">
        <v>3685</v>
      </c>
      <c r="J178" t="s">
        <v>3692</v>
      </c>
      <c r="K178" t="s">
        <v>3695</v>
      </c>
      <c r="L178">
        <v>1</v>
      </c>
      <c r="M178">
        <v>12000</v>
      </c>
      <c r="N178" t="s">
        <v>3702</v>
      </c>
      <c r="O178" t="s">
        <v>3707</v>
      </c>
    </row>
    <row r="179" spans="1:15" x14ac:dyDescent="0.35">
      <c r="A179" t="s">
        <v>192</v>
      </c>
      <c r="B179" t="s">
        <v>1376</v>
      </c>
      <c r="C179" t="s">
        <v>1888</v>
      </c>
      <c r="D179" t="s">
        <v>2660</v>
      </c>
      <c r="E179" t="s">
        <v>3671</v>
      </c>
      <c r="F179">
        <v>54</v>
      </c>
      <c r="G179" t="s">
        <v>3674</v>
      </c>
      <c r="H179" t="s">
        <v>3680</v>
      </c>
      <c r="I179" t="s">
        <v>3690</v>
      </c>
      <c r="J179" t="s">
        <v>3693</v>
      </c>
      <c r="K179" t="s">
        <v>3700</v>
      </c>
      <c r="L179">
        <v>2</v>
      </c>
      <c r="M179">
        <v>72000</v>
      </c>
      <c r="N179" t="s">
        <v>3702</v>
      </c>
      <c r="O179" t="s">
        <v>3705</v>
      </c>
    </row>
    <row r="180" spans="1:15" x14ac:dyDescent="0.35">
      <c r="A180" t="s">
        <v>193</v>
      </c>
      <c r="B180" t="s">
        <v>1315</v>
      </c>
      <c r="C180" t="s">
        <v>1943</v>
      </c>
      <c r="D180" t="s">
        <v>2661</v>
      </c>
      <c r="E180" t="s">
        <v>3671</v>
      </c>
      <c r="F180">
        <v>42</v>
      </c>
      <c r="G180" t="s">
        <v>3677</v>
      </c>
      <c r="H180" t="s">
        <v>3680</v>
      </c>
      <c r="I180" t="s">
        <v>3691</v>
      </c>
      <c r="J180" t="s">
        <v>3693</v>
      </c>
      <c r="K180" t="s">
        <v>3696</v>
      </c>
      <c r="L180">
        <v>3</v>
      </c>
      <c r="M180">
        <v>58000</v>
      </c>
      <c r="N180" t="s">
        <v>3704</v>
      </c>
      <c r="O180" t="s">
        <v>3706</v>
      </c>
    </row>
    <row r="181" spans="1:15" x14ac:dyDescent="0.35">
      <c r="A181" t="s">
        <v>194</v>
      </c>
      <c r="B181" t="s">
        <v>1377</v>
      </c>
      <c r="C181" t="s">
        <v>1920</v>
      </c>
      <c r="D181" t="s">
        <v>2662</v>
      </c>
      <c r="E181" t="s">
        <v>3672</v>
      </c>
      <c r="F181">
        <v>47</v>
      </c>
      <c r="G181" t="s">
        <v>3673</v>
      </c>
      <c r="H181" t="s">
        <v>3673</v>
      </c>
      <c r="I181" t="s">
        <v>3686</v>
      </c>
      <c r="J181" t="s">
        <v>3693</v>
      </c>
      <c r="K181" t="s">
        <v>3696</v>
      </c>
      <c r="L181">
        <v>4</v>
      </c>
      <c r="M181">
        <v>65000</v>
      </c>
      <c r="N181" t="s">
        <v>3703</v>
      </c>
      <c r="O181" t="s">
        <v>3706</v>
      </c>
    </row>
    <row r="182" spans="1:15" x14ac:dyDescent="0.35">
      <c r="A182" t="s">
        <v>195</v>
      </c>
      <c r="B182" t="s">
        <v>1378</v>
      </c>
      <c r="C182" t="s">
        <v>1944</v>
      </c>
      <c r="D182" t="s">
        <v>2663</v>
      </c>
      <c r="E182" t="s">
        <v>3672</v>
      </c>
      <c r="F182">
        <v>25</v>
      </c>
      <c r="G182" t="s">
        <v>3674</v>
      </c>
      <c r="H182" t="s">
        <v>3680</v>
      </c>
      <c r="I182" t="s">
        <v>3685</v>
      </c>
      <c r="J182" t="s">
        <v>3692</v>
      </c>
      <c r="K182" t="s">
        <v>3695</v>
      </c>
      <c r="L182">
        <v>3</v>
      </c>
      <c r="M182">
        <v>12000</v>
      </c>
      <c r="N182" t="s">
        <v>3703</v>
      </c>
      <c r="O182" t="s">
        <v>3705</v>
      </c>
    </row>
    <row r="183" spans="1:15" x14ac:dyDescent="0.35">
      <c r="A183" t="s">
        <v>196</v>
      </c>
      <c r="B183" t="s">
        <v>1379</v>
      </c>
      <c r="C183" t="s">
        <v>1906</v>
      </c>
      <c r="D183" t="s">
        <v>2664</v>
      </c>
      <c r="E183" t="s">
        <v>3671</v>
      </c>
      <c r="F183">
        <v>21</v>
      </c>
      <c r="G183" t="s">
        <v>3675</v>
      </c>
      <c r="H183" t="s">
        <v>3681</v>
      </c>
      <c r="I183" t="s">
        <v>3689</v>
      </c>
      <c r="J183" t="s">
        <v>3694</v>
      </c>
      <c r="K183" t="s">
        <v>3699</v>
      </c>
      <c r="L183">
        <v>1</v>
      </c>
      <c r="M183">
        <v>1800</v>
      </c>
      <c r="N183" t="s">
        <v>3701</v>
      </c>
      <c r="O183" t="s">
        <v>3705</v>
      </c>
    </row>
    <row r="184" spans="1:15" x14ac:dyDescent="0.35">
      <c r="A184" t="s">
        <v>197</v>
      </c>
      <c r="B184" t="s">
        <v>1380</v>
      </c>
      <c r="C184" t="s">
        <v>1829</v>
      </c>
      <c r="D184" t="s">
        <v>2665</v>
      </c>
      <c r="E184" t="s">
        <v>3671</v>
      </c>
      <c r="F184">
        <v>21</v>
      </c>
      <c r="G184" t="s">
        <v>3679</v>
      </c>
      <c r="H184" t="s">
        <v>3684</v>
      </c>
      <c r="I184" t="s">
        <v>3685</v>
      </c>
      <c r="J184" t="s">
        <v>3692</v>
      </c>
      <c r="K184" t="s">
        <v>3695</v>
      </c>
      <c r="L184">
        <v>1</v>
      </c>
      <c r="M184">
        <v>12000</v>
      </c>
      <c r="N184" t="s">
        <v>3703</v>
      </c>
      <c r="O184" t="s">
        <v>3705</v>
      </c>
    </row>
    <row r="185" spans="1:15" x14ac:dyDescent="0.35">
      <c r="A185" t="s">
        <v>198</v>
      </c>
      <c r="B185" t="s">
        <v>1381</v>
      </c>
      <c r="C185" t="s">
        <v>1873</v>
      </c>
      <c r="D185" t="s">
        <v>2666</v>
      </c>
      <c r="E185" t="s">
        <v>3672</v>
      </c>
      <c r="F185">
        <v>19</v>
      </c>
      <c r="G185" t="s">
        <v>3676</v>
      </c>
      <c r="H185" t="s">
        <v>3682</v>
      </c>
      <c r="I185" t="s">
        <v>3685</v>
      </c>
      <c r="J185" t="s">
        <v>3692</v>
      </c>
      <c r="K185" t="s">
        <v>3695</v>
      </c>
      <c r="L185">
        <v>5</v>
      </c>
      <c r="M185">
        <v>12000</v>
      </c>
      <c r="N185" t="s">
        <v>3701</v>
      </c>
      <c r="O185" t="s">
        <v>3707</v>
      </c>
    </row>
    <row r="186" spans="1:15" x14ac:dyDescent="0.35">
      <c r="A186" t="s">
        <v>199</v>
      </c>
      <c r="B186" t="s">
        <v>1325</v>
      </c>
      <c r="C186" t="s">
        <v>1897</v>
      </c>
      <c r="D186" t="s">
        <v>2667</v>
      </c>
      <c r="E186" t="s">
        <v>3671</v>
      </c>
      <c r="F186">
        <v>50</v>
      </c>
      <c r="G186" t="s">
        <v>3676</v>
      </c>
      <c r="H186" t="s">
        <v>3682</v>
      </c>
      <c r="I186" t="s">
        <v>3690</v>
      </c>
      <c r="J186" t="s">
        <v>3693</v>
      </c>
      <c r="K186" t="s">
        <v>3700</v>
      </c>
      <c r="L186">
        <v>2</v>
      </c>
      <c r="M186">
        <v>72000</v>
      </c>
      <c r="N186" t="s">
        <v>3701</v>
      </c>
      <c r="O186" t="s">
        <v>3705</v>
      </c>
    </row>
    <row r="187" spans="1:15" x14ac:dyDescent="0.35">
      <c r="A187" t="s">
        <v>200</v>
      </c>
      <c r="B187" t="s">
        <v>1240</v>
      </c>
      <c r="C187" t="s">
        <v>1945</v>
      </c>
      <c r="D187" t="s">
        <v>2668</v>
      </c>
      <c r="E187" t="s">
        <v>3672</v>
      </c>
      <c r="F187">
        <v>21</v>
      </c>
      <c r="G187" t="s">
        <v>3676</v>
      </c>
      <c r="H187" t="s">
        <v>3682</v>
      </c>
      <c r="I187" t="s">
        <v>3689</v>
      </c>
      <c r="J187" t="s">
        <v>3694</v>
      </c>
      <c r="K187" t="s">
        <v>3699</v>
      </c>
      <c r="L187">
        <v>3</v>
      </c>
      <c r="M187">
        <v>1800</v>
      </c>
      <c r="N187" t="s">
        <v>3704</v>
      </c>
      <c r="O187" t="s">
        <v>3706</v>
      </c>
    </row>
    <row r="188" spans="1:15" x14ac:dyDescent="0.35">
      <c r="A188" t="s">
        <v>201</v>
      </c>
      <c r="B188" t="s">
        <v>1382</v>
      </c>
      <c r="C188" t="s">
        <v>1946</v>
      </c>
      <c r="D188" t="s">
        <v>2669</v>
      </c>
      <c r="E188" t="s">
        <v>3672</v>
      </c>
      <c r="F188">
        <v>41</v>
      </c>
      <c r="G188" t="s">
        <v>3674</v>
      </c>
      <c r="H188" t="s">
        <v>3680</v>
      </c>
      <c r="I188" t="s">
        <v>3690</v>
      </c>
      <c r="J188" t="s">
        <v>3693</v>
      </c>
      <c r="K188" t="s">
        <v>3700</v>
      </c>
      <c r="L188">
        <v>2</v>
      </c>
      <c r="M188">
        <v>72000</v>
      </c>
      <c r="N188" t="s">
        <v>3701</v>
      </c>
      <c r="O188" t="s">
        <v>3706</v>
      </c>
    </row>
    <row r="189" spans="1:15" x14ac:dyDescent="0.35">
      <c r="A189" t="s">
        <v>202</v>
      </c>
      <c r="B189" t="s">
        <v>1383</v>
      </c>
      <c r="C189" t="s">
        <v>1947</v>
      </c>
      <c r="D189" t="s">
        <v>2670</v>
      </c>
      <c r="E189" t="s">
        <v>3671</v>
      </c>
      <c r="F189">
        <v>56</v>
      </c>
      <c r="G189" t="s">
        <v>3678</v>
      </c>
      <c r="H189" t="s">
        <v>3683</v>
      </c>
      <c r="I189" t="s">
        <v>3690</v>
      </c>
      <c r="J189" t="s">
        <v>3693</v>
      </c>
      <c r="K189" t="s">
        <v>3700</v>
      </c>
      <c r="L189">
        <v>5</v>
      </c>
      <c r="M189">
        <v>72000</v>
      </c>
      <c r="N189" t="s">
        <v>3701</v>
      </c>
      <c r="O189" t="s">
        <v>3706</v>
      </c>
    </row>
    <row r="190" spans="1:15" x14ac:dyDescent="0.35">
      <c r="A190" t="s">
        <v>203</v>
      </c>
      <c r="B190" t="s">
        <v>1244</v>
      </c>
      <c r="C190" t="s">
        <v>1948</v>
      </c>
      <c r="D190" t="s">
        <v>2671</v>
      </c>
      <c r="E190" t="s">
        <v>3672</v>
      </c>
      <c r="F190">
        <v>48</v>
      </c>
      <c r="G190" t="s">
        <v>3673</v>
      </c>
      <c r="H190" t="s">
        <v>3673</v>
      </c>
      <c r="I190" t="s">
        <v>3689</v>
      </c>
      <c r="J190" t="s">
        <v>3694</v>
      </c>
      <c r="K190" t="s">
        <v>3699</v>
      </c>
      <c r="L190">
        <v>1</v>
      </c>
      <c r="M190">
        <v>1800</v>
      </c>
      <c r="N190" t="s">
        <v>3701</v>
      </c>
      <c r="O190" t="s">
        <v>3705</v>
      </c>
    </row>
    <row r="191" spans="1:15" x14ac:dyDescent="0.35">
      <c r="A191" t="s">
        <v>204</v>
      </c>
      <c r="B191" t="s">
        <v>1384</v>
      </c>
      <c r="C191" t="s">
        <v>1949</v>
      </c>
      <c r="D191" t="s">
        <v>2672</v>
      </c>
      <c r="E191" t="s">
        <v>3671</v>
      </c>
      <c r="F191">
        <v>51</v>
      </c>
      <c r="G191" t="s">
        <v>3676</v>
      </c>
      <c r="H191" t="s">
        <v>3682</v>
      </c>
      <c r="I191" t="s">
        <v>3687</v>
      </c>
      <c r="J191" t="s">
        <v>3693</v>
      </c>
      <c r="K191" t="s">
        <v>3697</v>
      </c>
      <c r="L191">
        <v>1</v>
      </c>
      <c r="M191">
        <v>5000</v>
      </c>
      <c r="N191" t="s">
        <v>3701</v>
      </c>
      <c r="O191" t="s">
        <v>3706</v>
      </c>
    </row>
    <row r="192" spans="1:15" x14ac:dyDescent="0.35">
      <c r="A192" t="s">
        <v>205</v>
      </c>
      <c r="B192" t="s">
        <v>1385</v>
      </c>
      <c r="C192" t="s">
        <v>1950</v>
      </c>
      <c r="D192" t="s">
        <v>2673</v>
      </c>
      <c r="E192" t="s">
        <v>3672</v>
      </c>
      <c r="F192">
        <v>48</v>
      </c>
      <c r="G192" t="s">
        <v>3674</v>
      </c>
      <c r="H192" t="s">
        <v>3680</v>
      </c>
      <c r="I192" t="s">
        <v>3689</v>
      </c>
      <c r="J192" t="s">
        <v>3694</v>
      </c>
      <c r="K192" t="s">
        <v>3699</v>
      </c>
      <c r="L192">
        <v>4</v>
      </c>
      <c r="M192">
        <v>1800</v>
      </c>
      <c r="N192" t="s">
        <v>3702</v>
      </c>
      <c r="O192" t="s">
        <v>3705</v>
      </c>
    </row>
    <row r="193" spans="1:15" x14ac:dyDescent="0.35">
      <c r="A193" t="s">
        <v>206</v>
      </c>
      <c r="B193" t="s">
        <v>1386</v>
      </c>
      <c r="C193" t="s">
        <v>1951</v>
      </c>
      <c r="D193" t="s">
        <v>2674</v>
      </c>
      <c r="E193" t="s">
        <v>3672</v>
      </c>
      <c r="F193">
        <v>30</v>
      </c>
      <c r="G193" t="s">
        <v>3678</v>
      </c>
      <c r="H193" t="s">
        <v>3683</v>
      </c>
      <c r="I193" t="s">
        <v>3686</v>
      </c>
      <c r="J193" t="s">
        <v>3693</v>
      </c>
      <c r="K193" t="s">
        <v>3696</v>
      </c>
      <c r="L193">
        <v>2</v>
      </c>
      <c r="M193">
        <v>65000</v>
      </c>
      <c r="N193" t="s">
        <v>3701</v>
      </c>
      <c r="O193" t="s">
        <v>3707</v>
      </c>
    </row>
    <row r="194" spans="1:15" x14ac:dyDescent="0.35">
      <c r="A194" t="s">
        <v>207</v>
      </c>
      <c r="B194" t="s">
        <v>1387</v>
      </c>
      <c r="C194" t="s">
        <v>1952</v>
      </c>
      <c r="D194" t="s">
        <v>2675</v>
      </c>
      <c r="E194" t="s">
        <v>3672</v>
      </c>
      <c r="F194">
        <v>34</v>
      </c>
      <c r="G194" t="s">
        <v>3674</v>
      </c>
      <c r="H194" t="s">
        <v>3680</v>
      </c>
      <c r="I194" t="s">
        <v>3689</v>
      </c>
      <c r="J194" t="s">
        <v>3694</v>
      </c>
      <c r="K194" t="s">
        <v>3699</v>
      </c>
      <c r="L194">
        <v>5</v>
      </c>
      <c r="M194">
        <v>1800</v>
      </c>
      <c r="N194" t="s">
        <v>3702</v>
      </c>
      <c r="O194" t="s">
        <v>3707</v>
      </c>
    </row>
    <row r="195" spans="1:15" x14ac:dyDescent="0.35">
      <c r="A195" t="s">
        <v>208</v>
      </c>
      <c r="B195" t="s">
        <v>1388</v>
      </c>
      <c r="C195" t="s">
        <v>1953</v>
      </c>
      <c r="D195" t="s">
        <v>2676</v>
      </c>
      <c r="E195" t="s">
        <v>3672</v>
      </c>
      <c r="F195">
        <v>19</v>
      </c>
      <c r="G195" t="s">
        <v>3676</v>
      </c>
      <c r="H195" t="s">
        <v>3682</v>
      </c>
      <c r="I195" t="s">
        <v>3686</v>
      </c>
      <c r="J195" t="s">
        <v>3693</v>
      </c>
      <c r="K195" t="s">
        <v>3696</v>
      </c>
      <c r="L195">
        <v>4</v>
      </c>
      <c r="M195">
        <v>65000</v>
      </c>
      <c r="N195" t="s">
        <v>3703</v>
      </c>
      <c r="O195" t="s">
        <v>3706</v>
      </c>
    </row>
    <row r="196" spans="1:15" x14ac:dyDescent="0.35">
      <c r="A196" t="s">
        <v>209</v>
      </c>
      <c r="B196" t="s">
        <v>1389</v>
      </c>
      <c r="C196" t="s">
        <v>1890</v>
      </c>
      <c r="D196" t="s">
        <v>2677</v>
      </c>
      <c r="E196" t="s">
        <v>3672</v>
      </c>
      <c r="F196">
        <v>32</v>
      </c>
      <c r="G196" t="s">
        <v>3676</v>
      </c>
      <c r="H196" t="s">
        <v>3682</v>
      </c>
      <c r="I196" t="s">
        <v>3691</v>
      </c>
      <c r="J196" t="s">
        <v>3693</v>
      </c>
      <c r="K196" t="s">
        <v>3696</v>
      </c>
      <c r="L196">
        <v>3</v>
      </c>
      <c r="M196">
        <v>58000</v>
      </c>
      <c r="N196" t="s">
        <v>3703</v>
      </c>
      <c r="O196" t="s">
        <v>3707</v>
      </c>
    </row>
    <row r="197" spans="1:15" x14ac:dyDescent="0.35">
      <c r="A197" t="s">
        <v>210</v>
      </c>
      <c r="B197" t="s">
        <v>1390</v>
      </c>
      <c r="C197" t="s">
        <v>1954</v>
      </c>
      <c r="D197" t="s">
        <v>2678</v>
      </c>
      <c r="E197" t="s">
        <v>3671</v>
      </c>
      <c r="F197">
        <v>39</v>
      </c>
      <c r="G197" t="s">
        <v>3676</v>
      </c>
      <c r="H197" t="s">
        <v>3682</v>
      </c>
      <c r="I197" t="s">
        <v>3691</v>
      </c>
      <c r="J197" t="s">
        <v>3693</v>
      </c>
      <c r="K197" t="s">
        <v>3696</v>
      </c>
      <c r="L197">
        <v>2</v>
      </c>
      <c r="M197">
        <v>58000</v>
      </c>
      <c r="N197" t="s">
        <v>3701</v>
      </c>
      <c r="O197" t="s">
        <v>3705</v>
      </c>
    </row>
    <row r="198" spans="1:15" x14ac:dyDescent="0.35">
      <c r="A198" t="s">
        <v>211</v>
      </c>
      <c r="B198" t="s">
        <v>1391</v>
      </c>
      <c r="C198" t="s">
        <v>1880</v>
      </c>
      <c r="D198" t="s">
        <v>2679</v>
      </c>
      <c r="E198" t="s">
        <v>3672</v>
      </c>
      <c r="F198">
        <v>30</v>
      </c>
      <c r="G198" t="s">
        <v>3678</v>
      </c>
      <c r="H198" t="s">
        <v>3683</v>
      </c>
      <c r="I198" t="s">
        <v>3689</v>
      </c>
      <c r="J198" t="s">
        <v>3694</v>
      </c>
      <c r="K198" t="s">
        <v>3699</v>
      </c>
      <c r="L198">
        <v>1</v>
      </c>
      <c r="M198">
        <v>1800</v>
      </c>
      <c r="N198" t="s">
        <v>3704</v>
      </c>
      <c r="O198" t="s">
        <v>3706</v>
      </c>
    </row>
    <row r="199" spans="1:15" x14ac:dyDescent="0.35">
      <c r="A199" t="s">
        <v>212</v>
      </c>
      <c r="B199" t="s">
        <v>1293</v>
      </c>
      <c r="C199" t="s">
        <v>1955</v>
      </c>
      <c r="D199" t="s">
        <v>2680</v>
      </c>
      <c r="E199" t="s">
        <v>3672</v>
      </c>
      <c r="F199">
        <v>41</v>
      </c>
      <c r="G199" t="s">
        <v>3675</v>
      </c>
      <c r="H199" t="s">
        <v>3681</v>
      </c>
      <c r="I199" t="s">
        <v>3690</v>
      </c>
      <c r="J199" t="s">
        <v>3693</v>
      </c>
      <c r="K199" t="s">
        <v>3700</v>
      </c>
      <c r="L199">
        <v>1</v>
      </c>
      <c r="M199">
        <v>72000</v>
      </c>
      <c r="N199" t="s">
        <v>3703</v>
      </c>
      <c r="O199" t="s">
        <v>3706</v>
      </c>
    </row>
    <row r="200" spans="1:15" x14ac:dyDescent="0.35">
      <c r="A200" t="s">
        <v>213</v>
      </c>
      <c r="B200" t="s">
        <v>1348</v>
      </c>
      <c r="C200" t="s">
        <v>1956</v>
      </c>
      <c r="D200" t="s">
        <v>2681</v>
      </c>
      <c r="E200" t="s">
        <v>3672</v>
      </c>
      <c r="F200">
        <v>38</v>
      </c>
      <c r="G200" t="s">
        <v>3678</v>
      </c>
      <c r="H200" t="s">
        <v>3683</v>
      </c>
      <c r="I200" t="s">
        <v>3689</v>
      </c>
      <c r="J200" t="s">
        <v>3694</v>
      </c>
      <c r="K200" t="s">
        <v>3699</v>
      </c>
      <c r="L200">
        <v>4</v>
      </c>
      <c r="M200">
        <v>1800</v>
      </c>
      <c r="N200" t="s">
        <v>3702</v>
      </c>
      <c r="O200" t="s">
        <v>3706</v>
      </c>
    </row>
    <row r="201" spans="1:15" x14ac:dyDescent="0.35">
      <c r="A201" t="s">
        <v>214</v>
      </c>
      <c r="B201" t="s">
        <v>1392</v>
      </c>
      <c r="C201" t="s">
        <v>1957</v>
      </c>
      <c r="D201" t="s">
        <v>2682</v>
      </c>
      <c r="E201" t="s">
        <v>3671</v>
      </c>
      <c r="F201">
        <v>45</v>
      </c>
      <c r="G201" t="s">
        <v>3675</v>
      </c>
      <c r="H201" t="s">
        <v>3681</v>
      </c>
      <c r="I201" t="s">
        <v>3685</v>
      </c>
      <c r="J201" t="s">
        <v>3692</v>
      </c>
      <c r="K201" t="s">
        <v>3695</v>
      </c>
      <c r="L201">
        <v>1</v>
      </c>
      <c r="M201">
        <v>12000</v>
      </c>
      <c r="N201" t="s">
        <v>3703</v>
      </c>
      <c r="O201" t="s">
        <v>3707</v>
      </c>
    </row>
    <row r="202" spans="1:15" x14ac:dyDescent="0.35">
      <c r="A202" t="s">
        <v>215</v>
      </c>
      <c r="B202" t="s">
        <v>1393</v>
      </c>
      <c r="C202" t="s">
        <v>1958</v>
      </c>
      <c r="D202" t="s">
        <v>2683</v>
      </c>
      <c r="E202" t="s">
        <v>3672</v>
      </c>
      <c r="F202">
        <v>52</v>
      </c>
      <c r="G202" t="s">
        <v>3673</v>
      </c>
      <c r="H202" t="s">
        <v>3673</v>
      </c>
      <c r="I202" t="s">
        <v>3686</v>
      </c>
      <c r="J202" t="s">
        <v>3693</v>
      </c>
      <c r="K202" t="s">
        <v>3696</v>
      </c>
      <c r="L202">
        <v>5</v>
      </c>
      <c r="M202">
        <v>65000</v>
      </c>
      <c r="N202" t="s">
        <v>3704</v>
      </c>
      <c r="O202" t="s">
        <v>3707</v>
      </c>
    </row>
    <row r="203" spans="1:15" x14ac:dyDescent="0.35">
      <c r="A203" t="s">
        <v>216</v>
      </c>
      <c r="B203" t="s">
        <v>1394</v>
      </c>
      <c r="C203" t="s">
        <v>1959</v>
      </c>
      <c r="D203" t="s">
        <v>2684</v>
      </c>
      <c r="E203" t="s">
        <v>3671</v>
      </c>
      <c r="F203">
        <v>50</v>
      </c>
      <c r="G203" t="s">
        <v>3677</v>
      </c>
      <c r="H203" t="s">
        <v>3680</v>
      </c>
      <c r="I203" t="s">
        <v>3690</v>
      </c>
      <c r="J203" t="s">
        <v>3693</v>
      </c>
      <c r="K203" t="s">
        <v>3700</v>
      </c>
      <c r="L203">
        <v>1</v>
      </c>
      <c r="M203">
        <v>72000</v>
      </c>
      <c r="N203" t="s">
        <v>3703</v>
      </c>
      <c r="O203" t="s">
        <v>3705</v>
      </c>
    </row>
    <row r="204" spans="1:15" x14ac:dyDescent="0.35">
      <c r="A204" t="s">
        <v>217</v>
      </c>
      <c r="B204" t="s">
        <v>1395</v>
      </c>
      <c r="C204" t="s">
        <v>1960</v>
      </c>
      <c r="D204" t="s">
        <v>2685</v>
      </c>
      <c r="E204" t="s">
        <v>3672</v>
      </c>
      <c r="F204">
        <v>60</v>
      </c>
      <c r="G204" t="s">
        <v>3679</v>
      </c>
      <c r="H204" t="s">
        <v>3684</v>
      </c>
      <c r="I204" t="s">
        <v>3689</v>
      </c>
      <c r="J204" t="s">
        <v>3694</v>
      </c>
      <c r="K204" t="s">
        <v>3699</v>
      </c>
      <c r="L204">
        <v>2</v>
      </c>
      <c r="M204">
        <v>1800</v>
      </c>
      <c r="N204" t="s">
        <v>3703</v>
      </c>
      <c r="O204" t="s">
        <v>3707</v>
      </c>
    </row>
    <row r="205" spans="1:15" x14ac:dyDescent="0.35">
      <c r="A205" t="s">
        <v>218</v>
      </c>
      <c r="B205" t="s">
        <v>1396</v>
      </c>
      <c r="C205" t="s">
        <v>1961</v>
      </c>
      <c r="D205" t="s">
        <v>2686</v>
      </c>
      <c r="E205" t="s">
        <v>3671</v>
      </c>
      <c r="F205">
        <v>39</v>
      </c>
      <c r="G205" t="s">
        <v>3677</v>
      </c>
      <c r="H205" t="s">
        <v>3680</v>
      </c>
      <c r="I205" t="s">
        <v>3691</v>
      </c>
      <c r="J205" t="s">
        <v>3693</v>
      </c>
      <c r="K205" t="s">
        <v>3696</v>
      </c>
      <c r="L205">
        <v>1</v>
      </c>
      <c r="M205">
        <v>58000</v>
      </c>
      <c r="N205" t="s">
        <v>3704</v>
      </c>
      <c r="O205" t="s">
        <v>3706</v>
      </c>
    </row>
    <row r="206" spans="1:15" x14ac:dyDescent="0.35">
      <c r="A206" t="s">
        <v>219</v>
      </c>
      <c r="B206" t="s">
        <v>1397</v>
      </c>
      <c r="C206" t="s">
        <v>1962</v>
      </c>
      <c r="D206" t="s">
        <v>2687</v>
      </c>
      <c r="E206" t="s">
        <v>3672</v>
      </c>
      <c r="F206">
        <v>40</v>
      </c>
      <c r="G206" t="s">
        <v>3676</v>
      </c>
      <c r="H206" t="s">
        <v>3682</v>
      </c>
      <c r="I206" t="s">
        <v>3687</v>
      </c>
      <c r="J206" t="s">
        <v>3693</v>
      </c>
      <c r="K206" t="s">
        <v>3697</v>
      </c>
      <c r="L206">
        <v>5</v>
      </c>
      <c r="M206">
        <v>5000</v>
      </c>
      <c r="N206" t="s">
        <v>3701</v>
      </c>
      <c r="O206" t="s">
        <v>3705</v>
      </c>
    </row>
    <row r="207" spans="1:15" x14ac:dyDescent="0.35">
      <c r="A207" t="s">
        <v>220</v>
      </c>
      <c r="B207" t="s">
        <v>1272</v>
      </c>
      <c r="C207" t="s">
        <v>1893</v>
      </c>
      <c r="D207" t="s">
        <v>2688</v>
      </c>
      <c r="E207" t="s">
        <v>3672</v>
      </c>
      <c r="F207">
        <v>38</v>
      </c>
      <c r="G207" t="s">
        <v>3676</v>
      </c>
      <c r="H207" t="s">
        <v>3682</v>
      </c>
      <c r="I207" t="s">
        <v>3691</v>
      </c>
      <c r="J207" t="s">
        <v>3693</v>
      </c>
      <c r="K207" t="s">
        <v>3696</v>
      </c>
      <c r="L207">
        <v>1</v>
      </c>
      <c r="M207">
        <v>58000</v>
      </c>
      <c r="N207" t="s">
        <v>3701</v>
      </c>
      <c r="O207" t="s">
        <v>3706</v>
      </c>
    </row>
    <row r="208" spans="1:15" x14ac:dyDescent="0.35">
      <c r="A208" t="s">
        <v>221</v>
      </c>
      <c r="B208" t="s">
        <v>1309</v>
      </c>
      <c r="C208" t="s">
        <v>1963</v>
      </c>
      <c r="D208" t="s">
        <v>2689</v>
      </c>
      <c r="E208" t="s">
        <v>3672</v>
      </c>
      <c r="F208">
        <v>56</v>
      </c>
      <c r="G208" t="s">
        <v>3673</v>
      </c>
      <c r="H208" t="s">
        <v>3673</v>
      </c>
      <c r="I208" t="s">
        <v>3689</v>
      </c>
      <c r="J208" t="s">
        <v>3694</v>
      </c>
      <c r="K208" t="s">
        <v>3699</v>
      </c>
      <c r="L208">
        <v>5</v>
      </c>
      <c r="M208">
        <v>1800</v>
      </c>
      <c r="N208" t="s">
        <v>3704</v>
      </c>
      <c r="O208" t="s">
        <v>3705</v>
      </c>
    </row>
    <row r="209" spans="1:15" x14ac:dyDescent="0.35">
      <c r="A209" t="s">
        <v>222</v>
      </c>
      <c r="B209" t="s">
        <v>1398</v>
      </c>
      <c r="C209" t="s">
        <v>1964</v>
      </c>
      <c r="D209" t="s">
        <v>2690</v>
      </c>
      <c r="E209" t="s">
        <v>3671</v>
      </c>
      <c r="F209">
        <v>50</v>
      </c>
      <c r="G209" t="s">
        <v>3674</v>
      </c>
      <c r="H209" t="s">
        <v>3680</v>
      </c>
      <c r="I209" t="s">
        <v>3691</v>
      </c>
      <c r="J209" t="s">
        <v>3693</v>
      </c>
      <c r="K209" t="s">
        <v>3696</v>
      </c>
      <c r="L209">
        <v>4</v>
      </c>
      <c r="M209">
        <v>58000</v>
      </c>
      <c r="N209" t="s">
        <v>3704</v>
      </c>
      <c r="O209" t="s">
        <v>3705</v>
      </c>
    </row>
    <row r="210" spans="1:15" x14ac:dyDescent="0.35">
      <c r="A210" t="s">
        <v>223</v>
      </c>
      <c r="B210" t="s">
        <v>1230</v>
      </c>
      <c r="C210" t="s">
        <v>1965</v>
      </c>
      <c r="D210" t="s">
        <v>2691</v>
      </c>
      <c r="E210" t="s">
        <v>3672</v>
      </c>
      <c r="F210">
        <v>48</v>
      </c>
      <c r="G210" t="s">
        <v>3675</v>
      </c>
      <c r="H210" t="s">
        <v>3681</v>
      </c>
      <c r="I210" t="s">
        <v>3688</v>
      </c>
      <c r="J210" t="s">
        <v>3694</v>
      </c>
      <c r="K210" t="s">
        <v>3698</v>
      </c>
      <c r="L210">
        <v>5</v>
      </c>
      <c r="M210">
        <v>4500</v>
      </c>
      <c r="N210" t="s">
        <v>3701</v>
      </c>
      <c r="O210" t="s">
        <v>3707</v>
      </c>
    </row>
    <row r="211" spans="1:15" x14ac:dyDescent="0.35">
      <c r="A211" t="s">
        <v>224</v>
      </c>
      <c r="B211" t="s">
        <v>1399</v>
      </c>
      <c r="C211" t="s">
        <v>1966</v>
      </c>
      <c r="D211" t="s">
        <v>2692</v>
      </c>
      <c r="E211" t="s">
        <v>3671</v>
      </c>
      <c r="F211">
        <v>27</v>
      </c>
      <c r="G211" t="s">
        <v>3678</v>
      </c>
      <c r="H211" t="s">
        <v>3683</v>
      </c>
      <c r="I211" t="s">
        <v>3687</v>
      </c>
      <c r="J211" t="s">
        <v>3693</v>
      </c>
      <c r="K211" t="s">
        <v>3697</v>
      </c>
      <c r="L211">
        <v>3</v>
      </c>
      <c r="M211">
        <v>5000</v>
      </c>
      <c r="N211" t="s">
        <v>3703</v>
      </c>
      <c r="O211" t="s">
        <v>3707</v>
      </c>
    </row>
    <row r="212" spans="1:15" x14ac:dyDescent="0.35">
      <c r="A212" t="s">
        <v>225</v>
      </c>
      <c r="B212" t="s">
        <v>1400</v>
      </c>
      <c r="C212" t="s">
        <v>1967</v>
      </c>
      <c r="D212" t="s">
        <v>2693</v>
      </c>
      <c r="E212" t="s">
        <v>3671</v>
      </c>
      <c r="F212">
        <v>48</v>
      </c>
      <c r="G212" t="s">
        <v>3678</v>
      </c>
      <c r="H212" t="s">
        <v>3683</v>
      </c>
      <c r="I212" t="s">
        <v>3687</v>
      </c>
      <c r="J212" t="s">
        <v>3693</v>
      </c>
      <c r="K212" t="s">
        <v>3697</v>
      </c>
      <c r="L212">
        <v>1</v>
      </c>
      <c r="M212">
        <v>5000</v>
      </c>
      <c r="N212" t="s">
        <v>3704</v>
      </c>
      <c r="O212" t="s">
        <v>3706</v>
      </c>
    </row>
    <row r="213" spans="1:15" x14ac:dyDescent="0.35">
      <c r="A213" t="s">
        <v>226</v>
      </c>
      <c r="B213" t="s">
        <v>1399</v>
      </c>
      <c r="C213" t="s">
        <v>1968</v>
      </c>
      <c r="D213" t="s">
        <v>2694</v>
      </c>
      <c r="E213" t="s">
        <v>3672</v>
      </c>
      <c r="F213">
        <v>53</v>
      </c>
      <c r="G213" t="s">
        <v>3676</v>
      </c>
      <c r="H213" t="s">
        <v>3682</v>
      </c>
      <c r="I213" t="s">
        <v>3690</v>
      </c>
      <c r="J213" t="s">
        <v>3693</v>
      </c>
      <c r="K213" t="s">
        <v>3700</v>
      </c>
      <c r="L213">
        <v>5</v>
      </c>
      <c r="M213">
        <v>72000</v>
      </c>
      <c r="N213" t="s">
        <v>3702</v>
      </c>
      <c r="O213" t="s">
        <v>3706</v>
      </c>
    </row>
    <row r="214" spans="1:15" x14ac:dyDescent="0.35">
      <c r="A214" t="s">
        <v>227</v>
      </c>
      <c r="B214" t="s">
        <v>1228</v>
      </c>
      <c r="C214" t="s">
        <v>1969</v>
      </c>
      <c r="D214" t="s">
        <v>2695</v>
      </c>
      <c r="E214" t="s">
        <v>3671</v>
      </c>
      <c r="F214">
        <v>28</v>
      </c>
      <c r="G214" t="s">
        <v>3675</v>
      </c>
      <c r="H214" t="s">
        <v>3681</v>
      </c>
      <c r="I214" t="s">
        <v>3686</v>
      </c>
      <c r="J214" t="s">
        <v>3693</v>
      </c>
      <c r="K214" t="s">
        <v>3696</v>
      </c>
      <c r="L214">
        <v>4</v>
      </c>
      <c r="M214">
        <v>65000</v>
      </c>
      <c r="N214" t="s">
        <v>3703</v>
      </c>
      <c r="O214" t="s">
        <v>3707</v>
      </c>
    </row>
    <row r="215" spans="1:15" x14ac:dyDescent="0.35">
      <c r="A215" t="s">
        <v>228</v>
      </c>
      <c r="B215" t="s">
        <v>1401</v>
      </c>
      <c r="C215" t="s">
        <v>1970</v>
      </c>
      <c r="D215" t="s">
        <v>2696</v>
      </c>
      <c r="E215" t="s">
        <v>3671</v>
      </c>
      <c r="F215">
        <v>40</v>
      </c>
      <c r="G215" t="s">
        <v>3679</v>
      </c>
      <c r="H215" t="s">
        <v>3684</v>
      </c>
      <c r="I215" t="s">
        <v>3687</v>
      </c>
      <c r="J215" t="s">
        <v>3693</v>
      </c>
      <c r="K215" t="s">
        <v>3697</v>
      </c>
      <c r="L215">
        <v>1</v>
      </c>
      <c r="M215">
        <v>5000</v>
      </c>
      <c r="N215" t="s">
        <v>3704</v>
      </c>
      <c r="O215" t="s">
        <v>3706</v>
      </c>
    </row>
    <row r="216" spans="1:15" x14ac:dyDescent="0.35">
      <c r="A216" t="s">
        <v>229</v>
      </c>
      <c r="B216" t="s">
        <v>1402</v>
      </c>
      <c r="C216" t="s">
        <v>1971</v>
      </c>
      <c r="D216" t="s">
        <v>2697</v>
      </c>
      <c r="E216" t="s">
        <v>3672</v>
      </c>
      <c r="F216">
        <v>47</v>
      </c>
      <c r="G216" t="s">
        <v>3677</v>
      </c>
      <c r="H216" t="s">
        <v>3680</v>
      </c>
      <c r="I216" t="s">
        <v>3691</v>
      </c>
      <c r="J216" t="s">
        <v>3693</v>
      </c>
      <c r="K216" t="s">
        <v>3696</v>
      </c>
      <c r="L216">
        <v>3</v>
      </c>
      <c r="M216">
        <v>58000</v>
      </c>
      <c r="N216" t="s">
        <v>3704</v>
      </c>
      <c r="O216" t="s">
        <v>3706</v>
      </c>
    </row>
    <row r="217" spans="1:15" x14ac:dyDescent="0.35">
      <c r="A217" t="s">
        <v>230</v>
      </c>
      <c r="B217" t="s">
        <v>1230</v>
      </c>
      <c r="C217" t="s">
        <v>1804</v>
      </c>
      <c r="D217" t="s">
        <v>2698</v>
      </c>
      <c r="E217" t="s">
        <v>3671</v>
      </c>
      <c r="F217">
        <v>60</v>
      </c>
      <c r="G217" t="s">
        <v>3677</v>
      </c>
      <c r="H217" t="s">
        <v>3680</v>
      </c>
      <c r="I217" t="s">
        <v>3687</v>
      </c>
      <c r="J217" t="s">
        <v>3693</v>
      </c>
      <c r="K217" t="s">
        <v>3697</v>
      </c>
      <c r="L217">
        <v>4</v>
      </c>
      <c r="M217">
        <v>5000</v>
      </c>
      <c r="N217" t="s">
        <v>3701</v>
      </c>
      <c r="O217" t="s">
        <v>3705</v>
      </c>
    </row>
    <row r="218" spans="1:15" x14ac:dyDescent="0.35">
      <c r="A218" t="s">
        <v>231</v>
      </c>
      <c r="B218" t="s">
        <v>1317</v>
      </c>
      <c r="C218" t="s">
        <v>1972</v>
      </c>
      <c r="D218" t="s">
        <v>2699</v>
      </c>
      <c r="E218" t="s">
        <v>3672</v>
      </c>
      <c r="F218">
        <v>49</v>
      </c>
      <c r="G218" t="s">
        <v>3677</v>
      </c>
      <c r="H218" t="s">
        <v>3680</v>
      </c>
      <c r="I218" t="s">
        <v>3686</v>
      </c>
      <c r="J218" t="s">
        <v>3693</v>
      </c>
      <c r="K218" t="s">
        <v>3696</v>
      </c>
      <c r="L218">
        <v>2</v>
      </c>
      <c r="M218">
        <v>65000</v>
      </c>
      <c r="N218" t="s">
        <v>3704</v>
      </c>
      <c r="O218" t="s">
        <v>3705</v>
      </c>
    </row>
    <row r="219" spans="1:15" x14ac:dyDescent="0.35">
      <c r="A219" t="s">
        <v>232</v>
      </c>
      <c r="B219" t="s">
        <v>1403</v>
      </c>
      <c r="C219" t="s">
        <v>1972</v>
      </c>
      <c r="D219" t="s">
        <v>2700</v>
      </c>
      <c r="E219" t="s">
        <v>3672</v>
      </c>
      <c r="F219">
        <v>46</v>
      </c>
      <c r="G219" t="s">
        <v>3673</v>
      </c>
      <c r="H219" t="s">
        <v>3673</v>
      </c>
      <c r="I219" t="s">
        <v>3685</v>
      </c>
      <c r="J219" t="s">
        <v>3692</v>
      </c>
      <c r="K219" t="s">
        <v>3695</v>
      </c>
      <c r="L219">
        <v>2</v>
      </c>
      <c r="M219">
        <v>12000</v>
      </c>
      <c r="N219" t="s">
        <v>3703</v>
      </c>
      <c r="O219" t="s">
        <v>3705</v>
      </c>
    </row>
    <row r="220" spans="1:15" x14ac:dyDescent="0.35">
      <c r="A220" t="s">
        <v>233</v>
      </c>
      <c r="B220" t="s">
        <v>1404</v>
      </c>
      <c r="C220" t="s">
        <v>1973</v>
      </c>
      <c r="D220" t="s">
        <v>2701</v>
      </c>
      <c r="E220" t="s">
        <v>3671</v>
      </c>
      <c r="F220">
        <v>41</v>
      </c>
      <c r="G220" t="s">
        <v>3677</v>
      </c>
      <c r="H220" t="s">
        <v>3680</v>
      </c>
      <c r="I220" t="s">
        <v>3689</v>
      </c>
      <c r="J220" t="s">
        <v>3694</v>
      </c>
      <c r="K220" t="s">
        <v>3699</v>
      </c>
      <c r="L220">
        <v>5</v>
      </c>
      <c r="M220">
        <v>1800</v>
      </c>
      <c r="N220" t="s">
        <v>3701</v>
      </c>
      <c r="O220" t="s">
        <v>3706</v>
      </c>
    </row>
    <row r="221" spans="1:15" x14ac:dyDescent="0.35">
      <c r="A221" t="s">
        <v>234</v>
      </c>
      <c r="B221" t="s">
        <v>1405</v>
      </c>
      <c r="C221" t="s">
        <v>1974</v>
      </c>
      <c r="D221" t="s">
        <v>2702</v>
      </c>
      <c r="E221" t="s">
        <v>3671</v>
      </c>
      <c r="F221">
        <v>53</v>
      </c>
      <c r="G221" t="s">
        <v>3673</v>
      </c>
      <c r="H221" t="s">
        <v>3673</v>
      </c>
      <c r="I221" t="s">
        <v>3687</v>
      </c>
      <c r="J221" t="s">
        <v>3693</v>
      </c>
      <c r="K221" t="s">
        <v>3697</v>
      </c>
      <c r="L221">
        <v>2</v>
      </c>
      <c r="M221">
        <v>5000</v>
      </c>
      <c r="N221" t="s">
        <v>3704</v>
      </c>
      <c r="O221" t="s">
        <v>3707</v>
      </c>
    </row>
    <row r="222" spans="1:15" x14ac:dyDescent="0.35">
      <c r="A222" t="s">
        <v>235</v>
      </c>
      <c r="B222" t="s">
        <v>1406</v>
      </c>
      <c r="C222" t="s">
        <v>1975</v>
      </c>
      <c r="D222" t="s">
        <v>2703</v>
      </c>
      <c r="E222" t="s">
        <v>3672</v>
      </c>
      <c r="F222">
        <v>39</v>
      </c>
      <c r="G222" t="s">
        <v>3677</v>
      </c>
      <c r="H222" t="s">
        <v>3680</v>
      </c>
      <c r="I222" t="s">
        <v>3687</v>
      </c>
      <c r="J222" t="s">
        <v>3693</v>
      </c>
      <c r="K222" t="s">
        <v>3697</v>
      </c>
      <c r="L222">
        <v>5</v>
      </c>
      <c r="M222">
        <v>5000</v>
      </c>
      <c r="N222" t="s">
        <v>3701</v>
      </c>
      <c r="O222" t="s">
        <v>3705</v>
      </c>
    </row>
    <row r="223" spans="1:15" x14ac:dyDescent="0.35">
      <c r="A223" t="s">
        <v>236</v>
      </c>
      <c r="B223" t="s">
        <v>1261</v>
      </c>
      <c r="C223" t="s">
        <v>1976</v>
      </c>
      <c r="D223" t="s">
        <v>2704</v>
      </c>
      <c r="E223" t="s">
        <v>3672</v>
      </c>
      <c r="F223">
        <v>37</v>
      </c>
      <c r="G223" t="s">
        <v>3678</v>
      </c>
      <c r="H223" t="s">
        <v>3683</v>
      </c>
      <c r="I223" t="s">
        <v>3689</v>
      </c>
      <c r="J223" t="s">
        <v>3694</v>
      </c>
      <c r="K223" t="s">
        <v>3699</v>
      </c>
      <c r="L223">
        <v>3</v>
      </c>
      <c r="M223">
        <v>1800</v>
      </c>
      <c r="N223" t="s">
        <v>3701</v>
      </c>
      <c r="O223" t="s">
        <v>3705</v>
      </c>
    </row>
    <row r="224" spans="1:15" x14ac:dyDescent="0.35">
      <c r="A224" t="s">
        <v>237</v>
      </c>
      <c r="B224" t="s">
        <v>1407</v>
      </c>
      <c r="C224" t="s">
        <v>1977</v>
      </c>
      <c r="D224" t="s">
        <v>2705</v>
      </c>
      <c r="E224" t="s">
        <v>3672</v>
      </c>
      <c r="F224">
        <v>20</v>
      </c>
      <c r="G224" t="s">
        <v>3673</v>
      </c>
      <c r="H224" t="s">
        <v>3673</v>
      </c>
      <c r="I224" t="s">
        <v>3686</v>
      </c>
      <c r="J224" t="s">
        <v>3693</v>
      </c>
      <c r="K224" t="s">
        <v>3696</v>
      </c>
      <c r="L224">
        <v>2</v>
      </c>
      <c r="M224">
        <v>65000</v>
      </c>
      <c r="N224" t="s">
        <v>3702</v>
      </c>
      <c r="O224" t="s">
        <v>3707</v>
      </c>
    </row>
    <row r="225" spans="1:15" x14ac:dyDescent="0.35">
      <c r="A225" t="s">
        <v>238</v>
      </c>
      <c r="B225" t="s">
        <v>1278</v>
      </c>
      <c r="C225" t="s">
        <v>1978</v>
      </c>
      <c r="D225" t="s">
        <v>2706</v>
      </c>
      <c r="E225" t="s">
        <v>3672</v>
      </c>
      <c r="F225">
        <v>37</v>
      </c>
      <c r="G225" t="s">
        <v>3673</v>
      </c>
      <c r="H225" t="s">
        <v>3673</v>
      </c>
      <c r="I225" t="s">
        <v>3689</v>
      </c>
      <c r="J225" t="s">
        <v>3694</v>
      </c>
      <c r="K225" t="s">
        <v>3699</v>
      </c>
      <c r="L225">
        <v>2</v>
      </c>
      <c r="M225">
        <v>1800</v>
      </c>
      <c r="N225" t="s">
        <v>3701</v>
      </c>
      <c r="O225" t="s">
        <v>3706</v>
      </c>
    </row>
    <row r="226" spans="1:15" x14ac:dyDescent="0.35">
      <c r="A226" t="s">
        <v>239</v>
      </c>
      <c r="B226" t="s">
        <v>1272</v>
      </c>
      <c r="C226" t="s">
        <v>1979</v>
      </c>
      <c r="D226" t="s">
        <v>2707</v>
      </c>
      <c r="E226" t="s">
        <v>3671</v>
      </c>
      <c r="F226">
        <v>53</v>
      </c>
      <c r="G226" t="s">
        <v>3675</v>
      </c>
      <c r="H226" t="s">
        <v>3681</v>
      </c>
      <c r="I226" t="s">
        <v>3688</v>
      </c>
      <c r="J226" t="s">
        <v>3694</v>
      </c>
      <c r="K226" t="s">
        <v>3698</v>
      </c>
      <c r="L226">
        <v>5</v>
      </c>
      <c r="M226">
        <v>4500</v>
      </c>
      <c r="N226" t="s">
        <v>3702</v>
      </c>
      <c r="O226" t="s">
        <v>3705</v>
      </c>
    </row>
    <row r="227" spans="1:15" x14ac:dyDescent="0.35">
      <c r="A227" t="s">
        <v>240</v>
      </c>
      <c r="B227" t="s">
        <v>1300</v>
      </c>
      <c r="C227" t="s">
        <v>1980</v>
      </c>
      <c r="D227" t="s">
        <v>2708</v>
      </c>
      <c r="E227" t="s">
        <v>3671</v>
      </c>
      <c r="F227">
        <v>53</v>
      </c>
      <c r="G227" t="s">
        <v>3674</v>
      </c>
      <c r="H227" t="s">
        <v>3680</v>
      </c>
      <c r="I227" t="s">
        <v>3686</v>
      </c>
      <c r="J227" t="s">
        <v>3693</v>
      </c>
      <c r="K227" t="s">
        <v>3696</v>
      </c>
      <c r="L227">
        <v>1</v>
      </c>
      <c r="M227">
        <v>65000</v>
      </c>
      <c r="N227" t="s">
        <v>3703</v>
      </c>
      <c r="O227" t="s">
        <v>3707</v>
      </c>
    </row>
    <row r="228" spans="1:15" x14ac:dyDescent="0.35">
      <c r="A228" t="s">
        <v>241</v>
      </c>
      <c r="B228" t="s">
        <v>1408</v>
      </c>
      <c r="C228" t="s">
        <v>1981</v>
      </c>
      <c r="D228" t="s">
        <v>2709</v>
      </c>
      <c r="E228" t="s">
        <v>3671</v>
      </c>
      <c r="F228">
        <v>51</v>
      </c>
      <c r="G228" t="s">
        <v>3675</v>
      </c>
      <c r="H228" t="s">
        <v>3681</v>
      </c>
      <c r="I228" t="s">
        <v>3685</v>
      </c>
      <c r="J228" t="s">
        <v>3692</v>
      </c>
      <c r="K228" t="s">
        <v>3695</v>
      </c>
      <c r="L228">
        <v>4</v>
      </c>
      <c r="M228">
        <v>12000</v>
      </c>
      <c r="N228" t="s">
        <v>3704</v>
      </c>
      <c r="O228" t="s">
        <v>3705</v>
      </c>
    </row>
    <row r="229" spans="1:15" x14ac:dyDescent="0.35">
      <c r="A229" t="s">
        <v>242</v>
      </c>
      <c r="B229" t="s">
        <v>1409</v>
      </c>
      <c r="C229" t="s">
        <v>1982</v>
      </c>
      <c r="D229" t="s">
        <v>2710</v>
      </c>
      <c r="E229" t="s">
        <v>3671</v>
      </c>
      <c r="F229">
        <v>56</v>
      </c>
      <c r="G229" t="s">
        <v>3674</v>
      </c>
      <c r="H229" t="s">
        <v>3680</v>
      </c>
      <c r="I229" t="s">
        <v>3691</v>
      </c>
      <c r="J229" t="s">
        <v>3693</v>
      </c>
      <c r="K229" t="s">
        <v>3696</v>
      </c>
      <c r="L229">
        <v>1</v>
      </c>
      <c r="M229">
        <v>58000</v>
      </c>
      <c r="N229" t="s">
        <v>3704</v>
      </c>
      <c r="O229" t="s">
        <v>3705</v>
      </c>
    </row>
    <row r="230" spans="1:15" x14ac:dyDescent="0.35">
      <c r="A230" t="s">
        <v>243</v>
      </c>
      <c r="B230" t="s">
        <v>1410</v>
      </c>
      <c r="C230" t="s">
        <v>1983</v>
      </c>
      <c r="D230" t="s">
        <v>2711</v>
      </c>
      <c r="E230" t="s">
        <v>3671</v>
      </c>
      <c r="F230">
        <v>58</v>
      </c>
      <c r="G230" t="s">
        <v>3675</v>
      </c>
      <c r="H230" t="s">
        <v>3681</v>
      </c>
      <c r="I230" t="s">
        <v>3686</v>
      </c>
      <c r="J230" t="s">
        <v>3693</v>
      </c>
      <c r="K230" t="s">
        <v>3696</v>
      </c>
      <c r="L230">
        <v>3</v>
      </c>
      <c r="M230">
        <v>65000</v>
      </c>
      <c r="N230" t="s">
        <v>3702</v>
      </c>
      <c r="O230" t="s">
        <v>3706</v>
      </c>
    </row>
    <row r="231" spans="1:15" x14ac:dyDescent="0.35">
      <c r="A231" t="s">
        <v>244</v>
      </c>
      <c r="B231" t="s">
        <v>1411</v>
      </c>
      <c r="C231" t="s">
        <v>1984</v>
      </c>
      <c r="D231" t="s">
        <v>2712</v>
      </c>
      <c r="E231" t="s">
        <v>3672</v>
      </c>
      <c r="F231">
        <v>56</v>
      </c>
      <c r="G231" t="s">
        <v>3678</v>
      </c>
      <c r="H231" t="s">
        <v>3683</v>
      </c>
      <c r="I231" t="s">
        <v>3690</v>
      </c>
      <c r="J231" t="s">
        <v>3693</v>
      </c>
      <c r="K231" t="s">
        <v>3700</v>
      </c>
      <c r="L231">
        <v>4</v>
      </c>
      <c r="M231">
        <v>72000</v>
      </c>
      <c r="N231" t="s">
        <v>3704</v>
      </c>
      <c r="O231" t="s">
        <v>3707</v>
      </c>
    </row>
    <row r="232" spans="1:15" x14ac:dyDescent="0.35">
      <c r="A232" t="s">
        <v>245</v>
      </c>
      <c r="B232" t="s">
        <v>1285</v>
      </c>
      <c r="C232" t="s">
        <v>1963</v>
      </c>
      <c r="D232" t="s">
        <v>2713</v>
      </c>
      <c r="E232" t="s">
        <v>3671</v>
      </c>
      <c r="F232">
        <v>28</v>
      </c>
      <c r="G232" t="s">
        <v>3678</v>
      </c>
      <c r="H232" t="s">
        <v>3683</v>
      </c>
      <c r="I232" t="s">
        <v>3691</v>
      </c>
      <c r="J232" t="s">
        <v>3693</v>
      </c>
      <c r="K232" t="s">
        <v>3696</v>
      </c>
      <c r="L232">
        <v>3</v>
      </c>
      <c r="M232">
        <v>58000</v>
      </c>
      <c r="N232" t="s">
        <v>3704</v>
      </c>
      <c r="O232" t="s">
        <v>3705</v>
      </c>
    </row>
    <row r="233" spans="1:15" x14ac:dyDescent="0.35">
      <c r="A233" t="s">
        <v>246</v>
      </c>
      <c r="B233" t="s">
        <v>1377</v>
      </c>
      <c r="C233" t="s">
        <v>1985</v>
      </c>
      <c r="D233" t="s">
        <v>2714</v>
      </c>
      <c r="E233" t="s">
        <v>3671</v>
      </c>
      <c r="F233">
        <v>57</v>
      </c>
      <c r="G233" t="s">
        <v>3675</v>
      </c>
      <c r="H233" t="s">
        <v>3681</v>
      </c>
      <c r="I233" t="s">
        <v>3687</v>
      </c>
      <c r="J233" t="s">
        <v>3693</v>
      </c>
      <c r="K233" t="s">
        <v>3697</v>
      </c>
      <c r="L233">
        <v>4</v>
      </c>
      <c r="M233">
        <v>5000</v>
      </c>
      <c r="N233" t="s">
        <v>3701</v>
      </c>
      <c r="O233" t="s">
        <v>3705</v>
      </c>
    </row>
    <row r="234" spans="1:15" x14ac:dyDescent="0.35">
      <c r="A234" t="s">
        <v>247</v>
      </c>
      <c r="B234" t="s">
        <v>1412</v>
      </c>
      <c r="C234" t="s">
        <v>1986</v>
      </c>
      <c r="D234" t="s">
        <v>2715</v>
      </c>
      <c r="E234" t="s">
        <v>3671</v>
      </c>
      <c r="F234">
        <v>23</v>
      </c>
      <c r="G234" t="s">
        <v>3673</v>
      </c>
      <c r="H234" t="s">
        <v>3673</v>
      </c>
      <c r="I234" t="s">
        <v>3688</v>
      </c>
      <c r="J234" t="s">
        <v>3694</v>
      </c>
      <c r="K234" t="s">
        <v>3698</v>
      </c>
      <c r="L234">
        <v>3</v>
      </c>
      <c r="M234">
        <v>4500</v>
      </c>
      <c r="N234" t="s">
        <v>3701</v>
      </c>
      <c r="O234" t="s">
        <v>3707</v>
      </c>
    </row>
    <row r="235" spans="1:15" x14ac:dyDescent="0.35">
      <c r="A235" t="s">
        <v>248</v>
      </c>
      <c r="B235" t="s">
        <v>1413</v>
      </c>
      <c r="C235" t="s">
        <v>1987</v>
      </c>
      <c r="D235" t="s">
        <v>2716</v>
      </c>
      <c r="E235" t="s">
        <v>3672</v>
      </c>
      <c r="F235">
        <v>22</v>
      </c>
      <c r="G235" t="s">
        <v>3679</v>
      </c>
      <c r="H235" t="s">
        <v>3684</v>
      </c>
      <c r="I235" t="s">
        <v>3689</v>
      </c>
      <c r="J235" t="s">
        <v>3694</v>
      </c>
      <c r="K235" t="s">
        <v>3699</v>
      </c>
      <c r="L235">
        <v>4</v>
      </c>
      <c r="M235">
        <v>1800</v>
      </c>
      <c r="N235" t="s">
        <v>3702</v>
      </c>
      <c r="O235" t="s">
        <v>3707</v>
      </c>
    </row>
    <row r="236" spans="1:15" x14ac:dyDescent="0.35">
      <c r="A236" t="s">
        <v>249</v>
      </c>
      <c r="B236" t="s">
        <v>1414</v>
      </c>
      <c r="C236" t="s">
        <v>1988</v>
      </c>
      <c r="D236" t="s">
        <v>2717</v>
      </c>
      <c r="E236" t="s">
        <v>3672</v>
      </c>
      <c r="F236">
        <v>18</v>
      </c>
      <c r="G236" t="s">
        <v>3678</v>
      </c>
      <c r="H236" t="s">
        <v>3683</v>
      </c>
      <c r="I236" t="s">
        <v>3690</v>
      </c>
      <c r="J236" t="s">
        <v>3693</v>
      </c>
      <c r="K236" t="s">
        <v>3700</v>
      </c>
      <c r="L236">
        <v>5</v>
      </c>
      <c r="M236">
        <v>72000</v>
      </c>
      <c r="N236" t="s">
        <v>3701</v>
      </c>
      <c r="O236" t="s">
        <v>3706</v>
      </c>
    </row>
    <row r="237" spans="1:15" x14ac:dyDescent="0.35">
      <c r="A237" t="s">
        <v>250</v>
      </c>
      <c r="B237" t="s">
        <v>1415</v>
      </c>
      <c r="C237" t="s">
        <v>1989</v>
      </c>
      <c r="D237" t="s">
        <v>2718</v>
      </c>
      <c r="E237" t="s">
        <v>3671</v>
      </c>
      <c r="F237">
        <v>54</v>
      </c>
      <c r="G237" t="s">
        <v>3678</v>
      </c>
      <c r="H237" t="s">
        <v>3683</v>
      </c>
      <c r="I237" t="s">
        <v>3685</v>
      </c>
      <c r="J237" t="s">
        <v>3692</v>
      </c>
      <c r="K237" t="s">
        <v>3695</v>
      </c>
      <c r="L237">
        <v>3</v>
      </c>
      <c r="M237">
        <v>12000</v>
      </c>
      <c r="N237" t="s">
        <v>3704</v>
      </c>
      <c r="O237" t="s">
        <v>3705</v>
      </c>
    </row>
    <row r="238" spans="1:15" x14ac:dyDescent="0.35">
      <c r="A238" t="s">
        <v>251</v>
      </c>
      <c r="B238" t="s">
        <v>1416</v>
      </c>
      <c r="C238" t="s">
        <v>1990</v>
      </c>
      <c r="D238" t="s">
        <v>2719</v>
      </c>
      <c r="E238" t="s">
        <v>3671</v>
      </c>
      <c r="F238">
        <v>27</v>
      </c>
      <c r="G238" t="s">
        <v>3673</v>
      </c>
      <c r="H238" t="s">
        <v>3673</v>
      </c>
      <c r="I238" t="s">
        <v>3685</v>
      </c>
      <c r="J238" t="s">
        <v>3692</v>
      </c>
      <c r="K238" t="s">
        <v>3695</v>
      </c>
      <c r="L238">
        <v>1</v>
      </c>
      <c r="M238">
        <v>12000</v>
      </c>
      <c r="N238" t="s">
        <v>3704</v>
      </c>
      <c r="O238" t="s">
        <v>3706</v>
      </c>
    </row>
    <row r="239" spans="1:15" x14ac:dyDescent="0.35">
      <c r="A239" t="s">
        <v>252</v>
      </c>
      <c r="B239" t="s">
        <v>1288</v>
      </c>
      <c r="C239" t="s">
        <v>1991</v>
      </c>
      <c r="D239" t="s">
        <v>2720</v>
      </c>
      <c r="E239" t="s">
        <v>3672</v>
      </c>
      <c r="F239">
        <v>48</v>
      </c>
      <c r="G239" t="s">
        <v>3678</v>
      </c>
      <c r="H239" t="s">
        <v>3683</v>
      </c>
      <c r="I239" t="s">
        <v>3690</v>
      </c>
      <c r="J239" t="s">
        <v>3693</v>
      </c>
      <c r="K239" t="s">
        <v>3700</v>
      </c>
      <c r="L239">
        <v>4</v>
      </c>
      <c r="M239">
        <v>72000</v>
      </c>
      <c r="N239" t="s">
        <v>3701</v>
      </c>
      <c r="O239" t="s">
        <v>3706</v>
      </c>
    </row>
    <row r="240" spans="1:15" x14ac:dyDescent="0.35">
      <c r="A240" t="s">
        <v>253</v>
      </c>
      <c r="B240" t="s">
        <v>1259</v>
      </c>
      <c r="C240" t="s">
        <v>1992</v>
      </c>
      <c r="D240" t="s">
        <v>2721</v>
      </c>
      <c r="E240" t="s">
        <v>3672</v>
      </c>
      <c r="F240">
        <v>20</v>
      </c>
      <c r="G240" t="s">
        <v>3673</v>
      </c>
      <c r="H240" t="s">
        <v>3673</v>
      </c>
      <c r="I240" t="s">
        <v>3690</v>
      </c>
      <c r="J240" t="s">
        <v>3693</v>
      </c>
      <c r="K240" t="s">
        <v>3700</v>
      </c>
      <c r="L240">
        <v>1</v>
      </c>
      <c r="M240">
        <v>72000</v>
      </c>
      <c r="N240" t="s">
        <v>3703</v>
      </c>
      <c r="O240" t="s">
        <v>3706</v>
      </c>
    </row>
    <row r="241" spans="1:15" x14ac:dyDescent="0.35">
      <c r="A241" t="s">
        <v>254</v>
      </c>
      <c r="B241" t="s">
        <v>1417</v>
      </c>
      <c r="C241" t="s">
        <v>1993</v>
      </c>
      <c r="D241" t="s">
        <v>2722</v>
      </c>
      <c r="E241" t="s">
        <v>3672</v>
      </c>
      <c r="F241">
        <v>56</v>
      </c>
      <c r="G241" t="s">
        <v>3675</v>
      </c>
      <c r="H241" t="s">
        <v>3681</v>
      </c>
      <c r="I241" t="s">
        <v>3685</v>
      </c>
      <c r="J241" t="s">
        <v>3692</v>
      </c>
      <c r="K241" t="s">
        <v>3695</v>
      </c>
      <c r="L241">
        <v>2</v>
      </c>
      <c r="M241">
        <v>12000</v>
      </c>
      <c r="N241" t="s">
        <v>3703</v>
      </c>
      <c r="O241" t="s">
        <v>3707</v>
      </c>
    </row>
    <row r="242" spans="1:15" x14ac:dyDescent="0.35">
      <c r="A242" t="s">
        <v>255</v>
      </c>
      <c r="B242" t="s">
        <v>1418</v>
      </c>
      <c r="C242" t="s">
        <v>1858</v>
      </c>
      <c r="D242" t="s">
        <v>2723</v>
      </c>
      <c r="E242" t="s">
        <v>3672</v>
      </c>
      <c r="F242">
        <v>41</v>
      </c>
      <c r="G242" t="s">
        <v>3673</v>
      </c>
      <c r="H242" t="s">
        <v>3673</v>
      </c>
      <c r="I242" t="s">
        <v>3689</v>
      </c>
      <c r="J242" t="s">
        <v>3694</v>
      </c>
      <c r="K242" t="s">
        <v>3699</v>
      </c>
      <c r="L242">
        <v>5</v>
      </c>
      <c r="M242">
        <v>1800</v>
      </c>
      <c r="N242" t="s">
        <v>3703</v>
      </c>
      <c r="O242" t="s">
        <v>3706</v>
      </c>
    </row>
    <row r="243" spans="1:15" x14ac:dyDescent="0.35">
      <c r="A243" t="s">
        <v>256</v>
      </c>
      <c r="B243" t="s">
        <v>1419</v>
      </c>
      <c r="C243" t="s">
        <v>1994</v>
      </c>
      <c r="D243" t="s">
        <v>2724</v>
      </c>
      <c r="E243" t="s">
        <v>3672</v>
      </c>
      <c r="F243">
        <v>19</v>
      </c>
      <c r="G243" t="s">
        <v>3677</v>
      </c>
      <c r="H243" t="s">
        <v>3680</v>
      </c>
      <c r="I243" t="s">
        <v>3691</v>
      </c>
      <c r="J243" t="s">
        <v>3693</v>
      </c>
      <c r="K243" t="s">
        <v>3696</v>
      </c>
      <c r="L243">
        <v>1</v>
      </c>
      <c r="M243">
        <v>58000</v>
      </c>
      <c r="N243" t="s">
        <v>3702</v>
      </c>
      <c r="O243" t="s">
        <v>3705</v>
      </c>
    </row>
    <row r="244" spans="1:15" x14ac:dyDescent="0.35">
      <c r="A244" t="s">
        <v>257</v>
      </c>
      <c r="B244" t="s">
        <v>1378</v>
      </c>
      <c r="C244" t="s">
        <v>1995</v>
      </c>
      <c r="D244" t="s">
        <v>2725</v>
      </c>
      <c r="E244" t="s">
        <v>3672</v>
      </c>
      <c r="F244">
        <v>36</v>
      </c>
      <c r="G244" t="s">
        <v>3676</v>
      </c>
      <c r="H244" t="s">
        <v>3682</v>
      </c>
      <c r="I244" t="s">
        <v>3688</v>
      </c>
      <c r="J244" t="s">
        <v>3694</v>
      </c>
      <c r="K244" t="s">
        <v>3698</v>
      </c>
      <c r="L244">
        <v>2</v>
      </c>
      <c r="M244">
        <v>4500</v>
      </c>
      <c r="N244" t="s">
        <v>3703</v>
      </c>
      <c r="O244" t="s">
        <v>3706</v>
      </c>
    </row>
    <row r="245" spans="1:15" x14ac:dyDescent="0.35">
      <c r="A245" t="s">
        <v>258</v>
      </c>
      <c r="B245" t="s">
        <v>1420</v>
      </c>
      <c r="C245" t="s">
        <v>1996</v>
      </c>
      <c r="D245" t="s">
        <v>2726</v>
      </c>
      <c r="E245" t="s">
        <v>3671</v>
      </c>
      <c r="F245">
        <v>38</v>
      </c>
      <c r="G245" t="s">
        <v>3673</v>
      </c>
      <c r="H245" t="s">
        <v>3673</v>
      </c>
      <c r="I245" t="s">
        <v>3685</v>
      </c>
      <c r="J245" t="s">
        <v>3692</v>
      </c>
      <c r="K245" t="s">
        <v>3695</v>
      </c>
      <c r="L245">
        <v>4</v>
      </c>
      <c r="M245">
        <v>12000</v>
      </c>
      <c r="N245" t="s">
        <v>3704</v>
      </c>
      <c r="O245" t="s">
        <v>3705</v>
      </c>
    </row>
    <row r="246" spans="1:15" x14ac:dyDescent="0.35">
      <c r="A246" t="s">
        <v>259</v>
      </c>
      <c r="B246" t="s">
        <v>1421</v>
      </c>
      <c r="C246" t="s">
        <v>1997</v>
      </c>
      <c r="D246" t="s">
        <v>2727</v>
      </c>
      <c r="E246" t="s">
        <v>3672</v>
      </c>
      <c r="F246">
        <v>20</v>
      </c>
      <c r="G246" t="s">
        <v>3677</v>
      </c>
      <c r="H246" t="s">
        <v>3680</v>
      </c>
      <c r="I246" t="s">
        <v>3687</v>
      </c>
      <c r="J246" t="s">
        <v>3693</v>
      </c>
      <c r="K246" t="s">
        <v>3697</v>
      </c>
      <c r="L246">
        <v>2</v>
      </c>
      <c r="M246">
        <v>5000</v>
      </c>
      <c r="N246" t="s">
        <v>3701</v>
      </c>
      <c r="O246" t="s">
        <v>3705</v>
      </c>
    </row>
    <row r="247" spans="1:15" x14ac:dyDescent="0.35">
      <c r="A247" t="s">
        <v>260</v>
      </c>
      <c r="B247" t="s">
        <v>1384</v>
      </c>
      <c r="C247" t="s">
        <v>1998</v>
      </c>
      <c r="D247" t="s">
        <v>2728</v>
      </c>
      <c r="E247" t="s">
        <v>3671</v>
      </c>
      <c r="F247">
        <v>21</v>
      </c>
      <c r="G247" t="s">
        <v>3676</v>
      </c>
      <c r="H247" t="s">
        <v>3682</v>
      </c>
      <c r="I247" t="s">
        <v>3688</v>
      </c>
      <c r="J247" t="s">
        <v>3694</v>
      </c>
      <c r="K247" t="s">
        <v>3698</v>
      </c>
      <c r="L247">
        <v>4</v>
      </c>
      <c r="M247">
        <v>4500</v>
      </c>
      <c r="N247" t="s">
        <v>3701</v>
      </c>
      <c r="O247" t="s">
        <v>3705</v>
      </c>
    </row>
    <row r="248" spans="1:15" x14ac:dyDescent="0.35">
      <c r="A248" t="s">
        <v>261</v>
      </c>
      <c r="B248" t="s">
        <v>1260</v>
      </c>
      <c r="C248" t="s">
        <v>1999</v>
      </c>
      <c r="D248" t="s">
        <v>2729</v>
      </c>
      <c r="E248" t="s">
        <v>3671</v>
      </c>
      <c r="F248">
        <v>32</v>
      </c>
      <c r="G248" t="s">
        <v>3678</v>
      </c>
      <c r="H248" t="s">
        <v>3683</v>
      </c>
      <c r="I248" t="s">
        <v>3685</v>
      </c>
      <c r="J248" t="s">
        <v>3692</v>
      </c>
      <c r="K248" t="s">
        <v>3695</v>
      </c>
      <c r="L248">
        <v>4</v>
      </c>
      <c r="M248">
        <v>12000</v>
      </c>
      <c r="N248" t="s">
        <v>3704</v>
      </c>
      <c r="O248" t="s">
        <v>3705</v>
      </c>
    </row>
    <row r="249" spans="1:15" x14ac:dyDescent="0.35">
      <c r="A249" t="s">
        <v>262</v>
      </c>
      <c r="B249" t="s">
        <v>1337</v>
      </c>
      <c r="C249" t="s">
        <v>1834</v>
      </c>
      <c r="D249" t="s">
        <v>2730</v>
      </c>
      <c r="E249" t="s">
        <v>3671</v>
      </c>
      <c r="F249">
        <v>33</v>
      </c>
      <c r="G249" t="s">
        <v>3674</v>
      </c>
      <c r="H249" t="s">
        <v>3680</v>
      </c>
      <c r="I249" t="s">
        <v>3691</v>
      </c>
      <c r="J249" t="s">
        <v>3693</v>
      </c>
      <c r="K249" t="s">
        <v>3696</v>
      </c>
      <c r="L249">
        <v>1</v>
      </c>
      <c r="M249">
        <v>58000</v>
      </c>
      <c r="N249" t="s">
        <v>3703</v>
      </c>
      <c r="O249" t="s">
        <v>3706</v>
      </c>
    </row>
    <row r="250" spans="1:15" x14ac:dyDescent="0.35">
      <c r="A250" t="s">
        <v>263</v>
      </c>
      <c r="B250" t="s">
        <v>1422</v>
      </c>
      <c r="C250" t="s">
        <v>2000</v>
      </c>
      <c r="D250" t="s">
        <v>2731</v>
      </c>
      <c r="E250" t="s">
        <v>3671</v>
      </c>
      <c r="F250">
        <v>52</v>
      </c>
      <c r="G250" t="s">
        <v>3679</v>
      </c>
      <c r="H250" t="s">
        <v>3684</v>
      </c>
      <c r="I250" t="s">
        <v>3689</v>
      </c>
      <c r="J250" t="s">
        <v>3694</v>
      </c>
      <c r="K250" t="s">
        <v>3699</v>
      </c>
      <c r="L250">
        <v>2</v>
      </c>
      <c r="M250">
        <v>1800</v>
      </c>
      <c r="N250" t="s">
        <v>3702</v>
      </c>
      <c r="O250" t="s">
        <v>3705</v>
      </c>
    </row>
    <row r="251" spans="1:15" x14ac:dyDescent="0.35">
      <c r="A251" t="s">
        <v>264</v>
      </c>
      <c r="B251" t="s">
        <v>1423</v>
      </c>
      <c r="C251" t="s">
        <v>2001</v>
      </c>
      <c r="D251" t="s">
        <v>2732</v>
      </c>
      <c r="E251" t="s">
        <v>3672</v>
      </c>
      <c r="F251">
        <v>48</v>
      </c>
      <c r="G251" t="s">
        <v>3674</v>
      </c>
      <c r="H251" t="s">
        <v>3680</v>
      </c>
      <c r="I251" t="s">
        <v>3691</v>
      </c>
      <c r="J251" t="s">
        <v>3693</v>
      </c>
      <c r="K251" t="s">
        <v>3696</v>
      </c>
      <c r="L251">
        <v>1</v>
      </c>
      <c r="M251">
        <v>58000</v>
      </c>
      <c r="N251" t="s">
        <v>3704</v>
      </c>
      <c r="O251" t="s">
        <v>3706</v>
      </c>
    </row>
    <row r="252" spans="1:15" x14ac:dyDescent="0.35">
      <c r="A252" t="s">
        <v>265</v>
      </c>
      <c r="B252" t="s">
        <v>1362</v>
      </c>
      <c r="C252" t="s">
        <v>2002</v>
      </c>
      <c r="D252" t="s">
        <v>2733</v>
      </c>
      <c r="E252" t="s">
        <v>3671</v>
      </c>
      <c r="F252">
        <v>56</v>
      </c>
      <c r="G252" t="s">
        <v>3673</v>
      </c>
      <c r="H252" t="s">
        <v>3673</v>
      </c>
      <c r="I252" t="s">
        <v>3689</v>
      </c>
      <c r="J252" t="s">
        <v>3694</v>
      </c>
      <c r="K252" t="s">
        <v>3699</v>
      </c>
      <c r="L252">
        <v>4</v>
      </c>
      <c r="M252">
        <v>1800</v>
      </c>
      <c r="N252" t="s">
        <v>3701</v>
      </c>
      <c r="O252" t="s">
        <v>3707</v>
      </c>
    </row>
    <row r="253" spans="1:15" x14ac:dyDescent="0.35">
      <c r="A253" t="s">
        <v>266</v>
      </c>
      <c r="B253" t="s">
        <v>1424</v>
      </c>
      <c r="C253" t="s">
        <v>1839</v>
      </c>
      <c r="D253" t="s">
        <v>2734</v>
      </c>
      <c r="E253" t="s">
        <v>3672</v>
      </c>
      <c r="F253">
        <v>19</v>
      </c>
      <c r="G253" t="s">
        <v>3677</v>
      </c>
      <c r="H253" t="s">
        <v>3680</v>
      </c>
      <c r="I253" t="s">
        <v>3687</v>
      </c>
      <c r="J253" t="s">
        <v>3693</v>
      </c>
      <c r="K253" t="s">
        <v>3697</v>
      </c>
      <c r="L253">
        <v>5</v>
      </c>
      <c r="M253">
        <v>5000</v>
      </c>
      <c r="N253" t="s">
        <v>3701</v>
      </c>
      <c r="O253" t="s">
        <v>3706</v>
      </c>
    </row>
    <row r="254" spans="1:15" x14ac:dyDescent="0.35">
      <c r="A254" t="s">
        <v>267</v>
      </c>
      <c r="B254" t="s">
        <v>1297</v>
      </c>
      <c r="C254" t="s">
        <v>2003</v>
      </c>
      <c r="D254" t="s">
        <v>2735</v>
      </c>
      <c r="E254" t="s">
        <v>3671</v>
      </c>
      <c r="F254">
        <v>33</v>
      </c>
      <c r="G254" t="s">
        <v>3679</v>
      </c>
      <c r="H254" t="s">
        <v>3684</v>
      </c>
      <c r="I254" t="s">
        <v>3686</v>
      </c>
      <c r="J254" t="s">
        <v>3693</v>
      </c>
      <c r="K254" t="s">
        <v>3696</v>
      </c>
      <c r="L254">
        <v>2</v>
      </c>
      <c r="M254">
        <v>65000</v>
      </c>
      <c r="N254" t="s">
        <v>3702</v>
      </c>
      <c r="O254" t="s">
        <v>3706</v>
      </c>
    </row>
    <row r="255" spans="1:15" x14ac:dyDescent="0.35">
      <c r="A255" t="s">
        <v>268</v>
      </c>
      <c r="B255" t="s">
        <v>1425</v>
      </c>
      <c r="C255" t="s">
        <v>2004</v>
      </c>
      <c r="D255" t="s">
        <v>2736</v>
      </c>
      <c r="E255" t="s">
        <v>3671</v>
      </c>
      <c r="F255">
        <v>54</v>
      </c>
      <c r="G255" t="s">
        <v>3679</v>
      </c>
      <c r="H255" t="s">
        <v>3684</v>
      </c>
      <c r="I255" t="s">
        <v>3690</v>
      </c>
      <c r="J255" t="s">
        <v>3693</v>
      </c>
      <c r="K255" t="s">
        <v>3700</v>
      </c>
      <c r="L255">
        <v>3</v>
      </c>
      <c r="M255">
        <v>72000</v>
      </c>
      <c r="N255" t="s">
        <v>3701</v>
      </c>
      <c r="O255" t="s">
        <v>3707</v>
      </c>
    </row>
    <row r="256" spans="1:15" x14ac:dyDescent="0.35">
      <c r="A256" t="s">
        <v>269</v>
      </c>
      <c r="B256" t="s">
        <v>1426</v>
      </c>
      <c r="C256" t="s">
        <v>2005</v>
      </c>
      <c r="D256" t="s">
        <v>2737</v>
      </c>
      <c r="E256" t="s">
        <v>3672</v>
      </c>
      <c r="F256">
        <v>49</v>
      </c>
      <c r="G256" t="s">
        <v>3679</v>
      </c>
      <c r="H256" t="s">
        <v>3684</v>
      </c>
      <c r="I256" t="s">
        <v>3687</v>
      </c>
      <c r="J256" t="s">
        <v>3693</v>
      </c>
      <c r="K256" t="s">
        <v>3697</v>
      </c>
      <c r="L256">
        <v>1</v>
      </c>
      <c r="M256">
        <v>5000</v>
      </c>
      <c r="N256" t="s">
        <v>3702</v>
      </c>
      <c r="O256" t="s">
        <v>3706</v>
      </c>
    </row>
    <row r="257" spans="1:15" x14ac:dyDescent="0.35">
      <c r="A257" t="s">
        <v>270</v>
      </c>
      <c r="B257" t="s">
        <v>1368</v>
      </c>
      <c r="C257" t="s">
        <v>1795</v>
      </c>
      <c r="D257" t="s">
        <v>2738</v>
      </c>
      <c r="E257" t="s">
        <v>3672</v>
      </c>
      <c r="F257">
        <v>59</v>
      </c>
      <c r="G257" t="s">
        <v>3673</v>
      </c>
      <c r="H257" t="s">
        <v>3673</v>
      </c>
      <c r="I257" t="s">
        <v>3688</v>
      </c>
      <c r="J257" t="s">
        <v>3694</v>
      </c>
      <c r="K257" t="s">
        <v>3698</v>
      </c>
      <c r="L257">
        <v>3</v>
      </c>
      <c r="M257">
        <v>4500</v>
      </c>
      <c r="N257" t="s">
        <v>3703</v>
      </c>
      <c r="O257" t="s">
        <v>3707</v>
      </c>
    </row>
    <row r="258" spans="1:15" x14ac:dyDescent="0.35">
      <c r="A258" t="s">
        <v>271</v>
      </c>
      <c r="B258" t="s">
        <v>1372</v>
      </c>
      <c r="C258" t="s">
        <v>1938</v>
      </c>
      <c r="D258" t="s">
        <v>2739</v>
      </c>
      <c r="E258" t="s">
        <v>3672</v>
      </c>
      <c r="F258">
        <v>22</v>
      </c>
      <c r="G258" t="s">
        <v>3674</v>
      </c>
      <c r="H258" t="s">
        <v>3680</v>
      </c>
      <c r="I258" t="s">
        <v>3688</v>
      </c>
      <c r="J258" t="s">
        <v>3694</v>
      </c>
      <c r="K258" t="s">
        <v>3698</v>
      </c>
      <c r="L258">
        <v>5</v>
      </c>
      <c r="M258">
        <v>4500</v>
      </c>
      <c r="N258" t="s">
        <v>3702</v>
      </c>
      <c r="O258" t="s">
        <v>3706</v>
      </c>
    </row>
    <row r="259" spans="1:15" x14ac:dyDescent="0.35">
      <c r="A259" t="s">
        <v>272</v>
      </c>
      <c r="B259" t="s">
        <v>1427</v>
      </c>
      <c r="C259" t="s">
        <v>2006</v>
      </c>
      <c r="D259" t="s">
        <v>2740</v>
      </c>
      <c r="E259" t="s">
        <v>3672</v>
      </c>
      <c r="F259">
        <v>36</v>
      </c>
      <c r="G259" t="s">
        <v>3676</v>
      </c>
      <c r="H259" t="s">
        <v>3682</v>
      </c>
      <c r="I259" t="s">
        <v>3689</v>
      </c>
      <c r="J259" t="s">
        <v>3694</v>
      </c>
      <c r="K259" t="s">
        <v>3699</v>
      </c>
      <c r="L259">
        <v>5</v>
      </c>
      <c r="M259">
        <v>1800</v>
      </c>
      <c r="N259" t="s">
        <v>3701</v>
      </c>
      <c r="O259" t="s">
        <v>3706</v>
      </c>
    </row>
    <row r="260" spans="1:15" x14ac:dyDescent="0.35">
      <c r="A260" t="s">
        <v>273</v>
      </c>
      <c r="B260" t="s">
        <v>1279</v>
      </c>
      <c r="C260" t="s">
        <v>2007</v>
      </c>
      <c r="D260" t="s">
        <v>2741</v>
      </c>
      <c r="E260" t="s">
        <v>3672</v>
      </c>
      <c r="F260">
        <v>52</v>
      </c>
      <c r="G260" t="s">
        <v>3677</v>
      </c>
      <c r="H260" t="s">
        <v>3680</v>
      </c>
      <c r="I260" t="s">
        <v>3687</v>
      </c>
      <c r="J260" t="s">
        <v>3693</v>
      </c>
      <c r="K260" t="s">
        <v>3697</v>
      </c>
      <c r="L260">
        <v>3</v>
      </c>
      <c r="M260">
        <v>5000</v>
      </c>
      <c r="N260" t="s">
        <v>3702</v>
      </c>
      <c r="O260" t="s">
        <v>3706</v>
      </c>
    </row>
    <row r="261" spans="1:15" x14ac:dyDescent="0.35">
      <c r="A261" t="s">
        <v>274</v>
      </c>
      <c r="B261" t="s">
        <v>1428</v>
      </c>
      <c r="C261" t="s">
        <v>2008</v>
      </c>
      <c r="D261" t="s">
        <v>2742</v>
      </c>
      <c r="E261" t="s">
        <v>3672</v>
      </c>
      <c r="F261">
        <v>25</v>
      </c>
      <c r="G261" t="s">
        <v>3676</v>
      </c>
      <c r="H261" t="s">
        <v>3682</v>
      </c>
      <c r="I261" t="s">
        <v>3687</v>
      </c>
      <c r="J261" t="s">
        <v>3693</v>
      </c>
      <c r="K261" t="s">
        <v>3697</v>
      </c>
      <c r="L261">
        <v>1</v>
      </c>
      <c r="M261">
        <v>5000</v>
      </c>
      <c r="N261" t="s">
        <v>3701</v>
      </c>
      <c r="O261" t="s">
        <v>3706</v>
      </c>
    </row>
    <row r="262" spans="1:15" x14ac:dyDescent="0.35">
      <c r="A262" t="s">
        <v>275</v>
      </c>
      <c r="B262" t="s">
        <v>1349</v>
      </c>
      <c r="C262" t="s">
        <v>1943</v>
      </c>
      <c r="D262" t="s">
        <v>2743</v>
      </c>
      <c r="E262" t="s">
        <v>3671</v>
      </c>
      <c r="F262">
        <v>47</v>
      </c>
      <c r="G262" t="s">
        <v>3674</v>
      </c>
      <c r="H262" t="s">
        <v>3680</v>
      </c>
      <c r="I262" t="s">
        <v>3685</v>
      </c>
      <c r="J262" t="s">
        <v>3692</v>
      </c>
      <c r="K262" t="s">
        <v>3695</v>
      </c>
      <c r="L262">
        <v>1</v>
      </c>
      <c r="M262">
        <v>12000</v>
      </c>
      <c r="N262" t="s">
        <v>3702</v>
      </c>
      <c r="O262" t="s">
        <v>3706</v>
      </c>
    </row>
    <row r="263" spans="1:15" x14ac:dyDescent="0.35">
      <c r="A263" t="s">
        <v>276</v>
      </c>
      <c r="B263" t="s">
        <v>1361</v>
      </c>
      <c r="C263" t="s">
        <v>2009</v>
      </c>
      <c r="D263" t="s">
        <v>2744</v>
      </c>
      <c r="E263" t="s">
        <v>3672</v>
      </c>
      <c r="F263">
        <v>30</v>
      </c>
      <c r="G263" t="s">
        <v>3678</v>
      </c>
      <c r="H263" t="s">
        <v>3683</v>
      </c>
      <c r="I263" t="s">
        <v>3691</v>
      </c>
      <c r="J263" t="s">
        <v>3693</v>
      </c>
      <c r="K263" t="s">
        <v>3696</v>
      </c>
      <c r="L263">
        <v>1</v>
      </c>
      <c r="M263">
        <v>58000</v>
      </c>
      <c r="N263" t="s">
        <v>3702</v>
      </c>
      <c r="O263" t="s">
        <v>3706</v>
      </c>
    </row>
    <row r="264" spans="1:15" x14ac:dyDescent="0.35">
      <c r="A264" t="s">
        <v>277</v>
      </c>
      <c r="B264" t="s">
        <v>1346</v>
      </c>
      <c r="C264" t="s">
        <v>2010</v>
      </c>
      <c r="D264" t="s">
        <v>2745</v>
      </c>
      <c r="E264" t="s">
        <v>3671</v>
      </c>
      <c r="F264">
        <v>57</v>
      </c>
      <c r="G264" t="s">
        <v>3675</v>
      </c>
      <c r="H264" t="s">
        <v>3681</v>
      </c>
      <c r="I264" t="s">
        <v>3688</v>
      </c>
      <c r="J264" t="s">
        <v>3694</v>
      </c>
      <c r="K264" t="s">
        <v>3698</v>
      </c>
      <c r="L264">
        <v>4</v>
      </c>
      <c r="M264">
        <v>4500</v>
      </c>
      <c r="N264" t="s">
        <v>3702</v>
      </c>
      <c r="O264" t="s">
        <v>3707</v>
      </c>
    </row>
    <row r="265" spans="1:15" x14ac:dyDescent="0.35">
      <c r="A265" t="s">
        <v>278</v>
      </c>
      <c r="B265" t="s">
        <v>1429</v>
      </c>
      <c r="C265" t="s">
        <v>2011</v>
      </c>
      <c r="D265" t="s">
        <v>2746</v>
      </c>
      <c r="E265" t="s">
        <v>3672</v>
      </c>
      <c r="F265">
        <v>59</v>
      </c>
      <c r="G265" t="s">
        <v>3676</v>
      </c>
      <c r="H265" t="s">
        <v>3682</v>
      </c>
      <c r="I265" t="s">
        <v>3685</v>
      </c>
      <c r="J265" t="s">
        <v>3692</v>
      </c>
      <c r="K265" t="s">
        <v>3695</v>
      </c>
      <c r="L265">
        <v>5</v>
      </c>
      <c r="M265">
        <v>12000</v>
      </c>
      <c r="N265" t="s">
        <v>3704</v>
      </c>
      <c r="O265" t="s">
        <v>3707</v>
      </c>
    </row>
    <row r="266" spans="1:15" x14ac:dyDescent="0.35">
      <c r="A266" t="s">
        <v>279</v>
      </c>
      <c r="B266" t="s">
        <v>1430</v>
      </c>
      <c r="C266" t="s">
        <v>1834</v>
      </c>
      <c r="D266" t="s">
        <v>2747</v>
      </c>
      <c r="E266" t="s">
        <v>3671</v>
      </c>
      <c r="F266">
        <v>24</v>
      </c>
      <c r="G266" t="s">
        <v>3679</v>
      </c>
      <c r="H266" t="s">
        <v>3684</v>
      </c>
      <c r="I266" t="s">
        <v>3688</v>
      </c>
      <c r="J266" t="s">
        <v>3694</v>
      </c>
      <c r="K266" t="s">
        <v>3698</v>
      </c>
      <c r="L266">
        <v>2</v>
      </c>
      <c r="M266">
        <v>4500</v>
      </c>
      <c r="N266" t="s">
        <v>3702</v>
      </c>
      <c r="O266" t="s">
        <v>3707</v>
      </c>
    </row>
    <row r="267" spans="1:15" x14ac:dyDescent="0.35">
      <c r="A267" t="s">
        <v>280</v>
      </c>
      <c r="B267" t="s">
        <v>1431</v>
      </c>
      <c r="C267" t="s">
        <v>2012</v>
      </c>
      <c r="D267" t="s">
        <v>2748</v>
      </c>
      <c r="E267" t="s">
        <v>3671</v>
      </c>
      <c r="F267">
        <v>56</v>
      </c>
      <c r="G267" t="s">
        <v>3677</v>
      </c>
      <c r="H267" t="s">
        <v>3680</v>
      </c>
      <c r="I267" t="s">
        <v>3690</v>
      </c>
      <c r="J267" t="s">
        <v>3693</v>
      </c>
      <c r="K267" t="s">
        <v>3700</v>
      </c>
      <c r="L267">
        <v>1</v>
      </c>
      <c r="M267">
        <v>72000</v>
      </c>
      <c r="N267" t="s">
        <v>3704</v>
      </c>
      <c r="O267" t="s">
        <v>3705</v>
      </c>
    </row>
    <row r="268" spans="1:15" x14ac:dyDescent="0.35">
      <c r="A268" t="s">
        <v>281</v>
      </c>
      <c r="B268" t="s">
        <v>1266</v>
      </c>
      <c r="C268" t="s">
        <v>2013</v>
      </c>
      <c r="D268" t="s">
        <v>2749</v>
      </c>
      <c r="E268" t="s">
        <v>3671</v>
      </c>
      <c r="F268">
        <v>29</v>
      </c>
      <c r="G268" t="s">
        <v>3676</v>
      </c>
      <c r="H268" t="s">
        <v>3682</v>
      </c>
      <c r="I268" t="s">
        <v>3688</v>
      </c>
      <c r="J268" t="s">
        <v>3694</v>
      </c>
      <c r="K268" t="s">
        <v>3698</v>
      </c>
      <c r="L268">
        <v>2</v>
      </c>
      <c r="M268">
        <v>4500</v>
      </c>
      <c r="N268" t="s">
        <v>3704</v>
      </c>
      <c r="O268" t="s">
        <v>3707</v>
      </c>
    </row>
    <row r="269" spans="1:15" x14ac:dyDescent="0.35">
      <c r="A269" t="s">
        <v>282</v>
      </c>
      <c r="B269" t="s">
        <v>1293</v>
      </c>
      <c r="C269" t="s">
        <v>1895</v>
      </c>
      <c r="D269" t="s">
        <v>2750</v>
      </c>
      <c r="E269" t="s">
        <v>3671</v>
      </c>
      <c r="F269">
        <v>58</v>
      </c>
      <c r="G269" t="s">
        <v>3676</v>
      </c>
      <c r="H269" t="s">
        <v>3682</v>
      </c>
      <c r="I269" t="s">
        <v>3686</v>
      </c>
      <c r="J269" t="s">
        <v>3693</v>
      </c>
      <c r="K269" t="s">
        <v>3696</v>
      </c>
      <c r="L269">
        <v>1</v>
      </c>
      <c r="M269">
        <v>65000</v>
      </c>
      <c r="N269" t="s">
        <v>3702</v>
      </c>
      <c r="O269" t="s">
        <v>3705</v>
      </c>
    </row>
    <row r="270" spans="1:15" x14ac:dyDescent="0.35">
      <c r="A270" t="s">
        <v>283</v>
      </c>
      <c r="B270" t="s">
        <v>1432</v>
      </c>
      <c r="C270" t="s">
        <v>1872</v>
      </c>
      <c r="D270" t="s">
        <v>2751</v>
      </c>
      <c r="E270" t="s">
        <v>3672</v>
      </c>
      <c r="F270">
        <v>43</v>
      </c>
      <c r="G270" t="s">
        <v>3677</v>
      </c>
      <c r="H270" t="s">
        <v>3680</v>
      </c>
      <c r="I270" t="s">
        <v>3690</v>
      </c>
      <c r="J270" t="s">
        <v>3693</v>
      </c>
      <c r="K270" t="s">
        <v>3700</v>
      </c>
      <c r="L270">
        <v>4</v>
      </c>
      <c r="M270">
        <v>72000</v>
      </c>
      <c r="N270" t="s">
        <v>3701</v>
      </c>
      <c r="O270" t="s">
        <v>3706</v>
      </c>
    </row>
    <row r="271" spans="1:15" x14ac:dyDescent="0.35">
      <c r="A271" t="s">
        <v>284</v>
      </c>
      <c r="B271" t="s">
        <v>1433</v>
      </c>
      <c r="C271" t="s">
        <v>1996</v>
      </c>
      <c r="D271" t="s">
        <v>2752</v>
      </c>
      <c r="E271" t="s">
        <v>3671</v>
      </c>
      <c r="F271">
        <v>45</v>
      </c>
      <c r="G271" t="s">
        <v>3677</v>
      </c>
      <c r="H271" t="s">
        <v>3680</v>
      </c>
      <c r="I271" t="s">
        <v>3689</v>
      </c>
      <c r="J271" t="s">
        <v>3694</v>
      </c>
      <c r="K271" t="s">
        <v>3699</v>
      </c>
      <c r="L271">
        <v>3</v>
      </c>
      <c r="M271">
        <v>1800</v>
      </c>
      <c r="N271" t="s">
        <v>3702</v>
      </c>
      <c r="O271" t="s">
        <v>3706</v>
      </c>
    </row>
    <row r="272" spans="1:15" x14ac:dyDescent="0.35">
      <c r="A272" t="s">
        <v>285</v>
      </c>
      <c r="B272" t="s">
        <v>1434</v>
      </c>
      <c r="C272" t="s">
        <v>2014</v>
      </c>
      <c r="D272" t="s">
        <v>2753</v>
      </c>
      <c r="E272" t="s">
        <v>3672</v>
      </c>
      <c r="F272">
        <v>25</v>
      </c>
      <c r="G272" t="s">
        <v>3679</v>
      </c>
      <c r="H272" t="s">
        <v>3684</v>
      </c>
      <c r="I272" t="s">
        <v>3686</v>
      </c>
      <c r="J272" t="s">
        <v>3693</v>
      </c>
      <c r="K272" t="s">
        <v>3696</v>
      </c>
      <c r="L272">
        <v>1</v>
      </c>
      <c r="M272">
        <v>65000</v>
      </c>
      <c r="N272" t="s">
        <v>3702</v>
      </c>
      <c r="O272" t="s">
        <v>3707</v>
      </c>
    </row>
    <row r="273" spans="1:15" x14ac:dyDescent="0.35">
      <c r="A273" t="s">
        <v>286</v>
      </c>
      <c r="B273" t="s">
        <v>1332</v>
      </c>
      <c r="C273" t="s">
        <v>2015</v>
      </c>
      <c r="D273" t="s">
        <v>2754</v>
      </c>
      <c r="E273" t="s">
        <v>3671</v>
      </c>
      <c r="F273">
        <v>52</v>
      </c>
      <c r="G273" t="s">
        <v>3677</v>
      </c>
      <c r="H273" t="s">
        <v>3680</v>
      </c>
      <c r="I273" t="s">
        <v>3685</v>
      </c>
      <c r="J273" t="s">
        <v>3692</v>
      </c>
      <c r="K273" t="s">
        <v>3695</v>
      </c>
      <c r="L273">
        <v>5</v>
      </c>
      <c r="M273">
        <v>12000</v>
      </c>
      <c r="N273" t="s">
        <v>3703</v>
      </c>
      <c r="O273" t="s">
        <v>3707</v>
      </c>
    </row>
    <row r="274" spans="1:15" x14ac:dyDescent="0.35">
      <c r="A274" t="s">
        <v>287</v>
      </c>
      <c r="B274" t="s">
        <v>1435</v>
      </c>
      <c r="C274" t="s">
        <v>2016</v>
      </c>
      <c r="D274" t="s">
        <v>2755</v>
      </c>
      <c r="E274" t="s">
        <v>3672</v>
      </c>
      <c r="F274">
        <v>60</v>
      </c>
      <c r="G274" t="s">
        <v>3677</v>
      </c>
      <c r="H274" t="s">
        <v>3680</v>
      </c>
      <c r="I274" t="s">
        <v>3687</v>
      </c>
      <c r="J274" t="s">
        <v>3693</v>
      </c>
      <c r="K274" t="s">
        <v>3697</v>
      </c>
      <c r="L274">
        <v>1</v>
      </c>
      <c r="M274">
        <v>5000</v>
      </c>
      <c r="N274" t="s">
        <v>3702</v>
      </c>
      <c r="O274" t="s">
        <v>3707</v>
      </c>
    </row>
    <row r="275" spans="1:15" x14ac:dyDescent="0.35">
      <c r="A275" t="s">
        <v>288</v>
      </c>
      <c r="B275" t="s">
        <v>1436</v>
      </c>
      <c r="C275" t="s">
        <v>1957</v>
      </c>
      <c r="D275" t="s">
        <v>2756</v>
      </c>
      <c r="E275" t="s">
        <v>3672</v>
      </c>
      <c r="F275">
        <v>38</v>
      </c>
      <c r="G275" t="s">
        <v>3675</v>
      </c>
      <c r="H275" t="s">
        <v>3681</v>
      </c>
      <c r="I275" t="s">
        <v>3686</v>
      </c>
      <c r="J275" t="s">
        <v>3693</v>
      </c>
      <c r="K275" t="s">
        <v>3696</v>
      </c>
      <c r="L275">
        <v>3</v>
      </c>
      <c r="M275">
        <v>65000</v>
      </c>
      <c r="N275" t="s">
        <v>3701</v>
      </c>
      <c r="O275" t="s">
        <v>3706</v>
      </c>
    </row>
    <row r="276" spans="1:15" x14ac:dyDescent="0.35">
      <c r="A276" t="s">
        <v>289</v>
      </c>
      <c r="B276" t="s">
        <v>1437</v>
      </c>
      <c r="C276" t="s">
        <v>2017</v>
      </c>
      <c r="D276" t="s">
        <v>2757</v>
      </c>
      <c r="E276" t="s">
        <v>3672</v>
      </c>
      <c r="F276">
        <v>58</v>
      </c>
      <c r="G276" t="s">
        <v>3677</v>
      </c>
      <c r="H276" t="s">
        <v>3680</v>
      </c>
      <c r="I276" t="s">
        <v>3688</v>
      </c>
      <c r="J276" t="s">
        <v>3694</v>
      </c>
      <c r="K276" t="s">
        <v>3698</v>
      </c>
      <c r="L276">
        <v>5</v>
      </c>
      <c r="M276">
        <v>4500</v>
      </c>
      <c r="N276" t="s">
        <v>3701</v>
      </c>
      <c r="O276" t="s">
        <v>3706</v>
      </c>
    </row>
    <row r="277" spans="1:15" x14ac:dyDescent="0.35">
      <c r="A277" t="s">
        <v>290</v>
      </c>
      <c r="B277" t="s">
        <v>1438</v>
      </c>
      <c r="C277" t="s">
        <v>2018</v>
      </c>
      <c r="D277" t="s">
        <v>2758</v>
      </c>
      <c r="E277" t="s">
        <v>3671</v>
      </c>
      <c r="F277">
        <v>27</v>
      </c>
      <c r="G277" t="s">
        <v>3676</v>
      </c>
      <c r="H277" t="s">
        <v>3682</v>
      </c>
      <c r="I277" t="s">
        <v>3688</v>
      </c>
      <c r="J277" t="s">
        <v>3694</v>
      </c>
      <c r="K277" t="s">
        <v>3698</v>
      </c>
      <c r="L277">
        <v>2</v>
      </c>
      <c r="M277">
        <v>4500</v>
      </c>
      <c r="N277" t="s">
        <v>3704</v>
      </c>
      <c r="O277" t="s">
        <v>3705</v>
      </c>
    </row>
    <row r="278" spans="1:15" x14ac:dyDescent="0.35">
      <c r="A278" t="s">
        <v>291</v>
      </c>
      <c r="B278" t="s">
        <v>1439</v>
      </c>
      <c r="C278" t="s">
        <v>2019</v>
      </c>
      <c r="D278" t="s">
        <v>2759</v>
      </c>
      <c r="E278" t="s">
        <v>3671</v>
      </c>
      <c r="F278">
        <v>33</v>
      </c>
      <c r="G278" t="s">
        <v>3679</v>
      </c>
      <c r="H278" t="s">
        <v>3684</v>
      </c>
      <c r="I278" t="s">
        <v>3686</v>
      </c>
      <c r="J278" t="s">
        <v>3693</v>
      </c>
      <c r="K278" t="s">
        <v>3696</v>
      </c>
      <c r="L278">
        <v>4</v>
      </c>
      <c r="M278">
        <v>65000</v>
      </c>
      <c r="N278" t="s">
        <v>3701</v>
      </c>
      <c r="O278" t="s">
        <v>3706</v>
      </c>
    </row>
    <row r="279" spans="1:15" x14ac:dyDescent="0.35">
      <c r="A279" t="s">
        <v>292</v>
      </c>
      <c r="B279" t="s">
        <v>1440</v>
      </c>
      <c r="C279" t="s">
        <v>1863</v>
      </c>
      <c r="D279" t="s">
        <v>2760</v>
      </c>
      <c r="E279" t="s">
        <v>3672</v>
      </c>
      <c r="F279">
        <v>27</v>
      </c>
      <c r="G279" t="s">
        <v>3678</v>
      </c>
      <c r="H279" t="s">
        <v>3683</v>
      </c>
      <c r="I279" t="s">
        <v>3685</v>
      </c>
      <c r="J279" t="s">
        <v>3692</v>
      </c>
      <c r="K279" t="s">
        <v>3695</v>
      </c>
      <c r="L279">
        <v>3</v>
      </c>
      <c r="M279">
        <v>12000</v>
      </c>
      <c r="N279" t="s">
        <v>3704</v>
      </c>
      <c r="O279" t="s">
        <v>3706</v>
      </c>
    </row>
    <row r="280" spans="1:15" x14ac:dyDescent="0.35">
      <c r="A280" t="s">
        <v>293</v>
      </c>
      <c r="B280" t="s">
        <v>1441</v>
      </c>
      <c r="C280" t="s">
        <v>2020</v>
      </c>
      <c r="D280" t="s">
        <v>2761</v>
      </c>
      <c r="E280" t="s">
        <v>3671</v>
      </c>
      <c r="F280">
        <v>41</v>
      </c>
      <c r="G280" t="s">
        <v>3677</v>
      </c>
      <c r="H280" t="s">
        <v>3680</v>
      </c>
      <c r="I280" t="s">
        <v>3690</v>
      </c>
      <c r="J280" t="s">
        <v>3693</v>
      </c>
      <c r="K280" t="s">
        <v>3700</v>
      </c>
      <c r="L280">
        <v>4</v>
      </c>
      <c r="M280">
        <v>72000</v>
      </c>
      <c r="N280" t="s">
        <v>3704</v>
      </c>
      <c r="O280" t="s">
        <v>3706</v>
      </c>
    </row>
    <row r="281" spans="1:15" x14ac:dyDescent="0.35">
      <c r="A281" t="s">
        <v>294</v>
      </c>
      <c r="B281" t="s">
        <v>1442</v>
      </c>
      <c r="C281" t="s">
        <v>2021</v>
      </c>
      <c r="D281" t="s">
        <v>2762</v>
      </c>
      <c r="E281" t="s">
        <v>3672</v>
      </c>
      <c r="F281">
        <v>20</v>
      </c>
      <c r="G281" t="s">
        <v>3674</v>
      </c>
      <c r="H281" t="s">
        <v>3680</v>
      </c>
      <c r="I281" t="s">
        <v>3685</v>
      </c>
      <c r="J281" t="s">
        <v>3692</v>
      </c>
      <c r="K281" t="s">
        <v>3695</v>
      </c>
      <c r="L281">
        <v>5</v>
      </c>
      <c r="M281">
        <v>12000</v>
      </c>
      <c r="N281" t="s">
        <v>3703</v>
      </c>
      <c r="O281" t="s">
        <v>3707</v>
      </c>
    </row>
    <row r="282" spans="1:15" x14ac:dyDescent="0.35">
      <c r="A282" t="s">
        <v>295</v>
      </c>
      <c r="B282" t="s">
        <v>1443</v>
      </c>
      <c r="C282" t="s">
        <v>1861</v>
      </c>
      <c r="D282" t="s">
        <v>2763</v>
      </c>
      <c r="E282" t="s">
        <v>3672</v>
      </c>
      <c r="F282">
        <v>22</v>
      </c>
      <c r="G282" t="s">
        <v>3676</v>
      </c>
      <c r="H282" t="s">
        <v>3682</v>
      </c>
      <c r="I282" t="s">
        <v>3686</v>
      </c>
      <c r="J282" t="s">
        <v>3693</v>
      </c>
      <c r="K282" t="s">
        <v>3696</v>
      </c>
      <c r="L282">
        <v>4</v>
      </c>
      <c r="M282">
        <v>65000</v>
      </c>
      <c r="N282" t="s">
        <v>3701</v>
      </c>
      <c r="O282" t="s">
        <v>3706</v>
      </c>
    </row>
    <row r="283" spans="1:15" x14ac:dyDescent="0.35">
      <c r="A283" t="s">
        <v>296</v>
      </c>
      <c r="B283" t="s">
        <v>1444</v>
      </c>
      <c r="C283" t="s">
        <v>2022</v>
      </c>
      <c r="D283" t="s">
        <v>2764</v>
      </c>
      <c r="E283" t="s">
        <v>3671</v>
      </c>
      <c r="F283">
        <v>41</v>
      </c>
      <c r="G283" t="s">
        <v>3673</v>
      </c>
      <c r="H283" t="s">
        <v>3673</v>
      </c>
      <c r="I283" t="s">
        <v>3688</v>
      </c>
      <c r="J283" t="s">
        <v>3694</v>
      </c>
      <c r="K283" t="s">
        <v>3698</v>
      </c>
      <c r="L283">
        <v>3</v>
      </c>
      <c r="M283">
        <v>4500</v>
      </c>
      <c r="N283" t="s">
        <v>3703</v>
      </c>
      <c r="O283" t="s">
        <v>3707</v>
      </c>
    </row>
    <row r="284" spans="1:15" x14ac:dyDescent="0.35">
      <c r="A284" t="s">
        <v>297</v>
      </c>
      <c r="B284" t="s">
        <v>1445</v>
      </c>
      <c r="C284" t="s">
        <v>1818</v>
      </c>
      <c r="D284" t="s">
        <v>2765</v>
      </c>
      <c r="E284" t="s">
        <v>3672</v>
      </c>
      <c r="F284">
        <v>24</v>
      </c>
      <c r="G284" t="s">
        <v>3677</v>
      </c>
      <c r="H284" t="s">
        <v>3680</v>
      </c>
      <c r="I284" t="s">
        <v>3688</v>
      </c>
      <c r="J284" t="s">
        <v>3694</v>
      </c>
      <c r="K284" t="s">
        <v>3698</v>
      </c>
      <c r="L284">
        <v>4</v>
      </c>
      <c r="M284">
        <v>4500</v>
      </c>
      <c r="N284" t="s">
        <v>3704</v>
      </c>
      <c r="O284" t="s">
        <v>3705</v>
      </c>
    </row>
    <row r="285" spans="1:15" x14ac:dyDescent="0.35">
      <c r="A285" t="s">
        <v>298</v>
      </c>
      <c r="B285" t="s">
        <v>1313</v>
      </c>
      <c r="C285" t="s">
        <v>2023</v>
      </c>
      <c r="D285" t="s">
        <v>2766</v>
      </c>
      <c r="E285" t="s">
        <v>3672</v>
      </c>
      <c r="F285">
        <v>57</v>
      </c>
      <c r="G285" t="s">
        <v>3677</v>
      </c>
      <c r="H285" t="s">
        <v>3680</v>
      </c>
      <c r="I285" t="s">
        <v>3688</v>
      </c>
      <c r="J285" t="s">
        <v>3694</v>
      </c>
      <c r="K285" t="s">
        <v>3698</v>
      </c>
      <c r="L285">
        <v>2</v>
      </c>
      <c r="M285">
        <v>4500</v>
      </c>
      <c r="N285" t="s">
        <v>3704</v>
      </c>
      <c r="O285" t="s">
        <v>3705</v>
      </c>
    </row>
    <row r="286" spans="1:15" x14ac:dyDescent="0.35">
      <c r="A286" t="s">
        <v>299</v>
      </c>
      <c r="B286" t="s">
        <v>1446</v>
      </c>
      <c r="C286" t="s">
        <v>1807</v>
      </c>
      <c r="D286" t="s">
        <v>2767</v>
      </c>
      <c r="E286" t="s">
        <v>3672</v>
      </c>
      <c r="F286">
        <v>40</v>
      </c>
      <c r="G286" t="s">
        <v>3673</v>
      </c>
      <c r="H286" t="s">
        <v>3673</v>
      </c>
      <c r="I286" t="s">
        <v>3686</v>
      </c>
      <c r="J286" t="s">
        <v>3693</v>
      </c>
      <c r="K286" t="s">
        <v>3696</v>
      </c>
      <c r="L286">
        <v>2</v>
      </c>
      <c r="M286">
        <v>65000</v>
      </c>
      <c r="N286" t="s">
        <v>3701</v>
      </c>
      <c r="O286" t="s">
        <v>3705</v>
      </c>
    </row>
    <row r="287" spans="1:15" x14ac:dyDescent="0.35">
      <c r="A287" t="s">
        <v>300</v>
      </c>
      <c r="B287" t="s">
        <v>1447</v>
      </c>
      <c r="C287" t="s">
        <v>2024</v>
      </c>
      <c r="D287" t="s">
        <v>2768</v>
      </c>
      <c r="E287" t="s">
        <v>3672</v>
      </c>
      <c r="F287">
        <v>31</v>
      </c>
      <c r="G287" t="s">
        <v>3677</v>
      </c>
      <c r="H287" t="s">
        <v>3680</v>
      </c>
      <c r="I287" t="s">
        <v>3686</v>
      </c>
      <c r="J287" t="s">
        <v>3693</v>
      </c>
      <c r="K287" t="s">
        <v>3696</v>
      </c>
      <c r="L287">
        <v>1</v>
      </c>
      <c r="M287">
        <v>65000</v>
      </c>
      <c r="N287" t="s">
        <v>3704</v>
      </c>
      <c r="O287" t="s">
        <v>3706</v>
      </c>
    </row>
    <row r="288" spans="1:15" x14ac:dyDescent="0.35">
      <c r="A288" t="s">
        <v>301</v>
      </c>
      <c r="B288" t="s">
        <v>1448</v>
      </c>
      <c r="C288" t="s">
        <v>2025</v>
      </c>
      <c r="D288" t="s">
        <v>2769</v>
      </c>
      <c r="E288" t="s">
        <v>3671</v>
      </c>
      <c r="F288">
        <v>47</v>
      </c>
      <c r="G288" t="s">
        <v>3676</v>
      </c>
      <c r="H288" t="s">
        <v>3682</v>
      </c>
      <c r="I288" t="s">
        <v>3686</v>
      </c>
      <c r="J288" t="s">
        <v>3693</v>
      </c>
      <c r="K288" t="s">
        <v>3696</v>
      </c>
      <c r="L288">
        <v>2</v>
      </c>
      <c r="M288">
        <v>65000</v>
      </c>
      <c r="N288" t="s">
        <v>3702</v>
      </c>
      <c r="O288" t="s">
        <v>3706</v>
      </c>
    </row>
    <row r="289" spans="1:15" x14ac:dyDescent="0.35">
      <c r="A289" t="s">
        <v>302</v>
      </c>
      <c r="B289" t="s">
        <v>1449</v>
      </c>
      <c r="C289" t="s">
        <v>2026</v>
      </c>
      <c r="D289" t="s">
        <v>2770</v>
      </c>
      <c r="E289" t="s">
        <v>3672</v>
      </c>
      <c r="F289">
        <v>32</v>
      </c>
      <c r="G289" t="s">
        <v>3673</v>
      </c>
      <c r="H289" t="s">
        <v>3673</v>
      </c>
      <c r="I289" t="s">
        <v>3685</v>
      </c>
      <c r="J289" t="s">
        <v>3692</v>
      </c>
      <c r="K289" t="s">
        <v>3695</v>
      </c>
      <c r="L289">
        <v>1</v>
      </c>
      <c r="M289">
        <v>12000</v>
      </c>
      <c r="N289" t="s">
        <v>3702</v>
      </c>
      <c r="O289" t="s">
        <v>3706</v>
      </c>
    </row>
    <row r="290" spans="1:15" x14ac:dyDescent="0.35">
      <c r="A290" t="s">
        <v>303</v>
      </c>
      <c r="B290" t="s">
        <v>1450</v>
      </c>
      <c r="C290" t="s">
        <v>2027</v>
      </c>
      <c r="D290" t="s">
        <v>2771</v>
      </c>
      <c r="E290" t="s">
        <v>3672</v>
      </c>
      <c r="F290">
        <v>26</v>
      </c>
      <c r="G290" t="s">
        <v>3677</v>
      </c>
      <c r="H290" t="s">
        <v>3680</v>
      </c>
      <c r="I290" t="s">
        <v>3691</v>
      </c>
      <c r="J290" t="s">
        <v>3693</v>
      </c>
      <c r="K290" t="s">
        <v>3696</v>
      </c>
      <c r="L290">
        <v>3</v>
      </c>
      <c r="M290">
        <v>58000</v>
      </c>
      <c r="N290" t="s">
        <v>3704</v>
      </c>
      <c r="O290" t="s">
        <v>3707</v>
      </c>
    </row>
    <row r="291" spans="1:15" x14ac:dyDescent="0.35">
      <c r="A291" t="s">
        <v>304</v>
      </c>
      <c r="B291" t="s">
        <v>1419</v>
      </c>
      <c r="C291" t="s">
        <v>2028</v>
      </c>
      <c r="D291" t="s">
        <v>2772</v>
      </c>
      <c r="E291" t="s">
        <v>3672</v>
      </c>
      <c r="F291">
        <v>46</v>
      </c>
      <c r="G291" t="s">
        <v>3674</v>
      </c>
      <c r="H291" t="s">
        <v>3680</v>
      </c>
      <c r="I291" t="s">
        <v>3687</v>
      </c>
      <c r="J291" t="s">
        <v>3693</v>
      </c>
      <c r="K291" t="s">
        <v>3697</v>
      </c>
      <c r="L291">
        <v>5</v>
      </c>
      <c r="M291">
        <v>5000</v>
      </c>
      <c r="N291" t="s">
        <v>3703</v>
      </c>
      <c r="O291" t="s">
        <v>3707</v>
      </c>
    </row>
    <row r="292" spans="1:15" x14ac:dyDescent="0.35">
      <c r="A292" t="s">
        <v>305</v>
      </c>
      <c r="B292" t="s">
        <v>1451</v>
      </c>
      <c r="C292" t="s">
        <v>2029</v>
      </c>
      <c r="D292" t="s">
        <v>2773</v>
      </c>
      <c r="E292" t="s">
        <v>3672</v>
      </c>
      <c r="F292">
        <v>19</v>
      </c>
      <c r="G292" t="s">
        <v>3678</v>
      </c>
      <c r="H292" t="s">
        <v>3683</v>
      </c>
      <c r="I292" t="s">
        <v>3687</v>
      </c>
      <c r="J292" t="s">
        <v>3693</v>
      </c>
      <c r="K292" t="s">
        <v>3697</v>
      </c>
      <c r="L292">
        <v>4</v>
      </c>
      <c r="M292">
        <v>5000</v>
      </c>
      <c r="N292" t="s">
        <v>3701</v>
      </c>
      <c r="O292" t="s">
        <v>3707</v>
      </c>
    </row>
    <row r="293" spans="1:15" x14ac:dyDescent="0.35">
      <c r="A293" t="s">
        <v>306</v>
      </c>
      <c r="B293" t="s">
        <v>1452</v>
      </c>
      <c r="C293" t="s">
        <v>2030</v>
      </c>
      <c r="D293" t="s">
        <v>2774</v>
      </c>
      <c r="E293" t="s">
        <v>3672</v>
      </c>
      <c r="F293">
        <v>29</v>
      </c>
      <c r="G293" t="s">
        <v>3673</v>
      </c>
      <c r="H293" t="s">
        <v>3673</v>
      </c>
      <c r="I293" t="s">
        <v>3689</v>
      </c>
      <c r="J293" t="s">
        <v>3694</v>
      </c>
      <c r="K293" t="s">
        <v>3699</v>
      </c>
      <c r="L293">
        <v>4</v>
      </c>
      <c r="M293">
        <v>1800</v>
      </c>
      <c r="N293" t="s">
        <v>3701</v>
      </c>
      <c r="O293" t="s">
        <v>3705</v>
      </c>
    </row>
    <row r="294" spans="1:15" x14ac:dyDescent="0.35">
      <c r="A294" t="s">
        <v>307</v>
      </c>
      <c r="B294" t="s">
        <v>1356</v>
      </c>
      <c r="C294" t="s">
        <v>2031</v>
      </c>
      <c r="D294" t="s">
        <v>2775</v>
      </c>
      <c r="E294" t="s">
        <v>3672</v>
      </c>
      <c r="F294">
        <v>26</v>
      </c>
      <c r="G294" t="s">
        <v>3675</v>
      </c>
      <c r="H294" t="s">
        <v>3681</v>
      </c>
      <c r="I294" t="s">
        <v>3686</v>
      </c>
      <c r="J294" t="s">
        <v>3693</v>
      </c>
      <c r="K294" t="s">
        <v>3696</v>
      </c>
      <c r="L294">
        <v>3</v>
      </c>
      <c r="M294">
        <v>65000</v>
      </c>
      <c r="N294" t="s">
        <v>3703</v>
      </c>
      <c r="O294" t="s">
        <v>3707</v>
      </c>
    </row>
    <row r="295" spans="1:15" x14ac:dyDescent="0.35">
      <c r="A295" t="s">
        <v>308</v>
      </c>
      <c r="B295" t="s">
        <v>1453</v>
      </c>
      <c r="C295" t="s">
        <v>2032</v>
      </c>
      <c r="D295" t="s">
        <v>2776</v>
      </c>
      <c r="E295" t="s">
        <v>3671</v>
      </c>
      <c r="F295">
        <v>48</v>
      </c>
      <c r="G295" t="s">
        <v>3676</v>
      </c>
      <c r="H295" t="s">
        <v>3682</v>
      </c>
      <c r="I295" t="s">
        <v>3688</v>
      </c>
      <c r="J295" t="s">
        <v>3694</v>
      </c>
      <c r="K295" t="s">
        <v>3698</v>
      </c>
      <c r="L295">
        <v>1</v>
      </c>
      <c r="M295">
        <v>4500</v>
      </c>
      <c r="N295" t="s">
        <v>3701</v>
      </c>
      <c r="O295" t="s">
        <v>3705</v>
      </c>
    </row>
    <row r="296" spans="1:15" x14ac:dyDescent="0.35">
      <c r="A296" t="s">
        <v>309</v>
      </c>
      <c r="B296" t="s">
        <v>1454</v>
      </c>
      <c r="C296" t="s">
        <v>1904</v>
      </c>
      <c r="D296" t="s">
        <v>2777</v>
      </c>
      <c r="E296" t="s">
        <v>3671</v>
      </c>
      <c r="F296">
        <v>53</v>
      </c>
      <c r="G296" t="s">
        <v>3674</v>
      </c>
      <c r="H296" t="s">
        <v>3680</v>
      </c>
      <c r="I296" t="s">
        <v>3690</v>
      </c>
      <c r="J296" t="s">
        <v>3693</v>
      </c>
      <c r="K296" t="s">
        <v>3700</v>
      </c>
      <c r="L296">
        <v>1</v>
      </c>
      <c r="M296">
        <v>72000</v>
      </c>
      <c r="N296" t="s">
        <v>3701</v>
      </c>
      <c r="O296" t="s">
        <v>3707</v>
      </c>
    </row>
    <row r="297" spans="1:15" x14ac:dyDescent="0.35">
      <c r="A297" t="s">
        <v>310</v>
      </c>
      <c r="B297" t="s">
        <v>1455</v>
      </c>
      <c r="C297" t="s">
        <v>1900</v>
      </c>
      <c r="D297" t="s">
        <v>2778</v>
      </c>
      <c r="E297" t="s">
        <v>3672</v>
      </c>
      <c r="F297">
        <v>19</v>
      </c>
      <c r="G297" t="s">
        <v>3677</v>
      </c>
      <c r="H297" t="s">
        <v>3680</v>
      </c>
      <c r="I297" t="s">
        <v>3685</v>
      </c>
      <c r="J297" t="s">
        <v>3692</v>
      </c>
      <c r="K297" t="s">
        <v>3695</v>
      </c>
      <c r="L297">
        <v>2</v>
      </c>
      <c r="M297">
        <v>12000</v>
      </c>
      <c r="N297" t="s">
        <v>3703</v>
      </c>
      <c r="O297" t="s">
        <v>3707</v>
      </c>
    </row>
    <row r="298" spans="1:15" x14ac:dyDescent="0.35">
      <c r="A298" t="s">
        <v>311</v>
      </c>
      <c r="B298" t="s">
        <v>1456</v>
      </c>
      <c r="C298" t="s">
        <v>2033</v>
      </c>
      <c r="D298" t="s">
        <v>2779</v>
      </c>
      <c r="E298" t="s">
        <v>3671</v>
      </c>
      <c r="F298">
        <v>27</v>
      </c>
      <c r="G298" t="s">
        <v>3673</v>
      </c>
      <c r="H298" t="s">
        <v>3673</v>
      </c>
      <c r="I298" t="s">
        <v>3691</v>
      </c>
      <c r="J298" t="s">
        <v>3693</v>
      </c>
      <c r="K298" t="s">
        <v>3696</v>
      </c>
      <c r="L298">
        <v>5</v>
      </c>
      <c r="M298">
        <v>58000</v>
      </c>
      <c r="N298" t="s">
        <v>3703</v>
      </c>
      <c r="O298" t="s">
        <v>3706</v>
      </c>
    </row>
    <row r="299" spans="1:15" x14ac:dyDescent="0.35">
      <c r="A299" t="s">
        <v>312</v>
      </c>
      <c r="B299" t="s">
        <v>1457</v>
      </c>
      <c r="C299" t="s">
        <v>2034</v>
      </c>
      <c r="D299" t="s">
        <v>2780</v>
      </c>
      <c r="E299" t="s">
        <v>3672</v>
      </c>
      <c r="F299">
        <v>44</v>
      </c>
      <c r="G299" t="s">
        <v>3679</v>
      </c>
      <c r="H299" t="s">
        <v>3684</v>
      </c>
      <c r="I299" t="s">
        <v>3687</v>
      </c>
      <c r="J299" t="s">
        <v>3693</v>
      </c>
      <c r="K299" t="s">
        <v>3697</v>
      </c>
      <c r="L299">
        <v>2</v>
      </c>
      <c r="M299">
        <v>5000</v>
      </c>
      <c r="N299" t="s">
        <v>3704</v>
      </c>
      <c r="O299" t="s">
        <v>3705</v>
      </c>
    </row>
    <row r="300" spans="1:15" x14ac:dyDescent="0.35">
      <c r="A300" t="s">
        <v>313</v>
      </c>
      <c r="B300" t="s">
        <v>1458</v>
      </c>
      <c r="C300" t="s">
        <v>2035</v>
      </c>
      <c r="D300" t="s">
        <v>2781</v>
      </c>
      <c r="E300" t="s">
        <v>3672</v>
      </c>
      <c r="F300">
        <v>51</v>
      </c>
      <c r="G300" t="s">
        <v>3679</v>
      </c>
      <c r="H300" t="s">
        <v>3684</v>
      </c>
      <c r="I300" t="s">
        <v>3687</v>
      </c>
      <c r="J300" t="s">
        <v>3693</v>
      </c>
      <c r="K300" t="s">
        <v>3697</v>
      </c>
      <c r="L300">
        <v>1</v>
      </c>
      <c r="M300">
        <v>5000</v>
      </c>
      <c r="N300" t="s">
        <v>3704</v>
      </c>
      <c r="O300" t="s">
        <v>3706</v>
      </c>
    </row>
    <row r="301" spans="1:15" x14ac:dyDescent="0.35">
      <c r="A301" t="s">
        <v>314</v>
      </c>
      <c r="B301" t="s">
        <v>1366</v>
      </c>
      <c r="C301" t="s">
        <v>2036</v>
      </c>
      <c r="D301" t="s">
        <v>2782</v>
      </c>
      <c r="E301" t="s">
        <v>3671</v>
      </c>
      <c r="F301">
        <v>58</v>
      </c>
      <c r="G301" t="s">
        <v>3675</v>
      </c>
      <c r="H301" t="s">
        <v>3681</v>
      </c>
      <c r="I301" t="s">
        <v>3688</v>
      </c>
      <c r="J301" t="s">
        <v>3694</v>
      </c>
      <c r="K301" t="s">
        <v>3698</v>
      </c>
      <c r="L301">
        <v>2</v>
      </c>
      <c r="M301">
        <v>4500</v>
      </c>
      <c r="N301" t="s">
        <v>3702</v>
      </c>
      <c r="O301" t="s">
        <v>3706</v>
      </c>
    </row>
    <row r="302" spans="1:15" x14ac:dyDescent="0.35">
      <c r="A302" t="s">
        <v>315</v>
      </c>
      <c r="B302" t="s">
        <v>1399</v>
      </c>
      <c r="C302" t="s">
        <v>1892</v>
      </c>
      <c r="D302" t="s">
        <v>2783</v>
      </c>
      <c r="E302" t="s">
        <v>3671</v>
      </c>
      <c r="F302">
        <v>27</v>
      </c>
      <c r="G302" t="s">
        <v>3678</v>
      </c>
      <c r="H302" t="s">
        <v>3683</v>
      </c>
      <c r="I302" t="s">
        <v>3690</v>
      </c>
      <c r="J302" t="s">
        <v>3693</v>
      </c>
      <c r="K302" t="s">
        <v>3700</v>
      </c>
      <c r="L302">
        <v>4</v>
      </c>
      <c r="M302">
        <v>72000</v>
      </c>
      <c r="N302" t="s">
        <v>3704</v>
      </c>
      <c r="O302" t="s">
        <v>3706</v>
      </c>
    </row>
    <row r="303" spans="1:15" x14ac:dyDescent="0.35">
      <c r="A303" t="s">
        <v>316</v>
      </c>
      <c r="B303" t="s">
        <v>1459</v>
      </c>
      <c r="C303" t="s">
        <v>2037</v>
      </c>
      <c r="D303" t="s">
        <v>2784</v>
      </c>
      <c r="E303" t="s">
        <v>3672</v>
      </c>
      <c r="F303">
        <v>45</v>
      </c>
      <c r="G303" t="s">
        <v>3676</v>
      </c>
      <c r="H303" t="s">
        <v>3682</v>
      </c>
      <c r="I303" t="s">
        <v>3686</v>
      </c>
      <c r="J303" t="s">
        <v>3693</v>
      </c>
      <c r="K303" t="s">
        <v>3696</v>
      </c>
      <c r="L303">
        <v>5</v>
      </c>
      <c r="M303">
        <v>65000</v>
      </c>
      <c r="N303" t="s">
        <v>3704</v>
      </c>
      <c r="O303" t="s">
        <v>3705</v>
      </c>
    </row>
    <row r="304" spans="1:15" x14ac:dyDescent="0.35">
      <c r="A304" t="s">
        <v>317</v>
      </c>
      <c r="B304" t="s">
        <v>1425</v>
      </c>
      <c r="C304" t="s">
        <v>2038</v>
      </c>
      <c r="D304" t="s">
        <v>2785</v>
      </c>
      <c r="E304" t="s">
        <v>3672</v>
      </c>
      <c r="F304">
        <v>42</v>
      </c>
      <c r="G304" t="s">
        <v>3676</v>
      </c>
      <c r="H304" t="s">
        <v>3682</v>
      </c>
      <c r="I304" t="s">
        <v>3685</v>
      </c>
      <c r="J304" t="s">
        <v>3692</v>
      </c>
      <c r="K304" t="s">
        <v>3695</v>
      </c>
      <c r="L304">
        <v>5</v>
      </c>
      <c r="M304">
        <v>12000</v>
      </c>
      <c r="N304" t="s">
        <v>3701</v>
      </c>
      <c r="O304" t="s">
        <v>3705</v>
      </c>
    </row>
    <row r="305" spans="1:15" x14ac:dyDescent="0.35">
      <c r="A305" t="s">
        <v>318</v>
      </c>
      <c r="B305" t="s">
        <v>1460</v>
      </c>
      <c r="C305" t="s">
        <v>2017</v>
      </c>
      <c r="D305" t="s">
        <v>2786</v>
      </c>
      <c r="E305" t="s">
        <v>3672</v>
      </c>
      <c r="F305">
        <v>26</v>
      </c>
      <c r="G305" t="s">
        <v>3676</v>
      </c>
      <c r="H305" t="s">
        <v>3682</v>
      </c>
      <c r="I305" t="s">
        <v>3691</v>
      </c>
      <c r="J305" t="s">
        <v>3693</v>
      </c>
      <c r="K305" t="s">
        <v>3696</v>
      </c>
      <c r="L305">
        <v>4</v>
      </c>
      <c r="M305">
        <v>58000</v>
      </c>
      <c r="N305" t="s">
        <v>3701</v>
      </c>
      <c r="O305" t="s">
        <v>3706</v>
      </c>
    </row>
    <row r="306" spans="1:15" x14ac:dyDescent="0.35">
      <c r="A306" t="s">
        <v>319</v>
      </c>
      <c r="B306" t="s">
        <v>1272</v>
      </c>
      <c r="C306" t="s">
        <v>2039</v>
      </c>
      <c r="D306" t="s">
        <v>2787</v>
      </c>
      <c r="E306" t="s">
        <v>3672</v>
      </c>
      <c r="F306">
        <v>33</v>
      </c>
      <c r="G306" t="s">
        <v>3678</v>
      </c>
      <c r="H306" t="s">
        <v>3683</v>
      </c>
      <c r="I306" t="s">
        <v>3686</v>
      </c>
      <c r="J306" t="s">
        <v>3693</v>
      </c>
      <c r="K306" t="s">
        <v>3696</v>
      </c>
      <c r="L306">
        <v>4</v>
      </c>
      <c r="M306">
        <v>65000</v>
      </c>
      <c r="N306" t="s">
        <v>3704</v>
      </c>
      <c r="O306" t="s">
        <v>3707</v>
      </c>
    </row>
    <row r="307" spans="1:15" x14ac:dyDescent="0.35">
      <c r="A307" t="s">
        <v>320</v>
      </c>
      <c r="B307" t="s">
        <v>1461</v>
      </c>
      <c r="C307" t="s">
        <v>2040</v>
      </c>
      <c r="D307" t="s">
        <v>2788</v>
      </c>
      <c r="E307" t="s">
        <v>3671</v>
      </c>
      <c r="F307">
        <v>37</v>
      </c>
      <c r="G307" t="s">
        <v>3678</v>
      </c>
      <c r="H307" t="s">
        <v>3683</v>
      </c>
      <c r="I307" t="s">
        <v>3689</v>
      </c>
      <c r="J307" t="s">
        <v>3694</v>
      </c>
      <c r="K307" t="s">
        <v>3699</v>
      </c>
      <c r="L307">
        <v>2</v>
      </c>
      <c r="M307">
        <v>1800</v>
      </c>
      <c r="N307" t="s">
        <v>3702</v>
      </c>
      <c r="O307" t="s">
        <v>3705</v>
      </c>
    </row>
    <row r="308" spans="1:15" x14ac:dyDescent="0.35">
      <c r="A308" t="s">
        <v>321</v>
      </c>
      <c r="B308" t="s">
        <v>1462</v>
      </c>
      <c r="C308" t="s">
        <v>2041</v>
      </c>
      <c r="D308" t="s">
        <v>2789</v>
      </c>
      <c r="E308" t="s">
        <v>3671</v>
      </c>
      <c r="F308">
        <v>56</v>
      </c>
      <c r="G308" t="s">
        <v>3675</v>
      </c>
      <c r="H308" t="s">
        <v>3681</v>
      </c>
      <c r="I308" t="s">
        <v>3686</v>
      </c>
      <c r="J308" t="s">
        <v>3693</v>
      </c>
      <c r="K308" t="s">
        <v>3696</v>
      </c>
      <c r="L308">
        <v>1</v>
      </c>
      <c r="M308">
        <v>65000</v>
      </c>
      <c r="N308" t="s">
        <v>3704</v>
      </c>
      <c r="O308" t="s">
        <v>3706</v>
      </c>
    </row>
    <row r="309" spans="1:15" x14ac:dyDescent="0.35">
      <c r="A309" t="s">
        <v>322</v>
      </c>
      <c r="B309" t="s">
        <v>1463</v>
      </c>
      <c r="C309" t="s">
        <v>2004</v>
      </c>
      <c r="D309" t="s">
        <v>2790</v>
      </c>
      <c r="E309" t="s">
        <v>3672</v>
      </c>
      <c r="F309">
        <v>33</v>
      </c>
      <c r="G309" t="s">
        <v>3679</v>
      </c>
      <c r="H309" t="s">
        <v>3684</v>
      </c>
      <c r="I309" t="s">
        <v>3689</v>
      </c>
      <c r="J309" t="s">
        <v>3694</v>
      </c>
      <c r="K309" t="s">
        <v>3699</v>
      </c>
      <c r="L309">
        <v>3</v>
      </c>
      <c r="M309">
        <v>1800</v>
      </c>
      <c r="N309" t="s">
        <v>3703</v>
      </c>
      <c r="O309" t="s">
        <v>3705</v>
      </c>
    </row>
    <row r="310" spans="1:15" x14ac:dyDescent="0.35">
      <c r="A310" t="s">
        <v>323</v>
      </c>
      <c r="B310" t="s">
        <v>1261</v>
      </c>
      <c r="C310" t="s">
        <v>1918</v>
      </c>
      <c r="D310" t="s">
        <v>2791</v>
      </c>
      <c r="E310" t="s">
        <v>3672</v>
      </c>
      <c r="F310">
        <v>60</v>
      </c>
      <c r="G310" t="s">
        <v>3674</v>
      </c>
      <c r="H310" t="s">
        <v>3680</v>
      </c>
      <c r="I310" t="s">
        <v>3685</v>
      </c>
      <c r="J310" t="s">
        <v>3692</v>
      </c>
      <c r="K310" t="s">
        <v>3695</v>
      </c>
      <c r="L310">
        <v>3</v>
      </c>
      <c r="M310">
        <v>12000</v>
      </c>
      <c r="N310" t="s">
        <v>3701</v>
      </c>
      <c r="O310" t="s">
        <v>3706</v>
      </c>
    </row>
    <row r="311" spans="1:15" x14ac:dyDescent="0.35">
      <c r="A311" t="s">
        <v>324</v>
      </c>
      <c r="B311" t="s">
        <v>1464</v>
      </c>
      <c r="C311" t="s">
        <v>2042</v>
      </c>
      <c r="D311" t="s">
        <v>2792</v>
      </c>
      <c r="E311" t="s">
        <v>3671</v>
      </c>
      <c r="F311">
        <v>18</v>
      </c>
      <c r="G311" t="s">
        <v>3679</v>
      </c>
      <c r="H311" t="s">
        <v>3684</v>
      </c>
      <c r="I311" t="s">
        <v>3689</v>
      </c>
      <c r="J311" t="s">
        <v>3694</v>
      </c>
      <c r="K311" t="s">
        <v>3699</v>
      </c>
      <c r="L311">
        <v>1</v>
      </c>
      <c r="M311">
        <v>1800</v>
      </c>
      <c r="N311" t="s">
        <v>3701</v>
      </c>
      <c r="O311" t="s">
        <v>3706</v>
      </c>
    </row>
    <row r="312" spans="1:15" x14ac:dyDescent="0.35">
      <c r="A312" t="s">
        <v>325</v>
      </c>
      <c r="B312" t="s">
        <v>1281</v>
      </c>
      <c r="C312" t="s">
        <v>2043</v>
      </c>
      <c r="D312" t="s">
        <v>2793</v>
      </c>
      <c r="E312" t="s">
        <v>3672</v>
      </c>
      <c r="F312">
        <v>27</v>
      </c>
      <c r="G312" t="s">
        <v>3674</v>
      </c>
      <c r="H312" t="s">
        <v>3680</v>
      </c>
      <c r="I312" t="s">
        <v>3690</v>
      </c>
      <c r="J312" t="s">
        <v>3693</v>
      </c>
      <c r="K312" t="s">
        <v>3700</v>
      </c>
      <c r="L312">
        <v>5</v>
      </c>
      <c r="M312">
        <v>72000</v>
      </c>
      <c r="N312" t="s">
        <v>3703</v>
      </c>
      <c r="O312" t="s">
        <v>3706</v>
      </c>
    </row>
    <row r="313" spans="1:15" x14ac:dyDescent="0.35">
      <c r="A313" t="s">
        <v>326</v>
      </c>
      <c r="B313" t="s">
        <v>1465</v>
      </c>
      <c r="C313" t="s">
        <v>2044</v>
      </c>
      <c r="D313" t="s">
        <v>2794</v>
      </c>
      <c r="E313" t="s">
        <v>3672</v>
      </c>
      <c r="F313">
        <v>35</v>
      </c>
      <c r="G313" t="s">
        <v>3674</v>
      </c>
      <c r="H313" t="s">
        <v>3680</v>
      </c>
      <c r="I313" t="s">
        <v>3691</v>
      </c>
      <c r="J313" t="s">
        <v>3693</v>
      </c>
      <c r="K313" t="s">
        <v>3696</v>
      </c>
      <c r="L313">
        <v>5</v>
      </c>
      <c r="M313">
        <v>58000</v>
      </c>
      <c r="N313" t="s">
        <v>3701</v>
      </c>
      <c r="O313" t="s">
        <v>3706</v>
      </c>
    </row>
    <row r="314" spans="1:15" x14ac:dyDescent="0.35">
      <c r="A314" t="s">
        <v>327</v>
      </c>
      <c r="B314" t="s">
        <v>1466</v>
      </c>
      <c r="C314" t="s">
        <v>2045</v>
      </c>
      <c r="D314" t="s">
        <v>2795</v>
      </c>
      <c r="E314" t="s">
        <v>3672</v>
      </c>
      <c r="F314">
        <v>54</v>
      </c>
      <c r="G314" t="s">
        <v>3676</v>
      </c>
      <c r="H314" t="s">
        <v>3682</v>
      </c>
      <c r="I314" t="s">
        <v>3686</v>
      </c>
      <c r="J314" t="s">
        <v>3693</v>
      </c>
      <c r="K314" t="s">
        <v>3696</v>
      </c>
      <c r="L314">
        <v>4</v>
      </c>
      <c r="M314">
        <v>65000</v>
      </c>
      <c r="N314" t="s">
        <v>3701</v>
      </c>
      <c r="O314" t="s">
        <v>3706</v>
      </c>
    </row>
    <row r="315" spans="1:15" x14ac:dyDescent="0.35">
      <c r="A315" t="s">
        <v>328</v>
      </c>
      <c r="B315" t="s">
        <v>1467</v>
      </c>
      <c r="C315" t="s">
        <v>2046</v>
      </c>
      <c r="D315" t="s">
        <v>2796</v>
      </c>
      <c r="E315" t="s">
        <v>3672</v>
      </c>
      <c r="F315">
        <v>25</v>
      </c>
      <c r="G315" t="s">
        <v>3675</v>
      </c>
      <c r="H315" t="s">
        <v>3681</v>
      </c>
      <c r="I315" t="s">
        <v>3690</v>
      </c>
      <c r="J315" t="s">
        <v>3693</v>
      </c>
      <c r="K315" t="s">
        <v>3700</v>
      </c>
      <c r="L315">
        <v>2</v>
      </c>
      <c r="M315">
        <v>72000</v>
      </c>
      <c r="N315" t="s">
        <v>3701</v>
      </c>
      <c r="O315" t="s">
        <v>3706</v>
      </c>
    </row>
    <row r="316" spans="1:15" x14ac:dyDescent="0.35">
      <c r="A316" t="s">
        <v>329</v>
      </c>
      <c r="B316" t="s">
        <v>1261</v>
      </c>
      <c r="C316" t="s">
        <v>2047</v>
      </c>
      <c r="D316" t="s">
        <v>2797</v>
      </c>
      <c r="E316" t="s">
        <v>3671</v>
      </c>
      <c r="F316">
        <v>39</v>
      </c>
      <c r="G316" t="s">
        <v>3678</v>
      </c>
      <c r="H316" t="s">
        <v>3683</v>
      </c>
      <c r="I316" t="s">
        <v>3686</v>
      </c>
      <c r="J316" t="s">
        <v>3693</v>
      </c>
      <c r="K316" t="s">
        <v>3696</v>
      </c>
      <c r="L316">
        <v>5</v>
      </c>
      <c r="M316">
        <v>65000</v>
      </c>
      <c r="N316" t="s">
        <v>3701</v>
      </c>
      <c r="O316" t="s">
        <v>3705</v>
      </c>
    </row>
    <row r="317" spans="1:15" x14ac:dyDescent="0.35">
      <c r="A317" t="s">
        <v>330</v>
      </c>
      <c r="B317" t="s">
        <v>1468</v>
      </c>
      <c r="C317" t="s">
        <v>1909</v>
      </c>
      <c r="D317" t="s">
        <v>2798</v>
      </c>
      <c r="E317" t="s">
        <v>3672</v>
      </c>
      <c r="F317">
        <v>27</v>
      </c>
      <c r="G317" t="s">
        <v>3674</v>
      </c>
      <c r="H317" t="s">
        <v>3680</v>
      </c>
      <c r="I317" t="s">
        <v>3691</v>
      </c>
      <c r="J317" t="s">
        <v>3693</v>
      </c>
      <c r="K317" t="s">
        <v>3696</v>
      </c>
      <c r="L317">
        <v>5</v>
      </c>
      <c r="M317">
        <v>58000</v>
      </c>
      <c r="N317" t="s">
        <v>3701</v>
      </c>
      <c r="O317" t="s">
        <v>3706</v>
      </c>
    </row>
    <row r="318" spans="1:15" x14ac:dyDescent="0.35">
      <c r="A318" t="s">
        <v>331</v>
      </c>
      <c r="B318" t="s">
        <v>1361</v>
      </c>
      <c r="C318" t="s">
        <v>2048</v>
      </c>
      <c r="D318" t="s">
        <v>2799</v>
      </c>
      <c r="E318" t="s">
        <v>3671</v>
      </c>
      <c r="F318">
        <v>41</v>
      </c>
      <c r="G318" t="s">
        <v>3679</v>
      </c>
      <c r="H318" t="s">
        <v>3684</v>
      </c>
      <c r="I318" t="s">
        <v>3688</v>
      </c>
      <c r="J318" t="s">
        <v>3694</v>
      </c>
      <c r="K318" t="s">
        <v>3698</v>
      </c>
      <c r="L318">
        <v>5</v>
      </c>
      <c r="M318">
        <v>4500</v>
      </c>
      <c r="N318" t="s">
        <v>3704</v>
      </c>
      <c r="O318" t="s">
        <v>3706</v>
      </c>
    </row>
    <row r="319" spans="1:15" x14ac:dyDescent="0.35">
      <c r="A319" t="s">
        <v>332</v>
      </c>
      <c r="B319" t="s">
        <v>1469</v>
      </c>
      <c r="C319" t="s">
        <v>1793</v>
      </c>
      <c r="D319" t="s">
        <v>2800</v>
      </c>
      <c r="E319" t="s">
        <v>3672</v>
      </c>
      <c r="F319">
        <v>33</v>
      </c>
      <c r="G319" t="s">
        <v>3673</v>
      </c>
      <c r="H319" t="s">
        <v>3673</v>
      </c>
      <c r="I319" t="s">
        <v>3689</v>
      </c>
      <c r="J319" t="s">
        <v>3694</v>
      </c>
      <c r="K319" t="s">
        <v>3699</v>
      </c>
      <c r="L319">
        <v>4</v>
      </c>
      <c r="M319">
        <v>1800</v>
      </c>
      <c r="N319" t="s">
        <v>3703</v>
      </c>
      <c r="O319" t="s">
        <v>3705</v>
      </c>
    </row>
    <row r="320" spans="1:15" x14ac:dyDescent="0.35">
      <c r="A320" t="s">
        <v>333</v>
      </c>
      <c r="B320" t="s">
        <v>1470</v>
      </c>
      <c r="C320" t="s">
        <v>1909</v>
      </c>
      <c r="D320" t="s">
        <v>2801</v>
      </c>
      <c r="E320" t="s">
        <v>3672</v>
      </c>
      <c r="F320">
        <v>45</v>
      </c>
      <c r="G320" t="s">
        <v>3673</v>
      </c>
      <c r="H320" t="s">
        <v>3673</v>
      </c>
      <c r="I320" t="s">
        <v>3686</v>
      </c>
      <c r="J320" t="s">
        <v>3693</v>
      </c>
      <c r="K320" t="s">
        <v>3696</v>
      </c>
      <c r="L320">
        <v>5</v>
      </c>
      <c r="M320">
        <v>65000</v>
      </c>
      <c r="N320" t="s">
        <v>3703</v>
      </c>
      <c r="O320" t="s">
        <v>3706</v>
      </c>
    </row>
    <row r="321" spans="1:15" x14ac:dyDescent="0.35">
      <c r="A321" t="s">
        <v>334</v>
      </c>
      <c r="B321" t="s">
        <v>1251</v>
      </c>
      <c r="C321" t="s">
        <v>2049</v>
      </c>
      <c r="D321" t="s">
        <v>2802</v>
      </c>
      <c r="E321" t="s">
        <v>3672</v>
      </c>
      <c r="F321">
        <v>30</v>
      </c>
      <c r="G321" t="s">
        <v>3676</v>
      </c>
      <c r="H321" t="s">
        <v>3682</v>
      </c>
      <c r="I321" t="s">
        <v>3689</v>
      </c>
      <c r="J321" t="s">
        <v>3694</v>
      </c>
      <c r="K321" t="s">
        <v>3699</v>
      </c>
      <c r="L321">
        <v>2</v>
      </c>
      <c r="M321">
        <v>1800</v>
      </c>
      <c r="N321" t="s">
        <v>3704</v>
      </c>
      <c r="O321" t="s">
        <v>3707</v>
      </c>
    </row>
    <row r="322" spans="1:15" x14ac:dyDescent="0.35">
      <c r="A322" t="s">
        <v>335</v>
      </c>
      <c r="B322" t="s">
        <v>1471</v>
      </c>
      <c r="C322" t="s">
        <v>2050</v>
      </c>
      <c r="D322" t="s">
        <v>2803</v>
      </c>
      <c r="E322" t="s">
        <v>3671</v>
      </c>
      <c r="F322">
        <v>27</v>
      </c>
      <c r="G322" t="s">
        <v>3678</v>
      </c>
      <c r="H322" t="s">
        <v>3683</v>
      </c>
      <c r="I322" t="s">
        <v>3688</v>
      </c>
      <c r="J322" t="s">
        <v>3694</v>
      </c>
      <c r="K322" t="s">
        <v>3698</v>
      </c>
      <c r="L322">
        <v>2</v>
      </c>
      <c r="M322">
        <v>4500</v>
      </c>
      <c r="N322" t="s">
        <v>3702</v>
      </c>
      <c r="O322" t="s">
        <v>3707</v>
      </c>
    </row>
    <row r="323" spans="1:15" x14ac:dyDescent="0.35">
      <c r="A323" t="s">
        <v>336</v>
      </c>
      <c r="B323" t="s">
        <v>1472</v>
      </c>
      <c r="C323" t="s">
        <v>1855</v>
      </c>
      <c r="D323" t="s">
        <v>2804</v>
      </c>
      <c r="E323" t="s">
        <v>3672</v>
      </c>
      <c r="F323">
        <v>19</v>
      </c>
      <c r="G323" t="s">
        <v>3675</v>
      </c>
      <c r="H323" t="s">
        <v>3681</v>
      </c>
      <c r="I323" t="s">
        <v>3688</v>
      </c>
      <c r="J323" t="s">
        <v>3694</v>
      </c>
      <c r="K323" t="s">
        <v>3698</v>
      </c>
      <c r="L323">
        <v>5</v>
      </c>
      <c r="M323">
        <v>4500</v>
      </c>
      <c r="N323" t="s">
        <v>3701</v>
      </c>
      <c r="O323" t="s">
        <v>3706</v>
      </c>
    </row>
    <row r="324" spans="1:15" x14ac:dyDescent="0.35">
      <c r="A324" t="s">
        <v>337</v>
      </c>
      <c r="B324" t="s">
        <v>1473</v>
      </c>
      <c r="C324" t="s">
        <v>2051</v>
      </c>
      <c r="D324" t="s">
        <v>2805</v>
      </c>
      <c r="E324" t="s">
        <v>3672</v>
      </c>
      <c r="F324">
        <v>49</v>
      </c>
      <c r="G324" t="s">
        <v>3678</v>
      </c>
      <c r="H324" t="s">
        <v>3683</v>
      </c>
      <c r="I324" t="s">
        <v>3689</v>
      </c>
      <c r="J324" t="s">
        <v>3694</v>
      </c>
      <c r="K324" t="s">
        <v>3699</v>
      </c>
      <c r="L324">
        <v>2</v>
      </c>
      <c r="M324">
        <v>1800</v>
      </c>
      <c r="N324" t="s">
        <v>3704</v>
      </c>
      <c r="O324" t="s">
        <v>3707</v>
      </c>
    </row>
    <row r="325" spans="1:15" x14ac:dyDescent="0.35">
      <c r="A325" t="s">
        <v>338</v>
      </c>
      <c r="B325" t="s">
        <v>1474</v>
      </c>
      <c r="C325" t="s">
        <v>2052</v>
      </c>
      <c r="D325" t="s">
        <v>2806</v>
      </c>
      <c r="E325" t="s">
        <v>3672</v>
      </c>
      <c r="F325">
        <v>21</v>
      </c>
      <c r="G325" t="s">
        <v>3677</v>
      </c>
      <c r="H325" t="s">
        <v>3680</v>
      </c>
      <c r="I325" t="s">
        <v>3687</v>
      </c>
      <c r="J325" t="s">
        <v>3693</v>
      </c>
      <c r="K325" t="s">
        <v>3697</v>
      </c>
      <c r="L325">
        <v>4</v>
      </c>
      <c r="M325">
        <v>5000</v>
      </c>
      <c r="N325" t="s">
        <v>3703</v>
      </c>
      <c r="O325" t="s">
        <v>3706</v>
      </c>
    </row>
    <row r="326" spans="1:15" x14ac:dyDescent="0.35">
      <c r="A326" t="s">
        <v>339</v>
      </c>
      <c r="B326" t="s">
        <v>1363</v>
      </c>
      <c r="C326" t="s">
        <v>2053</v>
      </c>
      <c r="D326" t="s">
        <v>2807</v>
      </c>
      <c r="E326" t="s">
        <v>3671</v>
      </c>
      <c r="F326">
        <v>46</v>
      </c>
      <c r="G326" t="s">
        <v>3677</v>
      </c>
      <c r="H326" t="s">
        <v>3680</v>
      </c>
      <c r="I326" t="s">
        <v>3685</v>
      </c>
      <c r="J326" t="s">
        <v>3692</v>
      </c>
      <c r="K326" t="s">
        <v>3695</v>
      </c>
      <c r="L326">
        <v>1</v>
      </c>
      <c r="M326">
        <v>12000</v>
      </c>
      <c r="N326" t="s">
        <v>3703</v>
      </c>
      <c r="O326" t="s">
        <v>3706</v>
      </c>
    </row>
    <row r="327" spans="1:15" x14ac:dyDescent="0.35">
      <c r="A327" t="s">
        <v>340</v>
      </c>
      <c r="B327" t="s">
        <v>1291</v>
      </c>
      <c r="C327" t="s">
        <v>2054</v>
      </c>
      <c r="D327" t="s">
        <v>2808</v>
      </c>
      <c r="E327" t="s">
        <v>3672</v>
      </c>
      <c r="F327">
        <v>55</v>
      </c>
      <c r="G327" t="s">
        <v>3676</v>
      </c>
      <c r="H327" t="s">
        <v>3682</v>
      </c>
      <c r="I327" t="s">
        <v>3686</v>
      </c>
      <c r="J327" t="s">
        <v>3693</v>
      </c>
      <c r="K327" t="s">
        <v>3696</v>
      </c>
      <c r="L327">
        <v>1</v>
      </c>
      <c r="M327">
        <v>65000</v>
      </c>
      <c r="N327" t="s">
        <v>3702</v>
      </c>
      <c r="O327" t="s">
        <v>3707</v>
      </c>
    </row>
    <row r="328" spans="1:15" x14ac:dyDescent="0.35">
      <c r="A328" t="s">
        <v>341</v>
      </c>
      <c r="B328" t="s">
        <v>1475</v>
      </c>
      <c r="C328" t="s">
        <v>2055</v>
      </c>
      <c r="D328" t="s">
        <v>2809</v>
      </c>
      <c r="E328" t="s">
        <v>3672</v>
      </c>
      <c r="F328">
        <v>49</v>
      </c>
      <c r="G328" t="s">
        <v>3679</v>
      </c>
      <c r="H328" t="s">
        <v>3684</v>
      </c>
      <c r="I328" t="s">
        <v>3690</v>
      </c>
      <c r="J328" t="s">
        <v>3693</v>
      </c>
      <c r="K328" t="s">
        <v>3700</v>
      </c>
      <c r="L328">
        <v>2</v>
      </c>
      <c r="M328">
        <v>72000</v>
      </c>
      <c r="N328" t="s">
        <v>3703</v>
      </c>
      <c r="O328" t="s">
        <v>3706</v>
      </c>
    </row>
    <row r="329" spans="1:15" x14ac:dyDescent="0.35">
      <c r="A329" t="s">
        <v>342</v>
      </c>
      <c r="B329" t="s">
        <v>1476</v>
      </c>
      <c r="C329" t="s">
        <v>2056</v>
      </c>
      <c r="D329" t="s">
        <v>2810</v>
      </c>
      <c r="E329" t="s">
        <v>3672</v>
      </c>
      <c r="F329">
        <v>55</v>
      </c>
      <c r="G329" t="s">
        <v>3675</v>
      </c>
      <c r="H329" t="s">
        <v>3681</v>
      </c>
      <c r="I329" t="s">
        <v>3691</v>
      </c>
      <c r="J329" t="s">
        <v>3693</v>
      </c>
      <c r="K329" t="s">
        <v>3696</v>
      </c>
      <c r="L329">
        <v>4</v>
      </c>
      <c r="M329">
        <v>58000</v>
      </c>
      <c r="N329" t="s">
        <v>3703</v>
      </c>
      <c r="O329" t="s">
        <v>3705</v>
      </c>
    </row>
    <row r="330" spans="1:15" x14ac:dyDescent="0.35">
      <c r="A330" t="s">
        <v>343</v>
      </c>
      <c r="B330" t="s">
        <v>1477</v>
      </c>
      <c r="C330" t="s">
        <v>2057</v>
      </c>
      <c r="D330" t="s">
        <v>2811</v>
      </c>
      <c r="E330" t="s">
        <v>3672</v>
      </c>
      <c r="F330">
        <v>59</v>
      </c>
      <c r="G330" t="s">
        <v>3673</v>
      </c>
      <c r="H330" t="s">
        <v>3673</v>
      </c>
      <c r="I330" t="s">
        <v>3688</v>
      </c>
      <c r="J330" t="s">
        <v>3694</v>
      </c>
      <c r="K330" t="s">
        <v>3698</v>
      </c>
      <c r="L330">
        <v>1</v>
      </c>
      <c r="M330">
        <v>4500</v>
      </c>
      <c r="N330" t="s">
        <v>3704</v>
      </c>
      <c r="O330" t="s">
        <v>3706</v>
      </c>
    </row>
    <row r="331" spans="1:15" x14ac:dyDescent="0.35">
      <c r="A331" t="s">
        <v>344</v>
      </c>
      <c r="B331" t="s">
        <v>1396</v>
      </c>
      <c r="C331" t="s">
        <v>2058</v>
      </c>
      <c r="D331" t="s">
        <v>2812</v>
      </c>
      <c r="E331" t="s">
        <v>3671</v>
      </c>
      <c r="F331">
        <v>23</v>
      </c>
      <c r="G331" t="s">
        <v>3674</v>
      </c>
      <c r="H331" t="s">
        <v>3680</v>
      </c>
      <c r="I331" t="s">
        <v>3688</v>
      </c>
      <c r="J331" t="s">
        <v>3694</v>
      </c>
      <c r="K331" t="s">
        <v>3698</v>
      </c>
      <c r="L331">
        <v>1</v>
      </c>
      <c r="M331">
        <v>4500</v>
      </c>
      <c r="N331" t="s">
        <v>3704</v>
      </c>
      <c r="O331" t="s">
        <v>3705</v>
      </c>
    </row>
    <row r="332" spans="1:15" x14ac:dyDescent="0.35">
      <c r="A332" t="s">
        <v>345</v>
      </c>
      <c r="B332" t="s">
        <v>1478</v>
      </c>
      <c r="C332" t="s">
        <v>2059</v>
      </c>
      <c r="D332" t="s">
        <v>2813</v>
      </c>
      <c r="E332" t="s">
        <v>3672</v>
      </c>
      <c r="F332">
        <v>27</v>
      </c>
      <c r="G332" t="s">
        <v>3674</v>
      </c>
      <c r="H332" t="s">
        <v>3680</v>
      </c>
      <c r="I332" t="s">
        <v>3687</v>
      </c>
      <c r="J332" t="s">
        <v>3693</v>
      </c>
      <c r="K332" t="s">
        <v>3697</v>
      </c>
      <c r="L332">
        <v>3</v>
      </c>
      <c r="M332">
        <v>5000</v>
      </c>
      <c r="N332" t="s">
        <v>3701</v>
      </c>
      <c r="O332" t="s">
        <v>3706</v>
      </c>
    </row>
    <row r="333" spans="1:15" x14ac:dyDescent="0.35">
      <c r="A333" t="s">
        <v>346</v>
      </c>
      <c r="B333" t="s">
        <v>1449</v>
      </c>
      <c r="C333" t="s">
        <v>2060</v>
      </c>
      <c r="D333" t="s">
        <v>2814</v>
      </c>
      <c r="E333" t="s">
        <v>3672</v>
      </c>
      <c r="F333">
        <v>35</v>
      </c>
      <c r="G333" t="s">
        <v>3673</v>
      </c>
      <c r="H333" t="s">
        <v>3673</v>
      </c>
      <c r="I333" t="s">
        <v>3688</v>
      </c>
      <c r="J333" t="s">
        <v>3694</v>
      </c>
      <c r="K333" t="s">
        <v>3698</v>
      </c>
      <c r="L333">
        <v>4</v>
      </c>
      <c r="M333">
        <v>4500</v>
      </c>
      <c r="N333" t="s">
        <v>3701</v>
      </c>
      <c r="O333" t="s">
        <v>3706</v>
      </c>
    </row>
    <row r="334" spans="1:15" x14ac:dyDescent="0.35">
      <c r="A334" t="s">
        <v>347</v>
      </c>
      <c r="B334" t="s">
        <v>1309</v>
      </c>
      <c r="C334" t="s">
        <v>2061</v>
      </c>
      <c r="D334" t="s">
        <v>2815</v>
      </c>
      <c r="E334" t="s">
        <v>3672</v>
      </c>
      <c r="F334">
        <v>36</v>
      </c>
      <c r="G334" t="s">
        <v>3676</v>
      </c>
      <c r="H334" t="s">
        <v>3682</v>
      </c>
      <c r="I334" t="s">
        <v>3691</v>
      </c>
      <c r="J334" t="s">
        <v>3693</v>
      </c>
      <c r="K334" t="s">
        <v>3696</v>
      </c>
      <c r="L334">
        <v>5</v>
      </c>
      <c r="M334">
        <v>58000</v>
      </c>
      <c r="N334" t="s">
        <v>3703</v>
      </c>
      <c r="O334" t="s">
        <v>3706</v>
      </c>
    </row>
    <row r="335" spans="1:15" x14ac:dyDescent="0.35">
      <c r="A335" t="s">
        <v>348</v>
      </c>
      <c r="B335" t="s">
        <v>1479</v>
      </c>
      <c r="C335" t="s">
        <v>2062</v>
      </c>
      <c r="D335" t="s">
        <v>2816</v>
      </c>
      <c r="E335" t="s">
        <v>3671</v>
      </c>
      <c r="F335">
        <v>38</v>
      </c>
      <c r="G335" t="s">
        <v>3673</v>
      </c>
      <c r="H335" t="s">
        <v>3673</v>
      </c>
      <c r="I335" t="s">
        <v>3691</v>
      </c>
      <c r="J335" t="s">
        <v>3693</v>
      </c>
      <c r="K335" t="s">
        <v>3696</v>
      </c>
      <c r="L335">
        <v>5</v>
      </c>
      <c r="M335">
        <v>58000</v>
      </c>
      <c r="N335" t="s">
        <v>3702</v>
      </c>
      <c r="O335" t="s">
        <v>3705</v>
      </c>
    </row>
    <row r="336" spans="1:15" x14ac:dyDescent="0.35">
      <c r="A336" t="s">
        <v>349</v>
      </c>
      <c r="B336" t="s">
        <v>1334</v>
      </c>
      <c r="C336" t="s">
        <v>1996</v>
      </c>
      <c r="D336" t="s">
        <v>2817</v>
      </c>
      <c r="E336" t="s">
        <v>3671</v>
      </c>
      <c r="F336">
        <v>49</v>
      </c>
      <c r="G336" t="s">
        <v>3677</v>
      </c>
      <c r="H336" t="s">
        <v>3680</v>
      </c>
      <c r="I336" t="s">
        <v>3690</v>
      </c>
      <c r="J336" t="s">
        <v>3693</v>
      </c>
      <c r="K336" t="s">
        <v>3700</v>
      </c>
      <c r="L336">
        <v>1</v>
      </c>
      <c r="M336">
        <v>72000</v>
      </c>
      <c r="N336" t="s">
        <v>3702</v>
      </c>
      <c r="O336" t="s">
        <v>3705</v>
      </c>
    </row>
    <row r="337" spans="1:15" x14ac:dyDescent="0.35">
      <c r="A337" t="s">
        <v>350</v>
      </c>
      <c r="B337" t="s">
        <v>1480</v>
      </c>
      <c r="C337" t="s">
        <v>1929</v>
      </c>
      <c r="D337" t="s">
        <v>2818</v>
      </c>
      <c r="E337" t="s">
        <v>3671</v>
      </c>
      <c r="F337">
        <v>47</v>
      </c>
      <c r="G337" t="s">
        <v>3677</v>
      </c>
      <c r="H337" t="s">
        <v>3680</v>
      </c>
      <c r="I337" t="s">
        <v>3687</v>
      </c>
      <c r="J337" t="s">
        <v>3693</v>
      </c>
      <c r="K337" t="s">
        <v>3697</v>
      </c>
      <c r="L337">
        <v>5</v>
      </c>
      <c r="M337">
        <v>5000</v>
      </c>
      <c r="N337" t="s">
        <v>3704</v>
      </c>
      <c r="O337" t="s">
        <v>3706</v>
      </c>
    </row>
    <row r="338" spans="1:15" x14ac:dyDescent="0.35">
      <c r="A338" t="s">
        <v>351</v>
      </c>
      <c r="B338" t="s">
        <v>1481</v>
      </c>
      <c r="C338" t="s">
        <v>2063</v>
      </c>
      <c r="D338" t="s">
        <v>2819</v>
      </c>
      <c r="E338" t="s">
        <v>3672</v>
      </c>
      <c r="F338">
        <v>42</v>
      </c>
      <c r="G338" t="s">
        <v>3679</v>
      </c>
      <c r="H338" t="s">
        <v>3684</v>
      </c>
      <c r="I338" t="s">
        <v>3690</v>
      </c>
      <c r="J338" t="s">
        <v>3693</v>
      </c>
      <c r="K338" t="s">
        <v>3700</v>
      </c>
      <c r="L338">
        <v>2</v>
      </c>
      <c r="M338">
        <v>72000</v>
      </c>
      <c r="N338" t="s">
        <v>3703</v>
      </c>
      <c r="O338" t="s">
        <v>3705</v>
      </c>
    </row>
    <row r="339" spans="1:15" x14ac:dyDescent="0.35">
      <c r="A339" t="s">
        <v>352</v>
      </c>
      <c r="B339" t="s">
        <v>1482</v>
      </c>
      <c r="C339" t="s">
        <v>1865</v>
      </c>
      <c r="D339" t="s">
        <v>2820</v>
      </c>
      <c r="E339" t="s">
        <v>3672</v>
      </c>
      <c r="F339">
        <v>60</v>
      </c>
      <c r="G339" t="s">
        <v>3679</v>
      </c>
      <c r="H339" t="s">
        <v>3684</v>
      </c>
      <c r="I339" t="s">
        <v>3689</v>
      </c>
      <c r="J339" t="s">
        <v>3694</v>
      </c>
      <c r="K339" t="s">
        <v>3699</v>
      </c>
      <c r="L339">
        <v>1</v>
      </c>
      <c r="M339">
        <v>1800</v>
      </c>
      <c r="N339" t="s">
        <v>3703</v>
      </c>
      <c r="O339" t="s">
        <v>3707</v>
      </c>
    </row>
    <row r="340" spans="1:15" x14ac:dyDescent="0.35">
      <c r="A340" t="s">
        <v>353</v>
      </c>
      <c r="B340" t="s">
        <v>1483</v>
      </c>
      <c r="C340" t="s">
        <v>2064</v>
      </c>
      <c r="D340" t="s">
        <v>2821</v>
      </c>
      <c r="E340" t="s">
        <v>3671</v>
      </c>
      <c r="F340">
        <v>33</v>
      </c>
      <c r="G340" t="s">
        <v>3679</v>
      </c>
      <c r="H340" t="s">
        <v>3684</v>
      </c>
      <c r="I340" t="s">
        <v>3691</v>
      </c>
      <c r="J340" t="s">
        <v>3693</v>
      </c>
      <c r="K340" t="s">
        <v>3696</v>
      </c>
      <c r="L340">
        <v>3</v>
      </c>
      <c r="M340">
        <v>58000</v>
      </c>
      <c r="N340" t="s">
        <v>3703</v>
      </c>
      <c r="O340" t="s">
        <v>3706</v>
      </c>
    </row>
    <row r="341" spans="1:15" x14ac:dyDescent="0.35">
      <c r="A341" t="s">
        <v>354</v>
      </c>
      <c r="B341" t="s">
        <v>1464</v>
      </c>
      <c r="C341" t="s">
        <v>1963</v>
      </c>
      <c r="D341" t="s">
        <v>2822</v>
      </c>
      <c r="E341" t="s">
        <v>3672</v>
      </c>
      <c r="F341">
        <v>50</v>
      </c>
      <c r="G341" t="s">
        <v>3675</v>
      </c>
      <c r="H341" t="s">
        <v>3681</v>
      </c>
      <c r="I341" t="s">
        <v>3686</v>
      </c>
      <c r="J341" t="s">
        <v>3693</v>
      </c>
      <c r="K341" t="s">
        <v>3696</v>
      </c>
      <c r="L341">
        <v>4</v>
      </c>
      <c r="M341">
        <v>65000</v>
      </c>
      <c r="N341" t="s">
        <v>3703</v>
      </c>
      <c r="O341" t="s">
        <v>3707</v>
      </c>
    </row>
    <row r="342" spans="1:15" x14ac:dyDescent="0.35">
      <c r="A342" t="s">
        <v>355</v>
      </c>
      <c r="B342" t="s">
        <v>1484</v>
      </c>
      <c r="C342" t="s">
        <v>2065</v>
      </c>
      <c r="D342" t="s">
        <v>2823</v>
      </c>
      <c r="E342" t="s">
        <v>3672</v>
      </c>
      <c r="F342">
        <v>42</v>
      </c>
      <c r="G342" t="s">
        <v>3678</v>
      </c>
      <c r="H342" t="s">
        <v>3683</v>
      </c>
      <c r="I342" t="s">
        <v>3686</v>
      </c>
      <c r="J342" t="s">
        <v>3693</v>
      </c>
      <c r="K342" t="s">
        <v>3696</v>
      </c>
      <c r="L342">
        <v>4</v>
      </c>
      <c r="M342">
        <v>65000</v>
      </c>
      <c r="N342" t="s">
        <v>3704</v>
      </c>
      <c r="O342" t="s">
        <v>3706</v>
      </c>
    </row>
    <row r="343" spans="1:15" x14ac:dyDescent="0.35">
      <c r="A343" t="s">
        <v>356</v>
      </c>
      <c r="B343" t="s">
        <v>1346</v>
      </c>
      <c r="C343" t="s">
        <v>2066</v>
      </c>
      <c r="D343" t="s">
        <v>2824</v>
      </c>
      <c r="E343" t="s">
        <v>3671</v>
      </c>
      <c r="F343">
        <v>54</v>
      </c>
      <c r="G343" t="s">
        <v>3677</v>
      </c>
      <c r="H343" t="s">
        <v>3680</v>
      </c>
      <c r="I343" t="s">
        <v>3689</v>
      </c>
      <c r="J343" t="s">
        <v>3694</v>
      </c>
      <c r="K343" t="s">
        <v>3699</v>
      </c>
      <c r="L343">
        <v>2</v>
      </c>
      <c r="M343">
        <v>1800</v>
      </c>
      <c r="N343" t="s">
        <v>3704</v>
      </c>
      <c r="O343" t="s">
        <v>3706</v>
      </c>
    </row>
    <row r="344" spans="1:15" x14ac:dyDescent="0.35">
      <c r="A344" t="s">
        <v>357</v>
      </c>
      <c r="B344" t="s">
        <v>1329</v>
      </c>
      <c r="C344" t="s">
        <v>1884</v>
      </c>
      <c r="D344" t="s">
        <v>2825</v>
      </c>
      <c r="E344" t="s">
        <v>3672</v>
      </c>
      <c r="F344">
        <v>47</v>
      </c>
      <c r="G344" t="s">
        <v>3676</v>
      </c>
      <c r="H344" t="s">
        <v>3682</v>
      </c>
      <c r="I344" t="s">
        <v>3689</v>
      </c>
      <c r="J344" t="s">
        <v>3694</v>
      </c>
      <c r="K344" t="s">
        <v>3699</v>
      </c>
      <c r="L344">
        <v>2</v>
      </c>
      <c r="M344">
        <v>1800</v>
      </c>
      <c r="N344" t="s">
        <v>3703</v>
      </c>
      <c r="O344" t="s">
        <v>3705</v>
      </c>
    </row>
    <row r="345" spans="1:15" x14ac:dyDescent="0.35">
      <c r="A345" t="s">
        <v>358</v>
      </c>
      <c r="B345" t="s">
        <v>1348</v>
      </c>
      <c r="C345" t="s">
        <v>2067</v>
      </c>
      <c r="D345" t="s">
        <v>2826</v>
      </c>
      <c r="E345" t="s">
        <v>3671</v>
      </c>
      <c r="F345">
        <v>51</v>
      </c>
      <c r="G345" t="s">
        <v>3674</v>
      </c>
      <c r="H345" t="s">
        <v>3680</v>
      </c>
      <c r="I345" t="s">
        <v>3690</v>
      </c>
      <c r="J345" t="s">
        <v>3693</v>
      </c>
      <c r="K345" t="s">
        <v>3700</v>
      </c>
      <c r="L345">
        <v>1</v>
      </c>
      <c r="M345">
        <v>72000</v>
      </c>
      <c r="N345" t="s">
        <v>3701</v>
      </c>
      <c r="O345" t="s">
        <v>3706</v>
      </c>
    </row>
    <row r="346" spans="1:15" x14ac:dyDescent="0.35">
      <c r="A346" t="s">
        <v>359</v>
      </c>
      <c r="B346" t="s">
        <v>1400</v>
      </c>
      <c r="C346" t="s">
        <v>2068</v>
      </c>
      <c r="D346" t="s">
        <v>2827</v>
      </c>
      <c r="E346" t="s">
        <v>3672</v>
      </c>
      <c r="F346">
        <v>38</v>
      </c>
      <c r="G346" t="s">
        <v>3673</v>
      </c>
      <c r="H346" t="s">
        <v>3673</v>
      </c>
      <c r="I346" t="s">
        <v>3689</v>
      </c>
      <c r="J346" t="s">
        <v>3694</v>
      </c>
      <c r="K346" t="s">
        <v>3699</v>
      </c>
      <c r="L346">
        <v>1</v>
      </c>
      <c r="M346">
        <v>1800</v>
      </c>
      <c r="N346" t="s">
        <v>3701</v>
      </c>
      <c r="O346" t="s">
        <v>3707</v>
      </c>
    </row>
    <row r="347" spans="1:15" x14ac:dyDescent="0.35">
      <c r="A347" t="s">
        <v>360</v>
      </c>
      <c r="B347" t="s">
        <v>1485</v>
      </c>
      <c r="C347" t="s">
        <v>2069</v>
      </c>
      <c r="D347" t="s">
        <v>2828</v>
      </c>
      <c r="E347" t="s">
        <v>3672</v>
      </c>
      <c r="F347">
        <v>53</v>
      </c>
      <c r="G347" t="s">
        <v>3673</v>
      </c>
      <c r="H347" t="s">
        <v>3673</v>
      </c>
      <c r="I347" t="s">
        <v>3690</v>
      </c>
      <c r="J347" t="s">
        <v>3693</v>
      </c>
      <c r="K347" t="s">
        <v>3700</v>
      </c>
      <c r="L347">
        <v>5</v>
      </c>
      <c r="M347">
        <v>72000</v>
      </c>
      <c r="N347" t="s">
        <v>3704</v>
      </c>
      <c r="O347" t="s">
        <v>3705</v>
      </c>
    </row>
    <row r="348" spans="1:15" x14ac:dyDescent="0.35">
      <c r="A348" t="s">
        <v>361</v>
      </c>
      <c r="B348" t="s">
        <v>1486</v>
      </c>
      <c r="C348" t="s">
        <v>2070</v>
      </c>
      <c r="D348" t="s">
        <v>2829</v>
      </c>
      <c r="E348" t="s">
        <v>3671</v>
      </c>
      <c r="F348">
        <v>30</v>
      </c>
      <c r="G348" t="s">
        <v>3674</v>
      </c>
      <c r="H348" t="s">
        <v>3680</v>
      </c>
      <c r="I348" t="s">
        <v>3689</v>
      </c>
      <c r="J348" t="s">
        <v>3694</v>
      </c>
      <c r="K348" t="s">
        <v>3699</v>
      </c>
      <c r="L348">
        <v>2</v>
      </c>
      <c r="M348">
        <v>1800</v>
      </c>
      <c r="N348" t="s">
        <v>3702</v>
      </c>
      <c r="O348" t="s">
        <v>3705</v>
      </c>
    </row>
    <row r="349" spans="1:15" x14ac:dyDescent="0.35">
      <c r="A349" t="s">
        <v>362</v>
      </c>
      <c r="B349" t="s">
        <v>1487</v>
      </c>
      <c r="C349" t="s">
        <v>2071</v>
      </c>
      <c r="D349" t="s">
        <v>2830</v>
      </c>
      <c r="E349" t="s">
        <v>3671</v>
      </c>
      <c r="F349">
        <v>28</v>
      </c>
      <c r="G349" t="s">
        <v>3675</v>
      </c>
      <c r="H349" t="s">
        <v>3681</v>
      </c>
      <c r="I349" t="s">
        <v>3688</v>
      </c>
      <c r="J349" t="s">
        <v>3694</v>
      </c>
      <c r="K349" t="s">
        <v>3698</v>
      </c>
      <c r="L349">
        <v>4</v>
      </c>
      <c r="M349">
        <v>4500</v>
      </c>
      <c r="N349" t="s">
        <v>3701</v>
      </c>
      <c r="O349" t="s">
        <v>3705</v>
      </c>
    </row>
    <row r="350" spans="1:15" x14ac:dyDescent="0.35">
      <c r="A350" t="s">
        <v>363</v>
      </c>
      <c r="B350" t="s">
        <v>1335</v>
      </c>
      <c r="C350" t="s">
        <v>2072</v>
      </c>
      <c r="D350" t="s">
        <v>2831</v>
      </c>
      <c r="E350" t="s">
        <v>3672</v>
      </c>
      <c r="F350">
        <v>55</v>
      </c>
      <c r="G350" t="s">
        <v>3676</v>
      </c>
      <c r="H350" t="s">
        <v>3682</v>
      </c>
      <c r="I350" t="s">
        <v>3691</v>
      </c>
      <c r="J350" t="s">
        <v>3693</v>
      </c>
      <c r="K350" t="s">
        <v>3696</v>
      </c>
      <c r="L350">
        <v>2</v>
      </c>
      <c r="M350">
        <v>58000</v>
      </c>
      <c r="N350" t="s">
        <v>3701</v>
      </c>
      <c r="O350" t="s">
        <v>3707</v>
      </c>
    </row>
    <row r="351" spans="1:15" x14ac:dyDescent="0.35">
      <c r="A351" t="s">
        <v>364</v>
      </c>
      <c r="B351" t="s">
        <v>1488</v>
      </c>
      <c r="C351" t="s">
        <v>2073</v>
      </c>
      <c r="D351" t="s">
        <v>2832</v>
      </c>
      <c r="E351" t="s">
        <v>3672</v>
      </c>
      <c r="F351">
        <v>48</v>
      </c>
      <c r="G351" t="s">
        <v>3674</v>
      </c>
      <c r="H351" t="s">
        <v>3680</v>
      </c>
      <c r="I351" t="s">
        <v>3685</v>
      </c>
      <c r="J351" t="s">
        <v>3692</v>
      </c>
      <c r="K351" t="s">
        <v>3695</v>
      </c>
      <c r="L351">
        <v>2</v>
      </c>
      <c r="M351">
        <v>12000</v>
      </c>
      <c r="N351" t="s">
        <v>3702</v>
      </c>
      <c r="O351" t="s">
        <v>3706</v>
      </c>
    </row>
    <row r="352" spans="1:15" x14ac:dyDescent="0.35">
      <c r="A352" t="s">
        <v>365</v>
      </c>
      <c r="B352" t="s">
        <v>1489</v>
      </c>
      <c r="C352" t="s">
        <v>1812</v>
      </c>
      <c r="D352" t="s">
        <v>2833</v>
      </c>
      <c r="E352" t="s">
        <v>3671</v>
      </c>
      <c r="F352">
        <v>57</v>
      </c>
      <c r="G352" t="s">
        <v>3675</v>
      </c>
      <c r="H352" t="s">
        <v>3681</v>
      </c>
      <c r="I352" t="s">
        <v>3688</v>
      </c>
      <c r="J352" t="s">
        <v>3694</v>
      </c>
      <c r="K352" t="s">
        <v>3698</v>
      </c>
      <c r="L352">
        <v>1</v>
      </c>
      <c r="M352">
        <v>4500</v>
      </c>
      <c r="N352" t="s">
        <v>3703</v>
      </c>
      <c r="O352" t="s">
        <v>3706</v>
      </c>
    </row>
    <row r="353" spans="1:15" x14ac:dyDescent="0.35">
      <c r="A353" t="s">
        <v>366</v>
      </c>
      <c r="B353" t="s">
        <v>1297</v>
      </c>
      <c r="C353" t="s">
        <v>2074</v>
      </c>
      <c r="D353" t="s">
        <v>2834</v>
      </c>
      <c r="E353" t="s">
        <v>3672</v>
      </c>
      <c r="F353">
        <v>37</v>
      </c>
      <c r="G353" t="s">
        <v>3675</v>
      </c>
      <c r="H353" t="s">
        <v>3681</v>
      </c>
      <c r="I353" t="s">
        <v>3689</v>
      </c>
      <c r="J353" t="s">
        <v>3694</v>
      </c>
      <c r="K353" t="s">
        <v>3699</v>
      </c>
      <c r="L353">
        <v>4</v>
      </c>
      <c r="M353">
        <v>1800</v>
      </c>
      <c r="N353" t="s">
        <v>3703</v>
      </c>
      <c r="O353" t="s">
        <v>3707</v>
      </c>
    </row>
    <row r="354" spans="1:15" x14ac:dyDescent="0.35">
      <c r="A354" t="s">
        <v>367</v>
      </c>
      <c r="B354" t="s">
        <v>1490</v>
      </c>
      <c r="C354" t="s">
        <v>2075</v>
      </c>
      <c r="D354" t="s">
        <v>2835</v>
      </c>
      <c r="E354" t="s">
        <v>3671</v>
      </c>
      <c r="F354">
        <v>52</v>
      </c>
      <c r="G354" t="s">
        <v>3674</v>
      </c>
      <c r="H354" t="s">
        <v>3680</v>
      </c>
      <c r="I354" t="s">
        <v>3686</v>
      </c>
      <c r="J354" t="s">
        <v>3693</v>
      </c>
      <c r="K354" t="s">
        <v>3696</v>
      </c>
      <c r="L354">
        <v>2</v>
      </c>
      <c r="M354">
        <v>65000</v>
      </c>
      <c r="N354" t="s">
        <v>3701</v>
      </c>
      <c r="O354" t="s">
        <v>3707</v>
      </c>
    </row>
    <row r="355" spans="1:15" x14ac:dyDescent="0.35">
      <c r="A355" t="s">
        <v>368</v>
      </c>
      <c r="B355" t="s">
        <v>1491</v>
      </c>
      <c r="C355" t="s">
        <v>2076</v>
      </c>
      <c r="D355" t="s">
        <v>2836</v>
      </c>
      <c r="E355" t="s">
        <v>3671</v>
      </c>
      <c r="F355">
        <v>53</v>
      </c>
      <c r="G355" t="s">
        <v>3674</v>
      </c>
      <c r="H355" t="s">
        <v>3680</v>
      </c>
      <c r="I355" t="s">
        <v>3686</v>
      </c>
      <c r="J355" t="s">
        <v>3693</v>
      </c>
      <c r="K355" t="s">
        <v>3696</v>
      </c>
      <c r="L355">
        <v>3</v>
      </c>
      <c r="M355">
        <v>65000</v>
      </c>
      <c r="N355" t="s">
        <v>3702</v>
      </c>
      <c r="O355" t="s">
        <v>3707</v>
      </c>
    </row>
    <row r="356" spans="1:15" x14ac:dyDescent="0.35">
      <c r="A356" t="s">
        <v>369</v>
      </c>
      <c r="B356" t="s">
        <v>1217</v>
      </c>
      <c r="C356" t="s">
        <v>2077</v>
      </c>
      <c r="D356" t="s">
        <v>2837</v>
      </c>
      <c r="E356" t="s">
        <v>3672</v>
      </c>
      <c r="F356">
        <v>52</v>
      </c>
      <c r="G356" t="s">
        <v>3675</v>
      </c>
      <c r="H356" t="s">
        <v>3681</v>
      </c>
      <c r="I356" t="s">
        <v>3691</v>
      </c>
      <c r="J356" t="s">
        <v>3693</v>
      </c>
      <c r="K356" t="s">
        <v>3696</v>
      </c>
      <c r="L356">
        <v>4</v>
      </c>
      <c r="M356">
        <v>58000</v>
      </c>
      <c r="N356" t="s">
        <v>3701</v>
      </c>
      <c r="O356" t="s">
        <v>3705</v>
      </c>
    </row>
    <row r="357" spans="1:15" x14ac:dyDescent="0.35">
      <c r="A357" t="s">
        <v>370</v>
      </c>
      <c r="B357" t="s">
        <v>1353</v>
      </c>
      <c r="C357" t="s">
        <v>1875</v>
      </c>
      <c r="D357" t="s">
        <v>2838</v>
      </c>
      <c r="E357" t="s">
        <v>3672</v>
      </c>
      <c r="F357">
        <v>41</v>
      </c>
      <c r="G357" t="s">
        <v>3673</v>
      </c>
      <c r="H357" t="s">
        <v>3673</v>
      </c>
      <c r="I357" t="s">
        <v>3688</v>
      </c>
      <c r="J357" t="s">
        <v>3694</v>
      </c>
      <c r="K357" t="s">
        <v>3698</v>
      </c>
      <c r="L357">
        <v>3</v>
      </c>
      <c r="M357">
        <v>4500</v>
      </c>
      <c r="N357" t="s">
        <v>3704</v>
      </c>
      <c r="O357" t="s">
        <v>3705</v>
      </c>
    </row>
    <row r="358" spans="1:15" x14ac:dyDescent="0.35">
      <c r="A358" t="s">
        <v>371</v>
      </c>
      <c r="B358" t="s">
        <v>1365</v>
      </c>
      <c r="C358" t="s">
        <v>2078</v>
      </c>
      <c r="D358" t="s">
        <v>2839</v>
      </c>
      <c r="E358" t="s">
        <v>3671</v>
      </c>
      <c r="F358">
        <v>44</v>
      </c>
      <c r="G358" t="s">
        <v>3676</v>
      </c>
      <c r="H358" t="s">
        <v>3682</v>
      </c>
      <c r="I358" t="s">
        <v>3687</v>
      </c>
      <c r="J358" t="s">
        <v>3693</v>
      </c>
      <c r="K358" t="s">
        <v>3697</v>
      </c>
      <c r="L358">
        <v>3</v>
      </c>
      <c r="M358">
        <v>5000</v>
      </c>
      <c r="N358" t="s">
        <v>3703</v>
      </c>
      <c r="O358" t="s">
        <v>3706</v>
      </c>
    </row>
    <row r="359" spans="1:15" x14ac:dyDescent="0.35">
      <c r="A359" t="s">
        <v>372</v>
      </c>
      <c r="B359" t="s">
        <v>1492</v>
      </c>
      <c r="C359" t="s">
        <v>2046</v>
      </c>
      <c r="D359" t="s">
        <v>2840</v>
      </c>
      <c r="E359" t="s">
        <v>3671</v>
      </c>
      <c r="F359">
        <v>28</v>
      </c>
      <c r="G359" t="s">
        <v>3673</v>
      </c>
      <c r="H359" t="s">
        <v>3673</v>
      </c>
      <c r="I359" t="s">
        <v>3688</v>
      </c>
      <c r="J359" t="s">
        <v>3694</v>
      </c>
      <c r="K359" t="s">
        <v>3698</v>
      </c>
      <c r="L359">
        <v>1</v>
      </c>
      <c r="M359">
        <v>4500</v>
      </c>
      <c r="N359" t="s">
        <v>3702</v>
      </c>
      <c r="O359" t="s">
        <v>3705</v>
      </c>
    </row>
    <row r="360" spans="1:15" x14ac:dyDescent="0.35">
      <c r="A360" t="s">
        <v>373</v>
      </c>
      <c r="B360" t="s">
        <v>1493</v>
      </c>
      <c r="C360" t="s">
        <v>2079</v>
      </c>
      <c r="D360" t="s">
        <v>2841</v>
      </c>
      <c r="E360" t="s">
        <v>3672</v>
      </c>
      <c r="F360">
        <v>46</v>
      </c>
      <c r="G360" t="s">
        <v>3679</v>
      </c>
      <c r="H360" t="s">
        <v>3684</v>
      </c>
      <c r="I360" t="s">
        <v>3688</v>
      </c>
      <c r="J360" t="s">
        <v>3694</v>
      </c>
      <c r="K360" t="s">
        <v>3698</v>
      </c>
      <c r="L360">
        <v>3</v>
      </c>
      <c r="M360">
        <v>4500</v>
      </c>
      <c r="N360" t="s">
        <v>3702</v>
      </c>
      <c r="O360" t="s">
        <v>3707</v>
      </c>
    </row>
    <row r="361" spans="1:15" x14ac:dyDescent="0.35">
      <c r="A361" t="s">
        <v>374</v>
      </c>
      <c r="B361" t="s">
        <v>1494</v>
      </c>
      <c r="C361" t="s">
        <v>2080</v>
      </c>
      <c r="D361" t="s">
        <v>2842</v>
      </c>
      <c r="E361" t="s">
        <v>3672</v>
      </c>
      <c r="F361">
        <v>60</v>
      </c>
      <c r="G361" t="s">
        <v>3674</v>
      </c>
      <c r="H361" t="s">
        <v>3680</v>
      </c>
      <c r="I361" t="s">
        <v>3690</v>
      </c>
      <c r="J361" t="s">
        <v>3693</v>
      </c>
      <c r="K361" t="s">
        <v>3700</v>
      </c>
      <c r="L361">
        <v>2</v>
      </c>
      <c r="M361">
        <v>72000</v>
      </c>
      <c r="N361" t="s">
        <v>3701</v>
      </c>
      <c r="O361" t="s">
        <v>3706</v>
      </c>
    </row>
    <row r="362" spans="1:15" x14ac:dyDescent="0.35">
      <c r="A362" t="s">
        <v>375</v>
      </c>
      <c r="B362" t="s">
        <v>1438</v>
      </c>
      <c r="C362" t="s">
        <v>2081</v>
      </c>
      <c r="D362" t="s">
        <v>2843</v>
      </c>
      <c r="E362" t="s">
        <v>3671</v>
      </c>
      <c r="F362">
        <v>32</v>
      </c>
      <c r="G362" t="s">
        <v>3679</v>
      </c>
      <c r="H362" t="s">
        <v>3684</v>
      </c>
      <c r="I362" t="s">
        <v>3685</v>
      </c>
      <c r="J362" t="s">
        <v>3692</v>
      </c>
      <c r="K362" t="s">
        <v>3695</v>
      </c>
      <c r="L362">
        <v>1</v>
      </c>
      <c r="M362">
        <v>12000</v>
      </c>
      <c r="N362" t="s">
        <v>3701</v>
      </c>
      <c r="O362" t="s">
        <v>3705</v>
      </c>
    </row>
    <row r="363" spans="1:15" x14ac:dyDescent="0.35">
      <c r="A363" t="s">
        <v>376</v>
      </c>
      <c r="B363" t="s">
        <v>1495</v>
      </c>
      <c r="C363" t="s">
        <v>2082</v>
      </c>
      <c r="D363" t="s">
        <v>2844</v>
      </c>
      <c r="E363" t="s">
        <v>3671</v>
      </c>
      <c r="F363">
        <v>55</v>
      </c>
      <c r="G363" t="s">
        <v>3677</v>
      </c>
      <c r="H363" t="s">
        <v>3680</v>
      </c>
      <c r="I363" t="s">
        <v>3689</v>
      </c>
      <c r="J363" t="s">
        <v>3694</v>
      </c>
      <c r="K363" t="s">
        <v>3699</v>
      </c>
      <c r="L363">
        <v>3</v>
      </c>
      <c r="M363">
        <v>1800</v>
      </c>
      <c r="N363" t="s">
        <v>3704</v>
      </c>
      <c r="O363" t="s">
        <v>3707</v>
      </c>
    </row>
    <row r="364" spans="1:15" x14ac:dyDescent="0.35">
      <c r="A364" t="s">
        <v>377</v>
      </c>
      <c r="B364" t="s">
        <v>1496</v>
      </c>
      <c r="C364" t="s">
        <v>2083</v>
      </c>
      <c r="D364" t="s">
        <v>2845</v>
      </c>
      <c r="E364" t="s">
        <v>3671</v>
      </c>
      <c r="F364">
        <v>60</v>
      </c>
      <c r="G364" t="s">
        <v>3679</v>
      </c>
      <c r="H364" t="s">
        <v>3684</v>
      </c>
      <c r="I364" t="s">
        <v>3688</v>
      </c>
      <c r="J364" t="s">
        <v>3694</v>
      </c>
      <c r="K364" t="s">
        <v>3698</v>
      </c>
      <c r="L364">
        <v>4</v>
      </c>
      <c r="M364">
        <v>4500</v>
      </c>
      <c r="N364" t="s">
        <v>3704</v>
      </c>
      <c r="O364" t="s">
        <v>3706</v>
      </c>
    </row>
    <row r="365" spans="1:15" x14ac:dyDescent="0.35">
      <c r="A365" t="s">
        <v>378</v>
      </c>
      <c r="B365" t="s">
        <v>1292</v>
      </c>
      <c r="C365" t="s">
        <v>1881</v>
      </c>
      <c r="D365" t="s">
        <v>2513</v>
      </c>
      <c r="E365" t="s">
        <v>3671</v>
      </c>
      <c r="F365">
        <v>30</v>
      </c>
      <c r="G365" t="s">
        <v>3678</v>
      </c>
      <c r="H365" t="s">
        <v>3683</v>
      </c>
      <c r="I365" t="s">
        <v>3688</v>
      </c>
      <c r="J365" t="s">
        <v>3694</v>
      </c>
      <c r="K365" t="s">
        <v>3698</v>
      </c>
      <c r="L365">
        <v>1</v>
      </c>
      <c r="M365">
        <v>4500</v>
      </c>
      <c r="N365" t="s">
        <v>3702</v>
      </c>
      <c r="O365" t="s">
        <v>3707</v>
      </c>
    </row>
    <row r="366" spans="1:15" x14ac:dyDescent="0.35">
      <c r="A366" t="s">
        <v>379</v>
      </c>
      <c r="B366" t="s">
        <v>1302</v>
      </c>
      <c r="C366" t="s">
        <v>2084</v>
      </c>
      <c r="D366" t="s">
        <v>2846</v>
      </c>
      <c r="E366" t="s">
        <v>3671</v>
      </c>
      <c r="F366">
        <v>24</v>
      </c>
      <c r="G366" t="s">
        <v>3673</v>
      </c>
      <c r="H366" t="s">
        <v>3673</v>
      </c>
      <c r="I366" t="s">
        <v>3687</v>
      </c>
      <c r="J366" t="s">
        <v>3693</v>
      </c>
      <c r="K366" t="s">
        <v>3697</v>
      </c>
      <c r="L366">
        <v>3</v>
      </c>
      <c r="M366">
        <v>5000</v>
      </c>
      <c r="N366" t="s">
        <v>3702</v>
      </c>
      <c r="O366" t="s">
        <v>3706</v>
      </c>
    </row>
    <row r="367" spans="1:15" x14ac:dyDescent="0.35">
      <c r="A367" t="s">
        <v>380</v>
      </c>
      <c r="B367" t="s">
        <v>1497</v>
      </c>
      <c r="C367" t="s">
        <v>2085</v>
      </c>
      <c r="D367" t="s">
        <v>2847</v>
      </c>
      <c r="E367" t="s">
        <v>3671</v>
      </c>
      <c r="F367">
        <v>30</v>
      </c>
      <c r="G367" t="s">
        <v>3673</v>
      </c>
      <c r="H367" t="s">
        <v>3673</v>
      </c>
      <c r="I367" t="s">
        <v>3689</v>
      </c>
      <c r="J367" t="s">
        <v>3694</v>
      </c>
      <c r="K367" t="s">
        <v>3699</v>
      </c>
      <c r="L367">
        <v>5</v>
      </c>
      <c r="M367">
        <v>1800</v>
      </c>
      <c r="N367" t="s">
        <v>3702</v>
      </c>
      <c r="O367" t="s">
        <v>3706</v>
      </c>
    </row>
    <row r="368" spans="1:15" x14ac:dyDescent="0.35">
      <c r="A368" t="s">
        <v>381</v>
      </c>
      <c r="B368" t="s">
        <v>1419</v>
      </c>
      <c r="C368" t="s">
        <v>2086</v>
      </c>
      <c r="D368" t="s">
        <v>2848</v>
      </c>
      <c r="E368" t="s">
        <v>3672</v>
      </c>
      <c r="F368">
        <v>30</v>
      </c>
      <c r="G368" t="s">
        <v>3678</v>
      </c>
      <c r="H368" t="s">
        <v>3683</v>
      </c>
      <c r="I368" t="s">
        <v>3685</v>
      </c>
      <c r="J368" t="s">
        <v>3692</v>
      </c>
      <c r="K368" t="s">
        <v>3695</v>
      </c>
      <c r="L368">
        <v>5</v>
      </c>
      <c r="M368">
        <v>12000</v>
      </c>
      <c r="N368" t="s">
        <v>3702</v>
      </c>
      <c r="O368" t="s">
        <v>3705</v>
      </c>
    </row>
    <row r="369" spans="1:15" x14ac:dyDescent="0.35">
      <c r="A369" t="s">
        <v>382</v>
      </c>
      <c r="B369" t="s">
        <v>1498</v>
      </c>
      <c r="C369" t="s">
        <v>2087</v>
      </c>
      <c r="D369" t="s">
        <v>2849</v>
      </c>
      <c r="E369" t="s">
        <v>3672</v>
      </c>
      <c r="F369">
        <v>18</v>
      </c>
      <c r="G369" t="s">
        <v>3677</v>
      </c>
      <c r="H369" t="s">
        <v>3680</v>
      </c>
      <c r="I369" t="s">
        <v>3685</v>
      </c>
      <c r="J369" t="s">
        <v>3692</v>
      </c>
      <c r="K369" t="s">
        <v>3695</v>
      </c>
      <c r="L369">
        <v>3</v>
      </c>
      <c r="M369">
        <v>12000</v>
      </c>
      <c r="N369" t="s">
        <v>3704</v>
      </c>
      <c r="O369" t="s">
        <v>3707</v>
      </c>
    </row>
    <row r="370" spans="1:15" x14ac:dyDescent="0.35">
      <c r="A370" t="s">
        <v>383</v>
      </c>
      <c r="B370" t="s">
        <v>1256</v>
      </c>
      <c r="C370" t="s">
        <v>2088</v>
      </c>
      <c r="D370" t="s">
        <v>2850</v>
      </c>
      <c r="E370" t="s">
        <v>3672</v>
      </c>
      <c r="F370">
        <v>27</v>
      </c>
      <c r="G370" t="s">
        <v>3674</v>
      </c>
      <c r="H370" t="s">
        <v>3680</v>
      </c>
      <c r="I370" t="s">
        <v>3689</v>
      </c>
      <c r="J370" t="s">
        <v>3694</v>
      </c>
      <c r="K370" t="s">
        <v>3699</v>
      </c>
      <c r="L370">
        <v>5</v>
      </c>
      <c r="M370">
        <v>1800</v>
      </c>
      <c r="N370" t="s">
        <v>3702</v>
      </c>
      <c r="O370" t="s">
        <v>3705</v>
      </c>
    </row>
    <row r="371" spans="1:15" x14ac:dyDescent="0.35">
      <c r="A371" t="s">
        <v>384</v>
      </c>
      <c r="B371" t="s">
        <v>1287</v>
      </c>
      <c r="C371" t="s">
        <v>2089</v>
      </c>
      <c r="D371" t="s">
        <v>2851</v>
      </c>
      <c r="E371" t="s">
        <v>3671</v>
      </c>
      <c r="F371">
        <v>45</v>
      </c>
      <c r="G371" t="s">
        <v>3676</v>
      </c>
      <c r="H371" t="s">
        <v>3682</v>
      </c>
      <c r="I371" t="s">
        <v>3689</v>
      </c>
      <c r="J371" t="s">
        <v>3694</v>
      </c>
      <c r="K371" t="s">
        <v>3699</v>
      </c>
      <c r="L371">
        <v>5</v>
      </c>
      <c r="M371">
        <v>1800</v>
      </c>
      <c r="N371" t="s">
        <v>3702</v>
      </c>
      <c r="O371" t="s">
        <v>3705</v>
      </c>
    </row>
    <row r="372" spans="1:15" x14ac:dyDescent="0.35">
      <c r="A372" t="s">
        <v>385</v>
      </c>
      <c r="B372" t="s">
        <v>1499</v>
      </c>
      <c r="C372" t="s">
        <v>2090</v>
      </c>
      <c r="D372" t="s">
        <v>2852</v>
      </c>
      <c r="E372" t="s">
        <v>3672</v>
      </c>
      <c r="F372">
        <v>49</v>
      </c>
      <c r="G372" t="s">
        <v>3674</v>
      </c>
      <c r="H372" t="s">
        <v>3680</v>
      </c>
      <c r="I372" t="s">
        <v>3686</v>
      </c>
      <c r="J372" t="s">
        <v>3693</v>
      </c>
      <c r="K372" t="s">
        <v>3696</v>
      </c>
      <c r="L372">
        <v>1</v>
      </c>
      <c r="M372">
        <v>65000</v>
      </c>
      <c r="N372" t="s">
        <v>3703</v>
      </c>
      <c r="O372" t="s">
        <v>3705</v>
      </c>
    </row>
    <row r="373" spans="1:15" x14ac:dyDescent="0.35">
      <c r="A373" t="s">
        <v>386</v>
      </c>
      <c r="B373" t="s">
        <v>1500</v>
      </c>
      <c r="C373" t="s">
        <v>2091</v>
      </c>
      <c r="D373" t="s">
        <v>2853</v>
      </c>
      <c r="E373" t="s">
        <v>3671</v>
      </c>
      <c r="F373">
        <v>57</v>
      </c>
      <c r="G373" t="s">
        <v>3676</v>
      </c>
      <c r="H373" t="s">
        <v>3682</v>
      </c>
      <c r="I373" t="s">
        <v>3689</v>
      </c>
      <c r="J373" t="s">
        <v>3694</v>
      </c>
      <c r="K373" t="s">
        <v>3699</v>
      </c>
      <c r="L373">
        <v>3</v>
      </c>
      <c r="M373">
        <v>1800</v>
      </c>
      <c r="N373" t="s">
        <v>3702</v>
      </c>
      <c r="O373" t="s">
        <v>3706</v>
      </c>
    </row>
    <row r="374" spans="1:15" x14ac:dyDescent="0.35">
      <c r="A374" t="s">
        <v>387</v>
      </c>
      <c r="B374" t="s">
        <v>1501</v>
      </c>
      <c r="C374" t="s">
        <v>2092</v>
      </c>
      <c r="D374" t="s">
        <v>2854</v>
      </c>
      <c r="E374" t="s">
        <v>3672</v>
      </c>
      <c r="F374">
        <v>18</v>
      </c>
      <c r="G374" t="s">
        <v>3679</v>
      </c>
      <c r="H374" t="s">
        <v>3684</v>
      </c>
      <c r="I374" t="s">
        <v>3689</v>
      </c>
      <c r="J374" t="s">
        <v>3694</v>
      </c>
      <c r="K374" t="s">
        <v>3699</v>
      </c>
      <c r="L374">
        <v>2</v>
      </c>
      <c r="M374">
        <v>1800</v>
      </c>
      <c r="N374" t="s">
        <v>3704</v>
      </c>
      <c r="O374" t="s">
        <v>3705</v>
      </c>
    </row>
    <row r="375" spans="1:15" x14ac:dyDescent="0.35">
      <c r="A375" t="s">
        <v>388</v>
      </c>
      <c r="B375" t="s">
        <v>1461</v>
      </c>
      <c r="C375" t="s">
        <v>2093</v>
      </c>
      <c r="D375" t="s">
        <v>2855</v>
      </c>
      <c r="E375" t="s">
        <v>3671</v>
      </c>
      <c r="F375">
        <v>24</v>
      </c>
      <c r="G375" t="s">
        <v>3678</v>
      </c>
      <c r="H375" t="s">
        <v>3683</v>
      </c>
      <c r="I375" t="s">
        <v>3687</v>
      </c>
      <c r="J375" t="s">
        <v>3693</v>
      </c>
      <c r="K375" t="s">
        <v>3697</v>
      </c>
      <c r="L375">
        <v>4</v>
      </c>
      <c r="M375">
        <v>5000</v>
      </c>
      <c r="N375" t="s">
        <v>3702</v>
      </c>
      <c r="O375" t="s">
        <v>3706</v>
      </c>
    </row>
    <row r="376" spans="1:15" x14ac:dyDescent="0.35">
      <c r="A376" t="s">
        <v>389</v>
      </c>
      <c r="B376" t="s">
        <v>1502</v>
      </c>
      <c r="C376" t="s">
        <v>1890</v>
      </c>
      <c r="D376" t="s">
        <v>2856</v>
      </c>
      <c r="E376" t="s">
        <v>3671</v>
      </c>
      <c r="F376">
        <v>19</v>
      </c>
      <c r="G376" t="s">
        <v>3677</v>
      </c>
      <c r="H376" t="s">
        <v>3680</v>
      </c>
      <c r="I376" t="s">
        <v>3686</v>
      </c>
      <c r="J376" t="s">
        <v>3693</v>
      </c>
      <c r="K376" t="s">
        <v>3696</v>
      </c>
      <c r="L376">
        <v>3</v>
      </c>
      <c r="M376">
        <v>65000</v>
      </c>
      <c r="N376" t="s">
        <v>3703</v>
      </c>
      <c r="O376" t="s">
        <v>3706</v>
      </c>
    </row>
    <row r="377" spans="1:15" x14ac:dyDescent="0.35">
      <c r="A377" t="s">
        <v>390</v>
      </c>
      <c r="B377" t="s">
        <v>1226</v>
      </c>
      <c r="C377" t="s">
        <v>2094</v>
      </c>
      <c r="D377" t="s">
        <v>2857</v>
      </c>
      <c r="E377" t="s">
        <v>3671</v>
      </c>
      <c r="F377">
        <v>57</v>
      </c>
      <c r="G377" t="s">
        <v>3679</v>
      </c>
      <c r="H377" t="s">
        <v>3684</v>
      </c>
      <c r="I377" t="s">
        <v>3690</v>
      </c>
      <c r="J377" t="s">
        <v>3693</v>
      </c>
      <c r="K377" t="s">
        <v>3700</v>
      </c>
      <c r="L377">
        <v>2</v>
      </c>
      <c r="M377">
        <v>72000</v>
      </c>
      <c r="N377" t="s">
        <v>3703</v>
      </c>
      <c r="O377" t="s">
        <v>3705</v>
      </c>
    </row>
    <row r="378" spans="1:15" x14ac:dyDescent="0.35">
      <c r="A378" t="s">
        <v>391</v>
      </c>
      <c r="B378" t="s">
        <v>1503</v>
      </c>
      <c r="C378" t="s">
        <v>2095</v>
      </c>
      <c r="D378" t="s">
        <v>2858</v>
      </c>
      <c r="E378" t="s">
        <v>3671</v>
      </c>
      <c r="F378">
        <v>19</v>
      </c>
      <c r="G378" t="s">
        <v>3679</v>
      </c>
      <c r="H378" t="s">
        <v>3684</v>
      </c>
      <c r="I378" t="s">
        <v>3691</v>
      </c>
      <c r="J378" t="s">
        <v>3693</v>
      </c>
      <c r="K378" t="s">
        <v>3696</v>
      </c>
      <c r="L378">
        <v>4</v>
      </c>
      <c r="M378">
        <v>58000</v>
      </c>
      <c r="N378" t="s">
        <v>3701</v>
      </c>
      <c r="O378" t="s">
        <v>3706</v>
      </c>
    </row>
    <row r="379" spans="1:15" x14ac:dyDescent="0.35">
      <c r="A379" t="s">
        <v>392</v>
      </c>
      <c r="B379" t="s">
        <v>1323</v>
      </c>
      <c r="C379" t="s">
        <v>2096</v>
      </c>
      <c r="D379" t="s">
        <v>2859</v>
      </c>
      <c r="E379" t="s">
        <v>3672</v>
      </c>
      <c r="F379">
        <v>56</v>
      </c>
      <c r="G379" t="s">
        <v>3673</v>
      </c>
      <c r="H379" t="s">
        <v>3673</v>
      </c>
      <c r="I379" t="s">
        <v>3686</v>
      </c>
      <c r="J379" t="s">
        <v>3693</v>
      </c>
      <c r="K379" t="s">
        <v>3696</v>
      </c>
      <c r="L379">
        <v>3</v>
      </c>
      <c r="M379">
        <v>65000</v>
      </c>
      <c r="N379" t="s">
        <v>3704</v>
      </c>
      <c r="O379" t="s">
        <v>3707</v>
      </c>
    </row>
    <row r="380" spans="1:15" x14ac:dyDescent="0.35">
      <c r="A380" t="s">
        <v>393</v>
      </c>
      <c r="B380" t="s">
        <v>1504</v>
      </c>
      <c r="C380" t="s">
        <v>2097</v>
      </c>
      <c r="D380" t="s">
        <v>2860</v>
      </c>
      <c r="E380" t="s">
        <v>3672</v>
      </c>
      <c r="F380">
        <v>20</v>
      </c>
      <c r="G380" t="s">
        <v>3678</v>
      </c>
      <c r="H380" t="s">
        <v>3683</v>
      </c>
      <c r="I380" t="s">
        <v>3691</v>
      </c>
      <c r="J380" t="s">
        <v>3693</v>
      </c>
      <c r="K380" t="s">
        <v>3696</v>
      </c>
      <c r="L380">
        <v>5</v>
      </c>
      <c r="M380">
        <v>58000</v>
      </c>
      <c r="N380" t="s">
        <v>3703</v>
      </c>
      <c r="O380" t="s">
        <v>3706</v>
      </c>
    </row>
    <row r="381" spans="1:15" x14ac:dyDescent="0.35">
      <c r="A381" t="s">
        <v>394</v>
      </c>
      <c r="B381" t="s">
        <v>1481</v>
      </c>
      <c r="C381" t="s">
        <v>1820</v>
      </c>
      <c r="D381" t="s">
        <v>2861</v>
      </c>
      <c r="E381" t="s">
        <v>3671</v>
      </c>
      <c r="F381">
        <v>42</v>
      </c>
      <c r="G381" t="s">
        <v>3674</v>
      </c>
      <c r="H381" t="s">
        <v>3680</v>
      </c>
      <c r="I381" t="s">
        <v>3685</v>
      </c>
      <c r="J381" t="s">
        <v>3692</v>
      </c>
      <c r="K381" t="s">
        <v>3695</v>
      </c>
      <c r="L381">
        <v>3</v>
      </c>
      <c r="M381">
        <v>12000</v>
      </c>
      <c r="N381" t="s">
        <v>3703</v>
      </c>
      <c r="O381" t="s">
        <v>3707</v>
      </c>
    </row>
    <row r="382" spans="1:15" x14ac:dyDescent="0.35">
      <c r="A382" t="s">
        <v>395</v>
      </c>
      <c r="B382" t="s">
        <v>1441</v>
      </c>
      <c r="C382" t="s">
        <v>2098</v>
      </c>
      <c r="D382" t="s">
        <v>2862</v>
      </c>
      <c r="E382" t="s">
        <v>3672</v>
      </c>
      <c r="F382">
        <v>25</v>
      </c>
      <c r="G382" t="s">
        <v>3673</v>
      </c>
      <c r="H382" t="s">
        <v>3673</v>
      </c>
      <c r="I382" t="s">
        <v>3688</v>
      </c>
      <c r="J382" t="s">
        <v>3694</v>
      </c>
      <c r="K382" t="s">
        <v>3698</v>
      </c>
      <c r="L382">
        <v>4</v>
      </c>
      <c r="M382">
        <v>4500</v>
      </c>
      <c r="N382" t="s">
        <v>3704</v>
      </c>
      <c r="O382" t="s">
        <v>3707</v>
      </c>
    </row>
    <row r="383" spans="1:15" x14ac:dyDescent="0.35">
      <c r="A383" t="s">
        <v>396</v>
      </c>
      <c r="B383" t="s">
        <v>1505</v>
      </c>
      <c r="C383" t="s">
        <v>2099</v>
      </c>
      <c r="D383" t="s">
        <v>2863</v>
      </c>
      <c r="E383" t="s">
        <v>3672</v>
      </c>
      <c r="F383">
        <v>51</v>
      </c>
      <c r="G383" t="s">
        <v>3673</v>
      </c>
      <c r="H383" t="s">
        <v>3673</v>
      </c>
      <c r="I383" t="s">
        <v>3686</v>
      </c>
      <c r="J383" t="s">
        <v>3693</v>
      </c>
      <c r="K383" t="s">
        <v>3696</v>
      </c>
      <c r="L383">
        <v>4</v>
      </c>
      <c r="M383">
        <v>65000</v>
      </c>
      <c r="N383" t="s">
        <v>3703</v>
      </c>
      <c r="O383" t="s">
        <v>3705</v>
      </c>
    </row>
    <row r="384" spans="1:15" x14ac:dyDescent="0.35">
      <c r="A384" t="s">
        <v>397</v>
      </c>
      <c r="B384" t="s">
        <v>1277</v>
      </c>
      <c r="C384" t="s">
        <v>2100</v>
      </c>
      <c r="D384" t="s">
        <v>2864</v>
      </c>
      <c r="E384" t="s">
        <v>3671</v>
      </c>
      <c r="F384">
        <v>40</v>
      </c>
      <c r="G384" t="s">
        <v>3677</v>
      </c>
      <c r="H384" t="s">
        <v>3680</v>
      </c>
      <c r="I384" t="s">
        <v>3691</v>
      </c>
      <c r="J384" t="s">
        <v>3693</v>
      </c>
      <c r="K384" t="s">
        <v>3696</v>
      </c>
      <c r="L384">
        <v>2</v>
      </c>
      <c r="M384">
        <v>58000</v>
      </c>
      <c r="N384" t="s">
        <v>3702</v>
      </c>
      <c r="O384" t="s">
        <v>3705</v>
      </c>
    </row>
    <row r="385" spans="1:15" x14ac:dyDescent="0.35">
      <c r="A385" t="s">
        <v>398</v>
      </c>
      <c r="B385" t="s">
        <v>1506</v>
      </c>
      <c r="C385" t="s">
        <v>2101</v>
      </c>
      <c r="D385" t="s">
        <v>2865</v>
      </c>
      <c r="E385" t="s">
        <v>3672</v>
      </c>
      <c r="F385">
        <v>19</v>
      </c>
      <c r="G385" t="s">
        <v>3676</v>
      </c>
      <c r="H385" t="s">
        <v>3682</v>
      </c>
      <c r="I385" t="s">
        <v>3689</v>
      </c>
      <c r="J385" t="s">
        <v>3694</v>
      </c>
      <c r="K385" t="s">
        <v>3699</v>
      </c>
      <c r="L385">
        <v>5</v>
      </c>
      <c r="M385">
        <v>1800</v>
      </c>
      <c r="N385" t="s">
        <v>3701</v>
      </c>
      <c r="O385" t="s">
        <v>3705</v>
      </c>
    </row>
    <row r="386" spans="1:15" x14ac:dyDescent="0.35">
      <c r="A386" t="s">
        <v>399</v>
      </c>
      <c r="B386" t="s">
        <v>1334</v>
      </c>
      <c r="C386" t="s">
        <v>2102</v>
      </c>
      <c r="D386" t="s">
        <v>2866</v>
      </c>
      <c r="E386" t="s">
        <v>3672</v>
      </c>
      <c r="F386">
        <v>47</v>
      </c>
      <c r="G386" t="s">
        <v>3676</v>
      </c>
      <c r="H386" t="s">
        <v>3682</v>
      </c>
      <c r="I386" t="s">
        <v>3688</v>
      </c>
      <c r="J386" t="s">
        <v>3694</v>
      </c>
      <c r="K386" t="s">
        <v>3698</v>
      </c>
      <c r="L386">
        <v>4</v>
      </c>
      <c r="M386">
        <v>4500</v>
      </c>
      <c r="N386" t="s">
        <v>3701</v>
      </c>
      <c r="O386" t="s">
        <v>3705</v>
      </c>
    </row>
    <row r="387" spans="1:15" x14ac:dyDescent="0.35">
      <c r="A387" t="s">
        <v>400</v>
      </c>
      <c r="B387" t="s">
        <v>1507</v>
      </c>
      <c r="C387" t="s">
        <v>2103</v>
      </c>
      <c r="D387" t="s">
        <v>2867</v>
      </c>
      <c r="E387" t="s">
        <v>3671</v>
      </c>
      <c r="F387">
        <v>39</v>
      </c>
      <c r="G387" t="s">
        <v>3677</v>
      </c>
      <c r="H387" t="s">
        <v>3680</v>
      </c>
      <c r="I387" t="s">
        <v>3690</v>
      </c>
      <c r="J387" t="s">
        <v>3693</v>
      </c>
      <c r="K387" t="s">
        <v>3700</v>
      </c>
      <c r="L387">
        <v>4</v>
      </c>
      <c r="M387">
        <v>72000</v>
      </c>
      <c r="N387" t="s">
        <v>3702</v>
      </c>
      <c r="O387" t="s">
        <v>3707</v>
      </c>
    </row>
    <row r="388" spans="1:15" x14ac:dyDescent="0.35">
      <c r="A388" t="s">
        <v>401</v>
      </c>
      <c r="B388" t="s">
        <v>1375</v>
      </c>
      <c r="C388" t="s">
        <v>2104</v>
      </c>
      <c r="D388" t="s">
        <v>2868</v>
      </c>
      <c r="E388" t="s">
        <v>3671</v>
      </c>
      <c r="F388">
        <v>53</v>
      </c>
      <c r="G388" t="s">
        <v>3675</v>
      </c>
      <c r="H388" t="s">
        <v>3681</v>
      </c>
      <c r="I388" t="s">
        <v>3689</v>
      </c>
      <c r="J388" t="s">
        <v>3694</v>
      </c>
      <c r="K388" t="s">
        <v>3699</v>
      </c>
      <c r="L388">
        <v>3</v>
      </c>
      <c r="M388">
        <v>1800</v>
      </c>
      <c r="N388" t="s">
        <v>3703</v>
      </c>
      <c r="O388" t="s">
        <v>3707</v>
      </c>
    </row>
    <row r="389" spans="1:15" x14ac:dyDescent="0.35">
      <c r="A389" t="s">
        <v>402</v>
      </c>
      <c r="B389" t="s">
        <v>1343</v>
      </c>
      <c r="C389" t="s">
        <v>1964</v>
      </c>
      <c r="D389" t="s">
        <v>2869</v>
      </c>
      <c r="E389" t="s">
        <v>3672</v>
      </c>
      <c r="F389">
        <v>43</v>
      </c>
      <c r="G389" t="s">
        <v>3673</v>
      </c>
      <c r="H389" t="s">
        <v>3673</v>
      </c>
      <c r="I389" t="s">
        <v>3690</v>
      </c>
      <c r="J389" t="s">
        <v>3693</v>
      </c>
      <c r="K389" t="s">
        <v>3700</v>
      </c>
      <c r="L389">
        <v>3</v>
      </c>
      <c r="M389">
        <v>72000</v>
      </c>
      <c r="N389" t="s">
        <v>3703</v>
      </c>
      <c r="O389" t="s">
        <v>3707</v>
      </c>
    </row>
    <row r="390" spans="1:15" x14ac:dyDescent="0.35">
      <c r="A390" t="s">
        <v>403</v>
      </c>
      <c r="B390" t="s">
        <v>1508</v>
      </c>
      <c r="C390" t="s">
        <v>2105</v>
      </c>
      <c r="D390" t="s">
        <v>2870</v>
      </c>
      <c r="E390" t="s">
        <v>3671</v>
      </c>
      <c r="F390">
        <v>41</v>
      </c>
      <c r="G390" t="s">
        <v>3679</v>
      </c>
      <c r="H390" t="s">
        <v>3684</v>
      </c>
      <c r="I390" t="s">
        <v>3687</v>
      </c>
      <c r="J390" t="s">
        <v>3693</v>
      </c>
      <c r="K390" t="s">
        <v>3697</v>
      </c>
      <c r="L390">
        <v>1</v>
      </c>
      <c r="M390">
        <v>5000</v>
      </c>
      <c r="N390" t="s">
        <v>3704</v>
      </c>
      <c r="O390" t="s">
        <v>3707</v>
      </c>
    </row>
    <row r="391" spans="1:15" x14ac:dyDescent="0.35">
      <c r="A391" t="s">
        <v>404</v>
      </c>
      <c r="B391" t="s">
        <v>1509</v>
      </c>
      <c r="C391" t="s">
        <v>2106</v>
      </c>
      <c r="D391" t="s">
        <v>2871</v>
      </c>
      <c r="E391" t="s">
        <v>3671</v>
      </c>
      <c r="F391">
        <v>42</v>
      </c>
      <c r="G391" t="s">
        <v>3674</v>
      </c>
      <c r="H391" t="s">
        <v>3680</v>
      </c>
      <c r="I391" t="s">
        <v>3690</v>
      </c>
      <c r="J391" t="s">
        <v>3693</v>
      </c>
      <c r="K391" t="s">
        <v>3700</v>
      </c>
      <c r="L391">
        <v>2</v>
      </c>
      <c r="M391">
        <v>72000</v>
      </c>
      <c r="N391" t="s">
        <v>3701</v>
      </c>
      <c r="O391" t="s">
        <v>3705</v>
      </c>
    </row>
    <row r="392" spans="1:15" x14ac:dyDescent="0.35">
      <c r="A392" t="s">
        <v>405</v>
      </c>
      <c r="B392" t="s">
        <v>1281</v>
      </c>
      <c r="C392" t="s">
        <v>1873</v>
      </c>
      <c r="D392" t="s">
        <v>2872</v>
      </c>
      <c r="E392" t="s">
        <v>3671</v>
      </c>
      <c r="F392">
        <v>33</v>
      </c>
      <c r="G392" t="s">
        <v>3673</v>
      </c>
      <c r="H392" t="s">
        <v>3673</v>
      </c>
      <c r="I392" t="s">
        <v>3688</v>
      </c>
      <c r="J392" t="s">
        <v>3694</v>
      </c>
      <c r="K392" t="s">
        <v>3698</v>
      </c>
      <c r="L392">
        <v>1</v>
      </c>
      <c r="M392">
        <v>4500</v>
      </c>
      <c r="N392" t="s">
        <v>3703</v>
      </c>
      <c r="O392" t="s">
        <v>3705</v>
      </c>
    </row>
    <row r="393" spans="1:15" x14ac:dyDescent="0.35">
      <c r="A393" t="s">
        <v>406</v>
      </c>
      <c r="B393" t="s">
        <v>1494</v>
      </c>
      <c r="C393" t="s">
        <v>2107</v>
      </c>
      <c r="D393" t="s">
        <v>2873</v>
      </c>
      <c r="E393" t="s">
        <v>3671</v>
      </c>
      <c r="F393">
        <v>19</v>
      </c>
      <c r="G393" t="s">
        <v>3676</v>
      </c>
      <c r="H393" t="s">
        <v>3682</v>
      </c>
      <c r="I393" t="s">
        <v>3691</v>
      </c>
      <c r="J393" t="s">
        <v>3693</v>
      </c>
      <c r="K393" t="s">
        <v>3696</v>
      </c>
      <c r="L393">
        <v>1</v>
      </c>
      <c r="M393">
        <v>58000</v>
      </c>
      <c r="N393" t="s">
        <v>3701</v>
      </c>
      <c r="O393" t="s">
        <v>3705</v>
      </c>
    </row>
    <row r="394" spans="1:15" x14ac:dyDescent="0.35">
      <c r="A394" t="s">
        <v>407</v>
      </c>
      <c r="B394" t="s">
        <v>1510</v>
      </c>
      <c r="C394" t="s">
        <v>2108</v>
      </c>
      <c r="D394" t="s">
        <v>2874</v>
      </c>
      <c r="E394" t="s">
        <v>3671</v>
      </c>
      <c r="F394">
        <v>45</v>
      </c>
      <c r="G394" t="s">
        <v>3673</v>
      </c>
      <c r="H394" t="s">
        <v>3673</v>
      </c>
      <c r="I394" t="s">
        <v>3690</v>
      </c>
      <c r="J394" t="s">
        <v>3693</v>
      </c>
      <c r="K394" t="s">
        <v>3700</v>
      </c>
      <c r="L394">
        <v>5</v>
      </c>
      <c r="M394">
        <v>72000</v>
      </c>
      <c r="N394" t="s">
        <v>3702</v>
      </c>
      <c r="O394" t="s">
        <v>3705</v>
      </c>
    </row>
    <row r="395" spans="1:15" x14ac:dyDescent="0.35">
      <c r="A395" t="s">
        <v>408</v>
      </c>
      <c r="B395" t="s">
        <v>1339</v>
      </c>
      <c r="C395" t="s">
        <v>2109</v>
      </c>
      <c r="D395" t="s">
        <v>2875</v>
      </c>
      <c r="E395" t="s">
        <v>3671</v>
      </c>
      <c r="F395">
        <v>47</v>
      </c>
      <c r="G395" t="s">
        <v>3677</v>
      </c>
      <c r="H395" t="s">
        <v>3680</v>
      </c>
      <c r="I395" t="s">
        <v>3690</v>
      </c>
      <c r="J395" t="s">
        <v>3693</v>
      </c>
      <c r="K395" t="s">
        <v>3700</v>
      </c>
      <c r="L395">
        <v>4</v>
      </c>
      <c r="M395">
        <v>72000</v>
      </c>
      <c r="N395" t="s">
        <v>3704</v>
      </c>
      <c r="O395" t="s">
        <v>3705</v>
      </c>
    </row>
    <row r="396" spans="1:15" x14ac:dyDescent="0.35">
      <c r="A396" t="s">
        <v>409</v>
      </c>
      <c r="B396" t="s">
        <v>1511</v>
      </c>
      <c r="C396" t="s">
        <v>2110</v>
      </c>
      <c r="D396" t="s">
        <v>2876</v>
      </c>
      <c r="E396" t="s">
        <v>3672</v>
      </c>
      <c r="F396">
        <v>26</v>
      </c>
      <c r="G396" t="s">
        <v>3675</v>
      </c>
      <c r="H396" t="s">
        <v>3681</v>
      </c>
      <c r="I396" t="s">
        <v>3691</v>
      </c>
      <c r="J396" t="s">
        <v>3693</v>
      </c>
      <c r="K396" t="s">
        <v>3696</v>
      </c>
      <c r="L396">
        <v>1</v>
      </c>
      <c r="M396">
        <v>58000</v>
      </c>
      <c r="N396" t="s">
        <v>3702</v>
      </c>
      <c r="O396" t="s">
        <v>3706</v>
      </c>
    </row>
    <row r="397" spans="1:15" x14ac:dyDescent="0.35">
      <c r="A397" t="s">
        <v>410</v>
      </c>
      <c r="B397" t="s">
        <v>1392</v>
      </c>
      <c r="C397" t="s">
        <v>1902</v>
      </c>
      <c r="D397" t="s">
        <v>2877</v>
      </c>
      <c r="E397" t="s">
        <v>3671</v>
      </c>
      <c r="F397">
        <v>51</v>
      </c>
      <c r="G397" t="s">
        <v>3679</v>
      </c>
      <c r="H397" t="s">
        <v>3684</v>
      </c>
      <c r="I397" t="s">
        <v>3688</v>
      </c>
      <c r="J397" t="s">
        <v>3694</v>
      </c>
      <c r="K397" t="s">
        <v>3698</v>
      </c>
      <c r="L397">
        <v>1</v>
      </c>
      <c r="M397">
        <v>4500</v>
      </c>
      <c r="N397" t="s">
        <v>3703</v>
      </c>
      <c r="O397" t="s">
        <v>3705</v>
      </c>
    </row>
    <row r="398" spans="1:15" x14ac:dyDescent="0.35">
      <c r="A398" t="s">
        <v>411</v>
      </c>
      <c r="B398" t="s">
        <v>1433</v>
      </c>
      <c r="C398" t="s">
        <v>2111</v>
      </c>
      <c r="D398" t="s">
        <v>2878</v>
      </c>
      <c r="E398" t="s">
        <v>3671</v>
      </c>
      <c r="F398">
        <v>46</v>
      </c>
      <c r="G398" t="s">
        <v>3677</v>
      </c>
      <c r="H398" t="s">
        <v>3680</v>
      </c>
      <c r="I398" t="s">
        <v>3685</v>
      </c>
      <c r="J398" t="s">
        <v>3692</v>
      </c>
      <c r="K398" t="s">
        <v>3695</v>
      </c>
      <c r="L398">
        <v>5</v>
      </c>
      <c r="M398">
        <v>12000</v>
      </c>
      <c r="N398" t="s">
        <v>3702</v>
      </c>
      <c r="O398" t="s">
        <v>3705</v>
      </c>
    </row>
    <row r="399" spans="1:15" x14ac:dyDescent="0.35">
      <c r="A399" t="s">
        <v>412</v>
      </c>
      <c r="B399" t="s">
        <v>1512</v>
      </c>
      <c r="C399" t="s">
        <v>1924</v>
      </c>
      <c r="D399" t="s">
        <v>2879</v>
      </c>
      <c r="E399" t="s">
        <v>3671</v>
      </c>
      <c r="F399">
        <v>25</v>
      </c>
      <c r="G399" t="s">
        <v>3679</v>
      </c>
      <c r="H399" t="s">
        <v>3684</v>
      </c>
      <c r="I399" t="s">
        <v>3691</v>
      </c>
      <c r="J399" t="s">
        <v>3693</v>
      </c>
      <c r="K399" t="s">
        <v>3696</v>
      </c>
      <c r="L399">
        <v>5</v>
      </c>
      <c r="M399">
        <v>58000</v>
      </c>
      <c r="N399" t="s">
        <v>3703</v>
      </c>
      <c r="O399" t="s">
        <v>3706</v>
      </c>
    </row>
    <row r="400" spans="1:15" x14ac:dyDescent="0.35">
      <c r="A400" t="s">
        <v>413</v>
      </c>
      <c r="B400" t="s">
        <v>1513</v>
      </c>
      <c r="C400" t="s">
        <v>2112</v>
      </c>
      <c r="D400" t="s">
        <v>2880</v>
      </c>
      <c r="E400" t="s">
        <v>3672</v>
      </c>
      <c r="F400">
        <v>51</v>
      </c>
      <c r="G400" t="s">
        <v>3676</v>
      </c>
      <c r="H400" t="s">
        <v>3682</v>
      </c>
      <c r="I400" t="s">
        <v>3686</v>
      </c>
      <c r="J400" t="s">
        <v>3693</v>
      </c>
      <c r="K400" t="s">
        <v>3696</v>
      </c>
      <c r="L400">
        <v>5</v>
      </c>
      <c r="M400">
        <v>65000</v>
      </c>
      <c r="N400" t="s">
        <v>3701</v>
      </c>
      <c r="O400" t="s">
        <v>3706</v>
      </c>
    </row>
    <row r="401" spans="1:15" x14ac:dyDescent="0.35">
      <c r="A401" t="s">
        <v>414</v>
      </c>
      <c r="B401" t="s">
        <v>1514</v>
      </c>
      <c r="C401" t="s">
        <v>2113</v>
      </c>
      <c r="D401" t="s">
        <v>2881</v>
      </c>
      <c r="E401" t="s">
        <v>3671</v>
      </c>
      <c r="F401">
        <v>53</v>
      </c>
      <c r="G401" t="s">
        <v>3677</v>
      </c>
      <c r="H401" t="s">
        <v>3680</v>
      </c>
      <c r="I401" t="s">
        <v>3691</v>
      </c>
      <c r="J401" t="s">
        <v>3693</v>
      </c>
      <c r="K401" t="s">
        <v>3696</v>
      </c>
      <c r="L401">
        <v>1</v>
      </c>
      <c r="M401">
        <v>58000</v>
      </c>
      <c r="N401" t="s">
        <v>3703</v>
      </c>
      <c r="O401" t="s">
        <v>3706</v>
      </c>
    </row>
    <row r="402" spans="1:15" x14ac:dyDescent="0.35">
      <c r="A402" t="s">
        <v>415</v>
      </c>
      <c r="B402" t="s">
        <v>1515</v>
      </c>
      <c r="C402" t="s">
        <v>2114</v>
      </c>
      <c r="D402" t="s">
        <v>2882</v>
      </c>
      <c r="E402" t="s">
        <v>3671</v>
      </c>
      <c r="F402">
        <v>23</v>
      </c>
      <c r="G402" t="s">
        <v>3679</v>
      </c>
      <c r="H402" t="s">
        <v>3684</v>
      </c>
      <c r="I402" t="s">
        <v>3685</v>
      </c>
      <c r="J402" t="s">
        <v>3692</v>
      </c>
      <c r="K402" t="s">
        <v>3695</v>
      </c>
      <c r="L402">
        <v>2</v>
      </c>
      <c r="M402">
        <v>12000</v>
      </c>
      <c r="N402" t="s">
        <v>3703</v>
      </c>
      <c r="O402" t="s">
        <v>3706</v>
      </c>
    </row>
    <row r="403" spans="1:15" x14ac:dyDescent="0.35">
      <c r="A403" t="s">
        <v>416</v>
      </c>
      <c r="B403" t="s">
        <v>1516</v>
      </c>
      <c r="C403" t="s">
        <v>1817</v>
      </c>
      <c r="D403" t="s">
        <v>2883</v>
      </c>
      <c r="E403" t="s">
        <v>3671</v>
      </c>
      <c r="F403">
        <v>31</v>
      </c>
      <c r="G403" t="s">
        <v>3674</v>
      </c>
      <c r="H403" t="s">
        <v>3680</v>
      </c>
      <c r="I403" t="s">
        <v>3687</v>
      </c>
      <c r="J403" t="s">
        <v>3693</v>
      </c>
      <c r="K403" t="s">
        <v>3697</v>
      </c>
      <c r="L403">
        <v>3</v>
      </c>
      <c r="M403">
        <v>5000</v>
      </c>
      <c r="N403" t="s">
        <v>3701</v>
      </c>
      <c r="O403" t="s">
        <v>3705</v>
      </c>
    </row>
    <row r="404" spans="1:15" x14ac:dyDescent="0.35">
      <c r="A404" t="s">
        <v>417</v>
      </c>
      <c r="B404" t="s">
        <v>1517</v>
      </c>
      <c r="C404" t="s">
        <v>2083</v>
      </c>
      <c r="D404" t="s">
        <v>2884</v>
      </c>
      <c r="E404" t="s">
        <v>3671</v>
      </c>
      <c r="F404">
        <v>45</v>
      </c>
      <c r="G404" t="s">
        <v>3675</v>
      </c>
      <c r="H404" t="s">
        <v>3681</v>
      </c>
      <c r="I404" t="s">
        <v>3685</v>
      </c>
      <c r="J404" t="s">
        <v>3692</v>
      </c>
      <c r="K404" t="s">
        <v>3695</v>
      </c>
      <c r="L404">
        <v>2</v>
      </c>
      <c r="M404">
        <v>12000</v>
      </c>
      <c r="N404" t="s">
        <v>3702</v>
      </c>
      <c r="O404" t="s">
        <v>3707</v>
      </c>
    </row>
    <row r="405" spans="1:15" x14ac:dyDescent="0.35">
      <c r="A405" t="s">
        <v>418</v>
      </c>
      <c r="B405" t="s">
        <v>1518</v>
      </c>
      <c r="C405" t="s">
        <v>2115</v>
      </c>
      <c r="D405" t="s">
        <v>2885</v>
      </c>
      <c r="E405" t="s">
        <v>3671</v>
      </c>
      <c r="F405">
        <v>49</v>
      </c>
      <c r="G405" t="s">
        <v>3676</v>
      </c>
      <c r="H405" t="s">
        <v>3682</v>
      </c>
      <c r="I405" t="s">
        <v>3690</v>
      </c>
      <c r="J405" t="s">
        <v>3693</v>
      </c>
      <c r="K405" t="s">
        <v>3700</v>
      </c>
      <c r="L405">
        <v>2</v>
      </c>
      <c r="M405">
        <v>72000</v>
      </c>
      <c r="N405" t="s">
        <v>3702</v>
      </c>
      <c r="O405" t="s">
        <v>3707</v>
      </c>
    </row>
    <row r="406" spans="1:15" x14ac:dyDescent="0.35">
      <c r="A406" t="s">
        <v>419</v>
      </c>
      <c r="B406" t="s">
        <v>1519</v>
      </c>
      <c r="C406" t="s">
        <v>2068</v>
      </c>
      <c r="D406" t="s">
        <v>2886</v>
      </c>
      <c r="E406" t="s">
        <v>3672</v>
      </c>
      <c r="F406">
        <v>18</v>
      </c>
      <c r="G406" t="s">
        <v>3675</v>
      </c>
      <c r="H406" t="s">
        <v>3681</v>
      </c>
      <c r="I406" t="s">
        <v>3685</v>
      </c>
      <c r="J406" t="s">
        <v>3692</v>
      </c>
      <c r="K406" t="s">
        <v>3695</v>
      </c>
      <c r="L406">
        <v>4</v>
      </c>
      <c r="M406">
        <v>12000</v>
      </c>
      <c r="N406" t="s">
        <v>3702</v>
      </c>
      <c r="O406" t="s">
        <v>3707</v>
      </c>
    </row>
    <row r="407" spans="1:15" x14ac:dyDescent="0.35">
      <c r="A407" t="s">
        <v>420</v>
      </c>
      <c r="B407" t="s">
        <v>1520</v>
      </c>
      <c r="C407" t="s">
        <v>2116</v>
      </c>
      <c r="D407" t="s">
        <v>2887</v>
      </c>
      <c r="E407" t="s">
        <v>3672</v>
      </c>
      <c r="F407">
        <v>47</v>
      </c>
      <c r="G407" t="s">
        <v>3679</v>
      </c>
      <c r="H407" t="s">
        <v>3684</v>
      </c>
      <c r="I407" t="s">
        <v>3689</v>
      </c>
      <c r="J407" t="s">
        <v>3694</v>
      </c>
      <c r="K407" t="s">
        <v>3699</v>
      </c>
      <c r="L407">
        <v>2</v>
      </c>
      <c r="M407">
        <v>1800</v>
      </c>
      <c r="N407" t="s">
        <v>3701</v>
      </c>
      <c r="O407" t="s">
        <v>3705</v>
      </c>
    </row>
    <row r="408" spans="1:15" x14ac:dyDescent="0.35">
      <c r="A408" t="s">
        <v>421</v>
      </c>
      <c r="B408" t="s">
        <v>1489</v>
      </c>
      <c r="C408" t="s">
        <v>2117</v>
      </c>
      <c r="D408" t="s">
        <v>2888</v>
      </c>
      <c r="E408" t="s">
        <v>3672</v>
      </c>
      <c r="F408">
        <v>30</v>
      </c>
      <c r="G408" t="s">
        <v>3678</v>
      </c>
      <c r="H408" t="s">
        <v>3683</v>
      </c>
      <c r="I408" t="s">
        <v>3691</v>
      </c>
      <c r="J408" t="s">
        <v>3693</v>
      </c>
      <c r="K408" t="s">
        <v>3696</v>
      </c>
      <c r="L408">
        <v>3</v>
      </c>
      <c r="M408">
        <v>58000</v>
      </c>
      <c r="N408" t="s">
        <v>3702</v>
      </c>
      <c r="O408" t="s">
        <v>3707</v>
      </c>
    </row>
    <row r="409" spans="1:15" x14ac:dyDescent="0.35">
      <c r="A409" t="s">
        <v>422</v>
      </c>
      <c r="B409" t="s">
        <v>1521</v>
      </c>
      <c r="C409" t="s">
        <v>2118</v>
      </c>
      <c r="D409" t="s">
        <v>2889</v>
      </c>
      <c r="E409" t="s">
        <v>3671</v>
      </c>
      <c r="F409">
        <v>31</v>
      </c>
      <c r="G409" t="s">
        <v>3677</v>
      </c>
      <c r="H409" t="s">
        <v>3680</v>
      </c>
      <c r="I409" t="s">
        <v>3687</v>
      </c>
      <c r="J409" t="s">
        <v>3693</v>
      </c>
      <c r="K409" t="s">
        <v>3697</v>
      </c>
      <c r="L409">
        <v>4</v>
      </c>
      <c r="M409">
        <v>5000</v>
      </c>
      <c r="N409" t="s">
        <v>3702</v>
      </c>
      <c r="O409" t="s">
        <v>3706</v>
      </c>
    </row>
    <row r="410" spans="1:15" x14ac:dyDescent="0.35">
      <c r="A410" t="s">
        <v>423</v>
      </c>
      <c r="B410" t="s">
        <v>1522</v>
      </c>
      <c r="C410" t="s">
        <v>2119</v>
      </c>
      <c r="D410" t="s">
        <v>2890</v>
      </c>
      <c r="E410" t="s">
        <v>3672</v>
      </c>
      <c r="F410">
        <v>37</v>
      </c>
      <c r="G410" t="s">
        <v>3673</v>
      </c>
      <c r="H410" t="s">
        <v>3673</v>
      </c>
      <c r="I410" t="s">
        <v>3691</v>
      </c>
      <c r="J410" t="s">
        <v>3693</v>
      </c>
      <c r="K410" t="s">
        <v>3696</v>
      </c>
      <c r="L410">
        <v>3</v>
      </c>
      <c r="M410">
        <v>58000</v>
      </c>
      <c r="N410" t="s">
        <v>3702</v>
      </c>
      <c r="O410" t="s">
        <v>3707</v>
      </c>
    </row>
    <row r="411" spans="1:15" x14ac:dyDescent="0.35">
      <c r="A411" t="s">
        <v>424</v>
      </c>
      <c r="B411" t="s">
        <v>1523</v>
      </c>
      <c r="C411" t="s">
        <v>1885</v>
      </c>
      <c r="D411" t="s">
        <v>2891</v>
      </c>
      <c r="E411" t="s">
        <v>3671</v>
      </c>
      <c r="F411">
        <v>56</v>
      </c>
      <c r="G411" t="s">
        <v>3677</v>
      </c>
      <c r="H411" t="s">
        <v>3680</v>
      </c>
      <c r="I411" t="s">
        <v>3691</v>
      </c>
      <c r="J411" t="s">
        <v>3693</v>
      </c>
      <c r="K411" t="s">
        <v>3696</v>
      </c>
      <c r="L411">
        <v>1</v>
      </c>
      <c r="M411">
        <v>58000</v>
      </c>
      <c r="N411" t="s">
        <v>3703</v>
      </c>
      <c r="O411" t="s">
        <v>3706</v>
      </c>
    </row>
    <row r="412" spans="1:15" x14ac:dyDescent="0.35">
      <c r="A412" t="s">
        <v>425</v>
      </c>
      <c r="B412" t="s">
        <v>1524</v>
      </c>
      <c r="C412" t="s">
        <v>2120</v>
      </c>
      <c r="D412" t="s">
        <v>2892</v>
      </c>
      <c r="E412" t="s">
        <v>3672</v>
      </c>
      <c r="F412">
        <v>53</v>
      </c>
      <c r="G412" t="s">
        <v>3678</v>
      </c>
      <c r="H412" t="s">
        <v>3683</v>
      </c>
      <c r="I412" t="s">
        <v>3688</v>
      </c>
      <c r="J412" t="s">
        <v>3694</v>
      </c>
      <c r="K412" t="s">
        <v>3698</v>
      </c>
      <c r="L412">
        <v>5</v>
      </c>
      <c r="M412">
        <v>4500</v>
      </c>
      <c r="N412" t="s">
        <v>3703</v>
      </c>
      <c r="O412" t="s">
        <v>3706</v>
      </c>
    </row>
    <row r="413" spans="1:15" x14ac:dyDescent="0.35">
      <c r="A413" t="s">
        <v>426</v>
      </c>
      <c r="B413" t="s">
        <v>1493</v>
      </c>
      <c r="C413" t="s">
        <v>2121</v>
      </c>
      <c r="D413" t="s">
        <v>2893</v>
      </c>
      <c r="E413" t="s">
        <v>3671</v>
      </c>
      <c r="F413">
        <v>53</v>
      </c>
      <c r="G413" t="s">
        <v>3677</v>
      </c>
      <c r="H413" t="s">
        <v>3680</v>
      </c>
      <c r="I413" t="s">
        <v>3687</v>
      </c>
      <c r="J413" t="s">
        <v>3693</v>
      </c>
      <c r="K413" t="s">
        <v>3697</v>
      </c>
      <c r="L413">
        <v>5</v>
      </c>
      <c r="M413">
        <v>5000</v>
      </c>
      <c r="N413" t="s">
        <v>3701</v>
      </c>
      <c r="O413" t="s">
        <v>3706</v>
      </c>
    </row>
    <row r="414" spans="1:15" x14ac:dyDescent="0.35">
      <c r="A414" t="s">
        <v>427</v>
      </c>
      <c r="B414" t="s">
        <v>1525</v>
      </c>
      <c r="C414" t="s">
        <v>1846</v>
      </c>
      <c r="D414" t="s">
        <v>2894</v>
      </c>
      <c r="E414" t="s">
        <v>3672</v>
      </c>
      <c r="F414">
        <v>60</v>
      </c>
      <c r="G414" t="s">
        <v>3674</v>
      </c>
      <c r="H414" t="s">
        <v>3680</v>
      </c>
      <c r="I414" t="s">
        <v>3690</v>
      </c>
      <c r="J414" t="s">
        <v>3693</v>
      </c>
      <c r="K414" t="s">
        <v>3700</v>
      </c>
      <c r="L414">
        <v>4</v>
      </c>
      <c r="M414">
        <v>72000</v>
      </c>
      <c r="N414" t="s">
        <v>3701</v>
      </c>
      <c r="O414" t="s">
        <v>3706</v>
      </c>
    </row>
    <row r="415" spans="1:15" x14ac:dyDescent="0.35">
      <c r="A415" t="s">
        <v>428</v>
      </c>
      <c r="B415" t="s">
        <v>1501</v>
      </c>
      <c r="C415" t="s">
        <v>2122</v>
      </c>
      <c r="D415" t="s">
        <v>2895</v>
      </c>
      <c r="E415" t="s">
        <v>3671</v>
      </c>
      <c r="F415">
        <v>53</v>
      </c>
      <c r="G415" t="s">
        <v>3677</v>
      </c>
      <c r="H415" t="s">
        <v>3680</v>
      </c>
      <c r="I415" t="s">
        <v>3687</v>
      </c>
      <c r="J415" t="s">
        <v>3693</v>
      </c>
      <c r="K415" t="s">
        <v>3697</v>
      </c>
      <c r="L415">
        <v>4</v>
      </c>
      <c r="M415">
        <v>5000</v>
      </c>
      <c r="N415" t="s">
        <v>3703</v>
      </c>
      <c r="O415" t="s">
        <v>3706</v>
      </c>
    </row>
    <row r="416" spans="1:15" x14ac:dyDescent="0.35">
      <c r="A416" t="s">
        <v>429</v>
      </c>
      <c r="B416" t="s">
        <v>1332</v>
      </c>
      <c r="C416" t="s">
        <v>1840</v>
      </c>
      <c r="D416" t="s">
        <v>2896</v>
      </c>
      <c r="E416" t="s">
        <v>3671</v>
      </c>
      <c r="F416">
        <v>28</v>
      </c>
      <c r="G416" t="s">
        <v>3677</v>
      </c>
      <c r="H416" t="s">
        <v>3680</v>
      </c>
      <c r="I416" t="s">
        <v>3687</v>
      </c>
      <c r="J416" t="s">
        <v>3693</v>
      </c>
      <c r="K416" t="s">
        <v>3697</v>
      </c>
      <c r="L416">
        <v>5</v>
      </c>
      <c r="M416">
        <v>5000</v>
      </c>
      <c r="N416" t="s">
        <v>3703</v>
      </c>
      <c r="O416" t="s">
        <v>3706</v>
      </c>
    </row>
    <row r="417" spans="1:15" x14ac:dyDescent="0.35">
      <c r="A417" t="s">
        <v>430</v>
      </c>
      <c r="B417" t="s">
        <v>1526</v>
      </c>
      <c r="C417" t="s">
        <v>2123</v>
      </c>
      <c r="D417" t="s">
        <v>2897</v>
      </c>
      <c r="E417" t="s">
        <v>3671</v>
      </c>
      <c r="F417">
        <v>44</v>
      </c>
      <c r="G417" t="s">
        <v>3676</v>
      </c>
      <c r="H417" t="s">
        <v>3682</v>
      </c>
      <c r="I417" t="s">
        <v>3686</v>
      </c>
      <c r="J417" t="s">
        <v>3693</v>
      </c>
      <c r="K417" t="s">
        <v>3696</v>
      </c>
      <c r="L417">
        <v>2</v>
      </c>
      <c r="M417">
        <v>65000</v>
      </c>
      <c r="N417" t="s">
        <v>3703</v>
      </c>
      <c r="O417" t="s">
        <v>3706</v>
      </c>
    </row>
    <row r="418" spans="1:15" x14ac:dyDescent="0.35">
      <c r="A418" t="s">
        <v>431</v>
      </c>
      <c r="B418" t="s">
        <v>1323</v>
      </c>
      <c r="C418" t="s">
        <v>2124</v>
      </c>
      <c r="D418" t="s">
        <v>2898</v>
      </c>
      <c r="E418" t="s">
        <v>3671</v>
      </c>
      <c r="F418">
        <v>32</v>
      </c>
      <c r="G418" t="s">
        <v>3679</v>
      </c>
      <c r="H418" t="s">
        <v>3684</v>
      </c>
      <c r="I418" t="s">
        <v>3687</v>
      </c>
      <c r="J418" t="s">
        <v>3693</v>
      </c>
      <c r="K418" t="s">
        <v>3697</v>
      </c>
      <c r="L418">
        <v>1</v>
      </c>
      <c r="M418">
        <v>5000</v>
      </c>
      <c r="N418" t="s">
        <v>3701</v>
      </c>
      <c r="O418" t="s">
        <v>3705</v>
      </c>
    </row>
    <row r="419" spans="1:15" x14ac:dyDescent="0.35">
      <c r="A419" t="s">
        <v>432</v>
      </c>
      <c r="B419" t="s">
        <v>1527</v>
      </c>
      <c r="C419" t="s">
        <v>1937</v>
      </c>
      <c r="D419" t="s">
        <v>2899</v>
      </c>
      <c r="E419" t="s">
        <v>3671</v>
      </c>
      <c r="F419">
        <v>47</v>
      </c>
      <c r="G419" t="s">
        <v>3678</v>
      </c>
      <c r="H419" t="s">
        <v>3683</v>
      </c>
      <c r="I419" t="s">
        <v>3687</v>
      </c>
      <c r="J419" t="s">
        <v>3693</v>
      </c>
      <c r="K419" t="s">
        <v>3697</v>
      </c>
      <c r="L419">
        <v>3</v>
      </c>
      <c r="M419">
        <v>5000</v>
      </c>
      <c r="N419" t="s">
        <v>3702</v>
      </c>
      <c r="O419" t="s">
        <v>3706</v>
      </c>
    </row>
    <row r="420" spans="1:15" x14ac:dyDescent="0.35">
      <c r="A420" t="s">
        <v>433</v>
      </c>
      <c r="B420" t="s">
        <v>1270</v>
      </c>
      <c r="C420" t="s">
        <v>2012</v>
      </c>
      <c r="D420" t="s">
        <v>2900</v>
      </c>
      <c r="E420" t="s">
        <v>3671</v>
      </c>
      <c r="F420">
        <v>41</v>
      </c>
      <c r="G420" t="s">
        <v>3674</v>
      </c>
      <c r="H420" t="s">
        <v>3680</v>
      </c>
      <c r="I420" t="s">
        <v>3686</v>
      </c>
      <c r="J420" t="s">
        <v>3693</v>
      </c>
      <c r="K420" t="s">
        <v>3696</v>
      </c>
      <c r="L420">
        <v>3</v>
      </c>
      <c r="M420">
        <v>65000</v>
      </c>
      <c r="N420" t="s">
        <v>3703</v>
      </c>
      <c r="O420" t="s">
        <v>3707</v>
      </c>
    </row>
    <row r="421" spans="1:15" x14ac:dyDescent="0.35">
      <c r="A421" t="s">
        <v>434</v>
      </c>
      <c r="B421" t="s">
        <v>1319</v>
      </c>
      <c r="C421" t="s">
        <v>2074</v>
      </c>
      <c r="D421" t="s">
        <v>2901</v>
      </c>
      <c r="E421" t="s">
        <v>3672</v>
      </c>
      <c r="F421">
        <v>27</v>
      </c>
      <c r="G421" t="s">
        <v>3678</v>
      </c>
      <c r="H421" t="s">
        <v>3683</v>
      </c>
      <c r="I421" t="s">
        <v>3690</v>
      </c>
      <c r="J421" t="s">
        <v>3693</v>
      </c>
      <c r="K421" t="s">
        <v>3700</v>
      </c>
      <c r="L421">
        <v>3</v>
      </c>
      <c r="M421">
        <v>72000</v>
      </c>
      <c r="N421" t="s">
        <v>3704</v>
      </c>
      <c r="O421" t="s">
        <v>3705</v>
      </c>
    </row>
    <row r="422" spans="1:15" x14ac:dyDescent="0.35">
      <c r="A422" t="s">
        <v>435</v>
      </c>
      <c r="B422" t="s">
        <v>1528</v>
      </c>
      <c r="C422" t="s">
        <v>2055</v>
      </c>
      <c r="D422" t="s">
        <v>2902</v>
      </c>
      <c r="E422" t="s">
        <v>3671</v>
      </c>
      <c r="F422">
        <v>51</v>
      </c>
      <c r="G422" t="s">
        <v>3676</v>
      </c>
      <c r="H422" t="s">
        <v>3682</v>
      </c>
      <c r="I422" t="s">
        <v>3691</v>
      </c>
      <c r="J422" t="s">
        <v>3693</v>
      </c>
      <c r="K422" t="s">
        <v>3696</v>
      </c>
      <c r="L422">
        <v>4</v>
      </c>
      <c r="M422">
        <v>58000</v>
      </c>
      <c r="N422" t="s">
        <v>3703</v>
      </c>
      <c r="O422" t="s">
        <v>3706</v>
      </c>
    </row>
    <row r="423" spans="1:15" x14ac:dyDescent="0.35">
      <c r="A423" t="s">
        <v>436</v>
      </c>
      <c r="B423" t="s">
        <v>1388</v>
      </c>
      <c r="C423" t="s">
        <v>2040</v>
      </c>
      <c r="D423" t="s">
        <v>2903</v>
      </c>
      <c r="E423" t="s">
        <v>3672</v>
      </c>
      <c r="F423">
        <v>54</v>
      </c>
      <c r="G423" t="s">
        <v>3674</v>
      </c>
      <c r="H423" t="s">
        <v>3680</v>
      </c>
      <c r="I423" t="s">
        <v>3686</v>
      </c>
      <c r="J423" t="s">
        <v>3693</v>
      </c>
      <c r="K423" t="s">
        <v>3696</v>
      </c>
      <c r="L423">
        <v>1</v>
      </c>
      <c r="M423">
        <v>65000</v>
      </c>
      <c r="N423" t="s">
        <v>3701</v>
      </c>
      <c r="O423" t="s">
        <v>3706</v>
      </c>
    </row>
    <row r="424" spans="1:15" x14ac:dyDescent="0.35">
      <c r="A424" t="s">
        <v>437</v>
      </c>
      <c r="B424" t="s">
        <v>1486</v>
      </c>
      <c r="C424" t="s">
        <v>1894</v>
      </c>
      <c r="D424" t="s">
        <v>2904</v>
      </c>
      <c r="E424" t="s">
        <v>3672</v>
      </c>
      <c r="F424">
        <v>53</v>
      </c>
      <c r="G424" t="s">
        <v>3677</v>
      </c>
      <c r="H424" t="s">
        <v>3680</v>
      </c>
      <c r="I424" t="s">
        <v>3691</v>
      </c>
      <c r="J424" t="s">
        <v>3693</v>
      </c>
      <c r="K424" t="s">
        <v>3696</v>
      </c>
      <c r="L424">
        <v>5</v>
      </c>
      <c r="M424">
        <v>58000</v>
      </c>
      <c r="N424" t="s">
        <v>3704</v>
      </c>
      <c r="O424" t="s">
        <v>3705</v>
      </c>
    </row>
    <row r="425" spans="1:15" x14ac:dyDescent="0.35">
      <c r="A425" t="s">
        <v>438</v>
      </c>
      <c r="B425" t="s">
        <v>1529</v>
      </c>
      <c r="C425" t="s">
        <v>2125</v>
      </c>
      <c r="D425" t="s">
        <v>2905</v>
      </c>
      <c r="E425" t="s">
        <v>3671</v>
      </c>
      <c r="F425">
        <v>52</v>
      </c>
      <c r="G425" t="s">
        <v>3675</v>
      </c>
      <c r="H425" t="s">
        <v>3681</v>
      </c>
      <c r="I425" t="s">
        <v>3687</v>
      </c>
      <c r="J425" t="s">
        <v>3693</v>
      </c>
      <c r="K425" t="s">
        <v>3697</v>
      </c>
      <c r="L425">
        <v>2</v>
      </c>
      <c r="M425">
        <v>5000</v>
      </c>
      <c r="N425" t="s">
        <v>3703</v>
      </c>
      <c r="O425" t="s">
        <v>3707</v>
      </c>
    </row>
    <row r="426" spans="1:15" x14ac:dyDescent="0.35">
      <c r="A426" t="s">
        <v>439</v>
      </c>
      <c r="B426" t="s">
        <v>1530</v>
      </c>
      <c r="C426" t="s">
        <v>2126</v>
      </c>
      <c r="D426" t="s">
        <v>2906</v>
      </c>
      <c r="E426" t="s">
        <v>3671</v>
      </c>
      <c r="F426">
        <v>56</v>
      </c>
      <c r="G426" t="s">
        <v>3678</v>
      </c>
      <c r="H426" t="s">
        <v>3683</v>
      </c>
      <c r="I426" t="s">
        <v>3686</v>
      </c>
      <c r="J426" t="s">
        <v>3693</v>
      </c>
      <c r="K426" t="s">
        <v>3696</v>
      </c>
      <c r="L426">
        <v>3</v>
      </c>
      <c r="M426">
        <v>65000</v>
      </c>
      <c r="N426" t="s">
        <v>3704</v>
      </c>
      <c r="O426" t="s">
        <v>3707</v>
      </c>
    </row>
    <row r="427" spans="1:15" x14ac:dyDescent="0.35">
      <c r="A427" t="s">
        <v>440</v>
      </c>
      <c r="B427" t="s">
        <v>1426</v>
      </c>
      <c r="C427" t="s">
        <v>1812</v>
      </c>
      <c r="D427" t="s">
        <v>2907</v>
      </c>
      <c r="E427" t="s">
        <v>3672</v>
      </c>
      <c r="F427">
        <v>34</v>
      </c>
      <c r="G427" t="s">
        <v>3674</v>
      </c>
      <c r="H427" t="s">
        <v>3680</v>
      </c>
      <c r="I427" t="s">
        <v>3690</v>
      </c>
      <c r="J427" t="s">
        <v>3693</v>
      </c>
      <c r="K427" t="s">
        <v>3700</v>
      </c>
      <c r="L427">
        <v>1</v>
      </c>
      <c r="M427">
        <v>72000</v>
      </c>
      <c r="N427" t="s">
        <v>3701</v>
      </c>
      <c r="O427" t="s">
        <v>3705</v>
      </c>
    </row>
    <row r="428" spans="1:15" x14ac:dyDescent="0.35">
      <c r="A428" t="s">
        <v>441</v>
      </c>
      <c r="B428" t="s">
        <v>1299</v>
      </c>
      <c r="C428" t="s">
        <v>2127</v>
      </c>
      <c r="D428" t="s">
        <v>2908</v>
      </c>
      <c r="E428" t="s">
        <v>3671</v>
      </c>
      <c r="F428">
        <v>56</v>
      </c>
      <c r="G428" t="s">
        <v>3673</v>
      </c>
      <c r="H428" t="s">
        <v>3673</v>
      </c>
      <c r="I428" t="s">
        <v>3689</v>
      </c>
      <c r="J428" t="s">
        <v>3694</v>
      </c>
      <c r="K428" t="s">
        <v>3699</v>
      </c>
      <c r="L428">
        <v>1</v>
      </c>
      <c r="M428">
        <v>1800</v>
      </c>
      <c r="N428" t="s">
        <v>3702</v>
      </c>
      <c r="O428" t="s">
        <v>3706</v>
      </c>
    </row>
    <row r="429" spans="1:15" x14ac:dyDescent="0.35">
      <c r="A429" t="s">
        <v>442</v>
      </c>
      <c r="B429" t="s">
        <v>1531</v>
      </c>
      <c r="C429" t="s">
        <v>2073</v>
      </c>
      <c r="D429" t="s">
        <v>2909</v>
      </c>
      <c r="E429" t="s">
        <v>3671</v>
      </c>
      <c r="F429">
        <v>55</v>
      </c>
      <c r="G429" t="s">
        <v>3674</v>
      </c>
      <c r="H429" t="s">
        <v>3680</v>
      </c>
      <c r="I429" t="s">
        <v>3686</v>
      </c>
      <c r="J429" t="s">
        <v>3693</v>
      </c>
      <c r="K429" t="s">
        <v>3696</v>
      </c>
      <c r="L429">
        <v>1</v>
      </c>
      <c r="M429">
        <v>65000</v>
      </c>
      <c r="N429" t="s">
        <v>3701</v>
      </c>
      <c r="O429" t="s">
        <v>3705</v>
      </c>
    </row>
    <row r="430" spans="1:15" x14ac:dyDescent="0.35">
      <c r="A430" t="s">
        <v>443</v>
      </c>
      <c r="B430" t="s">
        <v>1359</v>
      </c>
      <c r="C430" t="s">
        <v>1810</v>
      </c>
      <c r="D430" t="s">
        <v>2910</v>
      </c>
      <c r="E430" t="s">
        <v>3671</v>
      </c>
      <c r="F430">
        <v>41</v>
      </c>
      <c r="G430" t="s">
        <v>3678</v>
      </c>
      <c r="H430" t="s">
        <v>3683</v>
      </c>
      <c r="I430" t="s">
        <v>3688</v>
      </c>
      <c r="J430" t="s">
        <v>3694</v>
      </c>
      <c r="K430" t="s">
        <v>3698</v>
      </c>
      <c r="L430">
        <v>3</v>
      </c>
      <c r="M430">
        <v>4500</v>
      </c>
      <c r="N430" t="s">
        <v>3704</v>
      </c>
      <c r="O430" t="s">
        <v>3705</v>
      </c>
    </row>
    <row r="431" spans="1:15" x14ac:dyDescent="0.35">
      <c r="A431" t="s">
        <v>444</v>
      </c>
      <c r="B431" t="s">
        <v>1396</v>
      </c>
      <c r="C431" t="s">
        <v>2035</v>
      </c>
      <c r="D431" t="s">
        <v>2911</v>
      </c>
      <c r="E431" t="s">
        <v>3671</v>
      </c>
      <c r="F431">
        <v>40</v>
      </c>
      <c r="G431" t="s">
        <v>3673</v>
      </c>
      <c r="H431" t="s">
        <v>3673</v>
      </c>
      <c r="I431" t="s">
        <v>3687</v>
      </c>
      <c r="J431" t="s">
        <v>3693</v>
      </c>
      <c r="K431" t="s">
        <v>3697</v>
      </c>
      <c r="L431">
        <v>2</v>
      </c>
      <c r="M431">
        <v>5000</v>
      </c>
      <c r="N431" t="s">
        <v>3703</v>
      </c>
      <c r="O431" t="s">
        <v>3705</v>
      </c>
    </row>
    <row r="432" spans="1:15" x14ac:dyDescent="0.35">
      <c r="A432" t="s">
        <v>445</v>
      </c>
      <c r="B432" t="s">
        <v>1532</v>
      </c>
      <c r="C432" t="s">
        <v>2128</v>
      </c>
      <c r="D432" t="s">
        <v>2912</v>
      </c>
      <c r="E432" t="s">
        <v>3671</v>
      </c>
      <c r="F432">
        <v>59</v>
      </c>
      <c r="G432" t="s">
        <v>3677</v>
      </c>
      <c r="H432" t="s">
        <v>3680</v>
      </c>
      <c r="I432" t="s">
        <v>3685</v>
      </c>
      <c r="J432" t="s">
        <v>3692</v>
      </c>
      <c r="K432" t="s">
        <v>3695</v>
      </c>
      <c r="L432">
        <v>2</v>
      </c>
      <c r="M432">
        <v>12000</v>
      </c>
      <c r="N432" t="s">
        <v>3703</v>
      </c>
      <c r="O432" t="s">
        <v>3706</v>
      </c>
    </row>
    <row r="433" spans="1:15" x14ac:dyDescent="0.35">
      <c r="A433" t="s">
        <v>446</v>
      </c>
      <c r="B433" t="s">
        <v>1533</v>
      </c>
      <c r="C433" t="s">
        <v>2129</v>
      </c>
      <c r="D433" t="s">
        <v>2913</v>
      </c>
      <c r="E433" t="s">
        <v>3671</v>
      </c>
      <c r="F433">
        <v>49</v>
      </c>
      <c r="G433" t="s">
        <v>3674</v>
      </c>
      <c r="H433" t="s">
        <v>3680</v>
      </c>
      <c r="I433" t="s">
        <v>3689</v>
      </c>
      <c r="J433" t="s">
        <v>3694</v>
      </c>
      <c r="K433" t="s">
        <v>3699</v>
      </c>
      <c r="L433">
        <v>4</v>
      </c>
      <c r="M433">
        <v>1800</v>
      </c>
      <c r="N433" t="s">
        <v>3704</v>
      </c>
      <c r="O433" t="s">
        <v>3707</v>
      </c>
    </row>
    <row r="434" spans="1:15" x14ac:dyDescent="0.35">
      <c r="A434" t="s">
        <v>447</v>
      </c>
      <c r="B434" t="s">
        <v>1534</v>
      </c>
      <c r="C434" t="s">
        <v>2130</v>
      </c>
      <c r="D434" t="s">
        <v>2914</v>
      </c>
      <c r="E434" t="s">
        <v>3671</v>
      </c>
      <c r="F434">
        <v>49</v>
      </c>
      <c r="G434" t="s">
        <v>3676</v>
      </c>
      <c r="H434" t="s">
        <v>3682</v>
      </c>
      <c r="I434" t="s">
        <v>3690</v>
      </c>
      <c r="J434" t="s">
        <v>3693</v>
      </c>
      <c r="K434" t="s">
        <v>3700</v>
      </c>
      <c r="L434">
        <v>2</v>
      </c>
      <c r="M434">
        <v>72000</v>
      </c>
      <c r="N434" t="s">
        <v>3703</v>
      </c>
      <c r="O434" t="s">
        <v>3705</v>
      </c>
    </row>
    <row r="435" spans="1:15" x14ac:dyDescent="0.35">
      <c r="A435" t="s">
        <v>448</v>
      </c>
      <c r="B435" t="s">
        <v>1535</v>
      </c>
      <c r="C435" t="s">
        <v>2131</v>
      </c>
      <c r="D435" t="s">
        <v>2915</v>
      </c>
      <c r="E435" t="s">
        <v>3672</v>
      </c>
      <c r="F435">
        <v>45</v>
      </c>
      <c r="G435" t="s">
        <v>3677</v>
      </c>
      <c r="H435" t="s">
        <v>3680</v>
      </c>
      <c r="I435" t="s">
        <v>3691</v>
      </c>
      <c r="J435" t="s">
        <v>3693</v>
      </c>
      <c r="K435" t="s">
        <v>3696</v>
      </c>
      <c r="L435">
        <v>3</v>
      </c>
      <c r="M435">
        <v>58000</v>
      </c>
      <c r="N435" t="s">
        <v>3701</v>
      </c>
      <c r="O435" t="s">
        <v>3707</v>
      </c>
    </row>
    <row r="436" spans="1:15" x14ac:dyDescent="0.35">
      <c r="A436" t="s">
        <v>449</v>
      </c>
      <c r="B436" t="s">
        <v>1536</v>
      </c>
      <c r="C436" t="s">
        <v>1857</v>
      </c>
      <c r="D436" t="s">
        <v>2916</v>
      </c>
      <c r="E436" t="s">
        <v>3671</v>
      </c>
      <c r="F436">
        <v>51</v>
      </c>
      <c r="G436" t="s">
        <v>3676</v>
      </c>
      <c r="H436" t="s">
        <v>3682</v>
      </c>
      <c r="I436" t="s">
        <v>3686</v>
      </c>
      <c r="J436" t="s">
        <v>3693</v>
      </c>
      <c r="K436" t="s">
        <v>3696</v>
      </c>
      <c r="L436">
        <v>3</v>
      </c>
      <c r="M436">
        <v>65000</v>
      </c>
      <c r="N436" t="s">
        <v>3703</v>
      </c>
      <c r="O436" t="s">
        <v>3705</v>
      </c>
    </row>
    <row r="437" spans="1:15" x14ac:dyDescent="0.35">
      <c r="A437" t="s">
        <v>450</v>
      </c>
      <c r="B437" t="s">
        <v>1435</v>
      </c>
      <c r="C437" t="s">
        <v>2132</v>
      </c>
      <c r="D437" t="s">
        <v>2917</v>
      </c>
      <c r="E437" t="s">
        <v>3671</v>
      </c>
      <c r="F437">
        <v>31</v>
      </c>
      <c r="G437" t="s">
        <v>3677</v>
      </c>
      <c r="H437" t="s">
        <v>3680</v>
      </c>
      <c r="I437" t="s">
        <v>3690</v>
      </c>
      <c r="J437" t="s">
        <v>3693</v>
      </c>
      <c r="K437" t="s">
        <v>3700</v>
      </c>
      <c r="L437">
        <v>4</v>
      </c>
      <c r="M437">
        <v>72000</v>
      </c>
      <c r="N437" t="s">
        <v>3701</v>
      </c>
      <c r="O437" t="s">
        <v>3706</v>
      </c>
    </row>
    <row r="438" spans="1:15" x14ac:dyDescent="0.35">
      <c r="A438" t="s">
        <v>451</v>
      </c>
      <c r="B438" t="s">
        <v>1223</v>
      </c>
      <c r="C438" t="s">
        <v>2133</v>
      </c>
      <c r="D438" t="s">
        <v>2918</v>
      </c>
      <c r="E438" t="s">
        <v>3672</v>
      </c>
      <c r="F438">
        <v>54</v>
      </c>
      <c r="G438" t="s">
        <v>3679</v>
      </c>
      <c r="H438" t="s">
        <v>3684</v>
      </c>
      <c r="I438" t="s">
        <v>3690</v>
      </c>
      <c r="J438" t="s">
        <v>3693</v>
      </c>
      <c r="K438" t="s">
        <v>3700</v>
      </c>
      <c r="L438">
        <v>3</v>
      </c>
      <c r="M438">
        <v>72000</v>
      </c>
      <c r="N438" t="s">
        <v>3701</v>
      </c>
      <c r="O438" t="s">
        <v>3706</v>
      </c>
    </row>
    <row r="439" spans="1:15" x14ac:dyDescent="0.35">
      <c r="A439" t="s">
        <v>452</v>
      </c>
      <c r="B439" t="s">
        <v>1537</v>
      </c>
      <c r="C439" t="s">
        <v>2134</v>
      </c>
      <c r="D439" t="s">
        <v>2919</v>
      </c>
      <c r="E439" t="s">
        <v>3672</v>
      </c>
      <c r="F439">
        <v>22</v>
      </c>
      <c r="G439" t="s">
        <v>3678</v>
      </c>
      <c r="H439" t="s">
        <v>3683</v>
      </c>
      <c r="I439" t="s">
        <v>3685</v>
      </c>
      <c r="J439" t="s">
        <v>3692</v>
      </c>
      <c r="K439" t="s">
        <v>3695</v>
      </c>
      <c r="L439">
        <v>1</v>
      </c>
      <c r="M439">
        <v>12000</v>
      </c>
      <c r="N439" t="s">
        <v>3702</v>
      </c>
      <c r="O439" t="s">
        <v>3706</v>
      </c>
    </row>
    <row r="440" spans="1:15" x14ac:dyDescent="0.35">
      <c r="A440" t="s">
        <v>453</v>
      </c>
      <c r="B440" t="s">
        <v>1372</v>
      </c>
      <c r="C440" t="s">
        <v>2135</v>
      </c>
      <c r="D440" t="s">
        <v>2920</v>
      </c>
      <c r="E440" t="s">
        <v>3672</v>
      </c>
      <c r="F440">
        <v>24</v>
      </c>
      <c r="G440" t="s">
        <v>3675</v>
      </c>
      <c r="H440" t="s">
        <v>3681</v>
      </c>
      <c r="I440" t="s">
        <v>3686</v>
      </c>
      <c r="J440" t="s">
        <v>3693</v>
      </c>
      <c r="K440" t="s">
        <v>3696</v>
      </c>
      <c r="L440">
        <v>5</v>
      </c>
      <c r="M440">
        <v>65000</v>
      </c>
      <c r="N440" t="s">
        <v>3701</v>
      </c>
      <c r="O440" t="s">
        <v>3705</v>
      </c>
    </row>
    <row r="441" spans="1:15" x14ac:dyDescent="0.35">
      <c r="A441" t="s">
        <v>454</v>
      </c>
      <c r="B441" t="s">
        <v>1529</v>
      </c>
      <c r="C441" t="s">
        <v>2136</v>
      </c>
      <c r="D441" t="s">
        <v>2921</v>
      </c>
      <c r="E441" t="s">
        <v>3672</v>
      </c>
      <c r="F441">
        <v>58</v>
      </c>
      <c r="G441" t="s">
        <v>3679</v>
      </c>
      <c r="H441" t="s">
        <v>3684</v>
      </c>
      <c r="I441" t="s">
        <v>3690</v>
      </c>
      <c r="J441" t="s">
        <v>3693</v>
      </c>
      <c r="K441" t="s">
        <v>3700</v>
      </c>
      <c r="L441">
        <v>1</v>
      </c>
      <c r="M441">
        <v>72000</v>
      </c>
      <c r="N441" t="s">
        <v>3703</v>
      </c>
      <c r="O441" t="s">
        <v>3706</v>
      </c>
    </row>
    <row r="442" spans="1:15" x14ac:dyDescent="0.35">
      <c r="A442" t="s">
        <v>455</v>
      </c>
      <c r="B442" t="s">
        <v>1538</v>
      </c>
      <c r="C442" t="s">
        <v>2137</v>
      </c>
      <c r="D442" t="s">
        <v>2922</v>
      </c>
      <c r="E442" t="s">
        <v>3672</v>
      </c>
      <c r="F442">
        <v>42</v>
      </c>
      <c r="G442" t="s">
        <v>3678</v>
      </c>
      <c r="H442" t="s">
        <v>3683</v>
      </c>
      <c r="I442" t="s">
        <v>3687</v>
      </c>
      <c r="J442" t="s">
        <v>3693</v>
      </c>
      <c r="K442" t="s">
        <v>3697</v>
      </c>
      <c r="L442">
        <v>5</v>
      </c>
      <c r="M442">
        <v>5000</v>
      </c>
      <c r="N442" t="s">
        <v>3704</v>
      </c>
      <c r="O442" t="s">
        <v>3706</v>
      </c>
    </row>
    <row r="443" spans="1:15" x14ac:dyDescent="0.35">
      <c r="A443" t="s">
        <v>456</v>
      </c>
      <c r="B443" t="s">
        <v>1360</v>
      </c>
      <c r="C443" t="s">
        <v>2138</v>
      </c>
      <c r="D443" t="s">
        <v>2923</v>
      </c>
      <c r="E443" t="s">
        <v>3672</v>
      </c>
      <c r="F443">
        <v>55</v>
      </c>
      <c r="G443" t="s">
        <v>3673</v>
      </c>
      <c r="H443" t="s">
        <v>3673</v>
      </c>
      <c r="I443" t="s">
        <v>3691</v>
      </c>
      <c r="J443" t="s">
        <v>3693</v>
      </c>
      <c r="K443" t="s">
        <v>3696</v>
      </c>
      <c r="L443">
        <v>5</v>
      </c>
      <c r="M443">
        <v>58000</v>
      </c>
      <c r="N443" t="s">
        <v>3703</v>
      </c>
      <c r="O443" t="s">
        <v>3706</v>
      </c>
    </row>
    <row r="444" spans="1:15" x14ac:dyDescent="0.35">
      <c r="A444" t="s">
        <v>457</v>
      </c>
      <c r="B444" t="s">
        <v>1425</v>
      </c>
      <c r="C444" t="s">
        <v>2139</v>
      </c>
      <c r="D444" t="s">
        <v>2924</v>
      </c>
      <c r="E444" t="s">
        <v>3672</v>
      </c>
      <c r="F444">
        <v>28</v>
      </c>
      <c r="G444" t="s">
        <v>3675</v>
      </c>
      <c r="H444" t="s">
        <v>3681</v>
      </c>
      <c r="I444" t="s">
        <v>3689</v>
      </c>
      <c r="J444" t="s">
        <v>3694</v>
      </c>
      <c r="K444" t="s">
        <v>3699</v>
      </c>
      <c r="L444">
        <v>1</v>
      </c>
      <c r="M444">
        <v>1800</v>
      </c>
      <c r="N444" t="s">
        <v>3704</v>
      </c>
      <c r="O444" t="s">
        <v>3706</v>
      </c>
    </row>
    <row r="445" spans="1:15" x14ac:dyDescent="0.35">
      <c r="A445" t="s">
        <v>458</v>
      </c>
      <c r="B445" t="s">
        <v>1370</v>
      </c>
      <c r="C445" t="s">
        <v>2140</v>
      </c>
      <c r="D445" t="s">
        <v>2925</v>
      </c>
      <c r="E445" t="s">
        <v>3672</v>
      </c>
      <c r="F445">
        <v>38</v>
      </c>
      <c r="G445" t="s">
        <v>3679</v>
      </c>
      <c r="H445" t="s">
        <v>3684</v>
      </c>
      <c r="I445" t="s">
        <v>3691</v>
      </c>
      <c r="J445" t="s">
        <v>3693</v>
      </c>
      <c r="K445" t="s">
        <v>3696</v>
      </c>
      <c r="L445">
        <v>1</v>
      </c>
      <c r="M445">
        <v>58000</v>
      </c>
      <c r="N445" t="s">
        <v>3701</v>
      </c>
      <c r="O445" t="s">
        <v>3707</v>
      </c>
    </row>
    <row r="446" spans="1:15" x14ac:dyDescent="0.35">
      <c r="A446" t="s">
        <v>459</v>
      </c>
      <c r="B446" t="s">
        <v>1539</v>
      </c>
      <c r="C446" t="s">
        <v>2141</v>
      </c>
      <c r="D446" t="s">
        <v>2926</v>
      </c>
      <c r="E446" t="s">
        <v>3672</v>
      </c>
      <c r="F446">
        <v>57</v>
      </c>
      <c r="G446" t="s">
        <v>3675</v>
      </c>
      <c r="H446" t="s">
        <v>3681</v>
      </c>
      <c r="I446" t="s">
        <v>3688</v>
      </c>
      <c r="J446" t="s">
        <v>3694</v>
      </c>
      <c r="K446" t="s">
        <v>3698</v>
      </c>
      <c r="L446">
        <v>1</v>
      </c>
      <c r="M446">
        <v>4500</v>
      </c>
      <c r="N446" t="s">
        <v>3701</v>
      </c>
      <c r="O446" t="s">
        <v>3706</v>
      </c>
    </row>
    <row r="447" spans="1:15" x14ac:dyDescent="0.35">
      <c r="A447" t="s">
        <v>460</v>
      </c>
      <c r="B447" t="s">
        <v>1333</v>
      </c>
      <c r="C447" t="s">
        <v>2142</v>
      </c>
      <c r="D447" t="s">
        <v>2927</v>
      </c>
      <c r="E447" t="s">
        <v>3672</v>
      </c>
      <c r="F447">
        <v>44</v>
      </c>
      <c r="G447" t="s">
        <v>3673</v>
      </c>
      <c r="H447" t="s">
        <v>3673</v>
      </c>
      <c r="I447" t="s">
        <v>3690</v>
      </c>
      <c r="J447" t="s">
        <v>3693</v>
      </c>
      <c r="K447" t="s">
        <v>3700</v>
      </c>
      <c r="L447">
        <v>4</v>
      </c>
      <c r="M447">
        <v>72000</v>
      </c>
      <c r="N447" t="s">
        <v>3702</v>
      </c>
      <c r="O447" t="s">
        <v>3706</v>
      </c>
    </row>
    <row r="448" spans="1:15" x14ac:dyDescent="0.35">
      <c r="A448" t="s">
        <v>461</v>
      </c>
      <c r="B448" t="s">
        <v>1540</v>
      </c>
      <c r="C448" t="s">
        <v>2143</v>
      </c>
      <c r="D448" t="s">
        <v>2928</v>
      </c>
      <c r="E448" t="s">
        <v>3671</v>
      </c>
      <c r="F448">
        <v>50</v>
      </c>
      <c r="G448" t="s">
        <v>3675</v>
      </c>
      <c r="H448" t="s">
        <v>3681</v>
      </c>
      <c r="I448" t="s">
        <v>3689</v>
      </c>
      <c r="J448" t="s">
        <v>3694</v>
      </c>
      <c r="K448" t="s">
        <v>3699</v>
      </c>
      <c r="L448">
        <v>3</v>
      </c>
      <c r="M448">
        <v>1800</v>
      </c>
      <c r="N448" t="s">
        <v>3703</v>
      </c>
      <c r="O448" t="s">
        <v>3706</v>
      </c>
    </row>
    <row r="449" spans="1:15" x14ac:dyDescent="0.35">
      <c r="A449" t="s">
        <v>462</v>
      </c>
      <c r="B449" t="s">
        <v>1541</v>
      </c>
      <c r="C449" t="s">
        <v>2144</v>
      </c>
      <c r="D449" t="s">
        <v>2929</v>
      </c>
      <c r="E449" t="s">
        <v>3672</v>
      </c>
      <c r="F449">
        <v>31</v>
      </c>
      <c r="G449" t="s">
        <v>3678</v>
      </c>
      <c r="H449" t="s">
        <v>3683</v>
      </c>
      <c r="I449" t="s">
        <v>3690</v>
      </c>
      <c r="J449" t="s">
        <v>3693</v>
      </c>
      <c r="K449" t="s">
        <v>3700</v>
      </c>
      <c r="L449">
        <v>3</v>
      </c>
      <c r="M449">
        <v>72000</v>
      </c>
      <c r="N449" t="s">
        <v>3703</v>
      </c>
      <c r="O449" t="s">
        <v>3706</v>
      </c>
    </row>
    <row r="450" spans="1:15" x14ac:dyDescent="0.35">
      <c r="A450" t="s">
        <v>463</v>
      </c>
      <c r="B450" t="s">
        <v>1542</v>
      </c>
      <c r="C450" t="s">
        <v>2145</v>
      </c>
      <c r="D450" t="s">
        <v>2930</v>
      </c>
      <c r="E450" t="s">
        <v>3671</v>
      </c>
      <c r="F450">
        <v>43</v>
      </c>
      <c r="G450" t="s">
        <v>3678</v>
      </c>
      <c r="H450" t="s">
        <v>3683</v>
      </c>
      <c r="I450" t="s">
        <v>3687</v>
      </c>
      <c r="J450" t="s">
        <v>3693</v>
      </c>
      <c r="K450" t="s">
        <v>3697</v>
      </c>
      <c r="L450">
        <v>2</v>
      </c>
      <c r="M450">
        <v>5000</v>
      </c>
      <c r="N450" t="s">
        <v>3703</v>
      </c>
      <c r="O450" t="s">
        <v>3707</v>
      </c>
    </row>
    <row r="451" spans="1:15" x14ac:dyDescent="0.35">
      <c r="A451" t="s">
        <v>464</v>
      </c>
      <c r="B451" t="s">
        <v>1499</v>
      </c>
      <c r="C451" t="s">
        <v>2146</v>
      </c>
      <c r="D451" t="s">
        <v>2931</v>
      </c>
      <c r="E451" t="s">
        <v>3671</v>
      </c>
      <c r="F451">
        <v>43</v>
      </c>
      <c r="G451" t="s">
        <v>3678</v>
      </c>
      <c r="H451" t="s">
        <v>3683</v>
      </c>
      <c r="I451" t="s">
        <v>3690</v>
      </c>
      <c r="J451" t="s">
        <v>3693</v>
      </c>
      <c r="K451" t="s">
        <v>3700</v>
      </c>
      <c r="L451">
        <v>3</v>
      </c>
      <c r="M451">
        <v>72000</v>
      </c>
      <c r="N451" t="s">
        <v>3703</v>
      </c>
      <c r="O451" t="s">
        <v>3706</v>
      </c>
    </row>
    <row r="452" spans="1:15" x14ac:dyDescent="0.35">
      <c r="A452" t="s">
        <v>465</v>
      </c>
      <c r="B452" t="s">
        <v>1323</v>
      </c>
      <c r="C452" t="s">
        <v>2147</v>
      </c>
      <c r="D452" t="s">
        <v>2932</v>
      </c>
      <c r="E452" t="s">
        <v>3671</v>
      </c>
      <c r="F452">
        <v>31</v>
      </c>
      <c r="G452" t="s">
        <v>3675</v>
      </c>
      <c r="H452" t="s">
        <v>3681</v>
      </c>
      <c r="I452" t="s">
        <v>3688</v>
      </c>
      <c r="J452" t="s">
        <v>3694</v>
      </c>
      <c r="K452" t="s">
        <v>3698</v>
      </c>
      <c r="L452">
        <v>1</v>
      </c>
      <c r="M452">
        <v>4500</v>
      </c>
      <c r="N452" t="s">
        <v>3703</v>
      </c>
      <c r="O452" t="s">
        <v>3707</v>
      </c>
    </row>
    <row r="453" spans="1:15" x14ac:dyDescent="0.35">
      <c r="A453" t="s">
        <v>466</v>
      </c>
      <c r="B453" t="s">
        <v>1416</v>
      </c>
      <c r="C453" t="s">
        <v>1788</v>
      </c>
      <c r="D453" t="s">
        <v>2933</v>
      </c>
      <c r="E453" t="s">
        <v>3671</v>
      </c>
      <c r="F453">
        <v>55</v>
      </c>
      <c r="G453" t="s">
        <v>3675</v>
      </c>
      <c r="H453" t="s">
        <v>3681</v>
      </c>
      <c r="I453" t="s">
        <v>3689</v>
      </c>
      <c r="J453" t="s">
        <v>3694</v>
      </c>
      <c r="K453" t="s">
        <v>3699</v>
      </c>
      <c r="L453">
        <v>4</v>
      </c>
      <c r="M453">
        <v>1800</v>
      </c>
      <c r="N453" t="s">
        <v>3701</v>
      </c>
      <c r="O453" t="s">
        <v>3705</v>
      </c>
    </row>
    <row r="454" spans="1:15" x14ac:dyDescent="0.35">
      <c r="A454" t="s">
        <v>467</v>
      </c>
      <c r="B454" t="s">
        <v>1452</v>
      </c>
      <c r="C454" t="s">
        <v>2148</v>
      </c>
      <c r="D454" t="s">
        <v>2934</v>
      </c>
      <c r="E454" t="s">
        <v>3671</v>
      </c>
      <c r="F454">
        <v>38</v>
      </c>
      <c r="G454" t="s">
        <v>3677</v>
      </c>
      <c r="H454" t="s">
        <v>3680</v>
      </c>
      <c r="I454" t="s">
        <v>3690</v>
      </c>
      <c r="J454" t="s">
        <v>3693</v>
      </c>
      <c r="K454" t="s">
        <v>3700</v>
      </c>
      <c r="L454">
        <v>5</v>
      </c>
      <c r="M454">
        <v>72000</v>
      </c>
      <c r="N454" t="s">
        <v>3703</v>
      </c>
      <c r="O454" t="s">
        <v>3707</v>
      </c>
    </row>
    <row r="455" spans="1:15" x14ac:dyDescent="0.35">
      <c r="A455" t="s">
        <v>468</v>
      </c>
      <c r="B455" t="s">
        <v>1543</v>
      </c>
      <c r="C455" t="s">
        <v>2072</v>
      </c>
      <c r="D455" t="s">
        <v>2935</v>
      </c>
      <c r="E455" t="s">
        <v>3672</v>
      </c>
      <c r="F455">
        <v>44</v>
      </c>
      <c r="G455" t="s">
        <v>3679</v>
      </c>
      <c r="H455" t="s">
        <v>3684</v>
      </c>
      <c r="I455" t="s">
        <v>3690</v>
      </c>
      <c r="J455" t="s">
        <v>3693</v>
      </c>
      <c r="K455" t="s">
        <v>3700</v>
      </c>
      <c r="L455">
        <v>4</v>
      </c>
      <c r="M455">
        <v>72000</v>
      </c>
      <c r="N455" t="s">
        <v>3702</v>
      </c>
      <c r="O455" t="s">
        <v>3705</v>
      </c>
    </row>
    <row r="456" spans="1:15" x14ac:dyDescent="0.35">
      <c r="A456" t="s">
        <v>469</v>
      </c>
      <c r="B456" t="s">
        <v>1349</v>
      </c>
      <c r="C456" t="s">
        <v>2149</v>
      </c>
      <c r="D456" t="s">
        <v>2936</v>
      </c>
      <c r="E456" t="s">
        <v>3671</v>
      </c>
      <c r="F456">
        <v>23</v>
      </c>
      <c r="G456" t="s">
        <v>3677</v>
      </c>
      <c r="H456" t="s">
        <v>3680</v>
      </c>
      <c r="I456" t="s">
        <v>3690</v>
      </c>
      <c r="J456" t="s">
        <v>3693</v>
      </c>
      <c r="K456" t="s">
        <v>3700</v>
      </c>
      <c r="L456">
        <v>3</v>
      </c>
      <c r="M456">
        <v>72000</v>
      </c>
      <c r="N456" t="s">
        <v>3702</v>
      </c>
      <c r="O456" t="s">
        <v>3705</v>
      </c>
    </row>
    <row r="457" spans="1:15" x14ac:dyDescent="0.35">
      <c r="A457" t="s">
        <v>470</v>
      </c>
      <c r="B457" t="s">
        <v>1502</v>
      </c>
      <c r="C457" t="s">
        <v>1971</v>
      </c>
      <c r="D457" t="s">
        <v>2937</v>
      </c>
      <c r="E457" t="s">
        <v>3671</v>
      </c>
      <c r="F457">
        <v>49</v>
      </c>
      <c r="G457" t="s">
        <v>3674</v>
      </c>
      <c r="H457" t="s">
        <v>3680</v>
      </c>
      <c r="I457" t="s">
        <v>3689</v>
      </c>
      <c r="J457" t="s">
        <v>3694</v>
      </c>
      <c r="K457" t="s">
        <v>3699</v>
      </c>
      <c r="L457">
        <v>3</v>
      </c>
      <c r="M457">
        <v>1800</v>
      </c>
      <c r="N457" t="s">
        <v>3703</v>
      </c>
      <c r="O457" t="s">
        <v>3706</v>
      </c>
    </row>
    <row r="458" spans="1:15" x14ac:dyDescent="0.35">
      <c r="A458" t="s">
        <v>471</v>
      </c>
      <c r="B458" t="s">
        <v>1376</v>
      </c>
      <c r="C458" t="s">
        <v>2150</v>
      </c>
      <c r="D458" t="s">
        <v>2938</v>
      </c>
      <c r="E458" t="s">
        <v>3671</v>
      </c>
      <c r="F458">
        <v>21</v>
      </c>
      <c r="G458" t="s">
        <v>3677</v>
      </c>
      <c r="H458" t="s">
        <v>3680</v>
      </c>
      <c r="I458" t="s">
        <v>3688</v>
      </c>
      <c r="J458" t="s">
        <v>3694</v>
      </c>
      <c r="K458" t="s">
        <v>3698</v>
      </c>
      <c r="L458">
        <v>2</v>
      </c>
      <c r="M458">
        <v>4500</v>
      </c>
      <c r="N458" t="s">
        <v>3701</v>
      </c>
      <c r="O458" t="s">
        <v>3706</v>
      </c>
    </row>
    <row r="459" spans="1:15" x14ac:dyDescent="0.35">
      <c r="A459" t="s">
        <v>472</v>
      </c>
      <c r="B459" t="s">
        <v>1544</v>
      </c>
      <c r="C459" t="s">
        <v>2083</v>
      </c>
      <c r="D459" t="s">
        <v>2939</v>
      </c>
      <c r="E459" t="s">
        <v>3671</v>
      </c>
      <c r="F459">
        <v>57</v>
      </c>
      <c r="G459" t="s">
        <v>3673</v>
      </c>
      <c r="H459" t="s">
        <v>3673</v>
      </c>
      <c r="I459" t="s">
        <v>3686</v>
      </c>
      <c r="J459" t="s">
        <v>3693</v>
      </c>
      <c r="K459" t="s">
        <v>3696</v>
      </c>
      <c r="L459">
        <v>4</v>
      </c>
      <c r="M459">
        <v>65000</v>
      </c>
      <c r="N459" t="s">
        <v>3701</v>
      </c>
      <c r="O459" t="s">
        <v>3707</v>
      </c>
    </row>
    <row r="460" spans="1:15" x14ac:dyDescent="0.35">
      <c r="A460" t="s">
        <v>473</v>
      </c>
      <c r="B460" t="s">
        <v>1545</v>
      </c>
      <c r="C460" t="s">
        <v>1950</v>
      </c>
      <c r="D460" t="s">
        <v>2940</v>
      </c>
      <c r="E460" t="s">
        <v>3672</v>
      </c>
      <c r="F460">
        <v>50</v>
      </c>
      <c r="G460" t="s">
        <v>3676</v>
      </c>
      <c r="H460" t="s">
        <v>3682</v>
      </c>
      <c r="I460" t="s">
        <v>3690</v>
      </c>
      <c r="J460" t="s">
        <v>3693</v>
      </c>
      <c r="K460" t="s">
        <v>3700</v>
      </c>
      <c r="L460">
        <v>5</v>
      </c>
      <c r="M460">
        <v>72000</v>
      </c>
      <c r="N460" t="s">
        <v>3701</v>
      </c>
      <c r="O460" t="s">
        <v>3705</v>
      </c>
    </row>
    <row r="461" spans="1:15" x14ac:dyDescent="0.35">
      <c r="A461" t="s">
        <v>474</v>
      </c>
      <c r="B461" t="s">
        <v>1546</v>
      </c>
      <c r="C461" t="s">
        <v>2102</v>
      </c>
      <c r="D461" t="s">
        <v>2941</v>
      </c>
      <c r="E461" t="s">
        <v>3671</v>
      </c>
      <c r="F461">
        <v>46</v>
      </c>
      <c r="G461" t="s">
        <v>3674</v>
      </c>
      <c r="H461" t="s">
        <v>3680</v>
      </c>
      <c r="I461" t="s">
        <v>3691</v>
      </c>
      <c r="J461" t="s">
        <v>3693</v>
      </c>
      <c r="K461" t="s">
        <v>3696</v>
      </c>
      <c r="L461">
        <v>1</v>
      </c>
      <c r="M461">
        <v>58000</v>
      </c>
      <c r="N461" t="s">
        <v>3701</v>
      </c>
      <c r="O461" t="s">
        <v>3705</v>
      </c>
    </row>
    <row r="462" spans="1:15" x14ac:dyDescent="0.35">
      <c r="A462" t="s">
        <v>475</v>
      </c>
      <c r="B462" t="s">
        <v>1547</v>
      </c>
      <c r="C462" t="s">
        <v>1974</v>
      </c>
      <c r="D462" t="s">
        <v>2942</v>
      </c>
      <c r="E462" t="s">
        <v>3672</v>
      </c>
      <c r="F462">
        <v>36</v>
      </c>
      <c r="G462" t="s">
        <v>3678</v>
      </c>
      <c r="H462" t="s">
        <v>3683</v>
      </c>
      <c r="I462" t="s">
        <v>3690</v>
      </c>
      <c r="J462" t="s">
        <v>3693</v>
      </c>
      <c r="K462" t="s">
        <v>3700</v>
      </c>
      <c r="L462">
        <v>5</v>
      </c>
      <c r="M462">
        <v>72000</v>
      </c>
      <c r="N462" t="s">
        <v>3704</v>
      </c>
      <c r="O462" t="s">
        <v>3706</v>
      </c>
    </row>
    <row r="463" spans="1:15" x14ac:dyDescent="0.35">
      <c r="A463" t="s">
        <v>476</v>
      </c>
      <c r="B463" t="s">
        <v>1297</v>
      </c>
      <c r="C463" t="s">
        <v>2151</v>
      </c>
      <c r="D463" t="s">
        <v>2943</v>
      </c>
      <c r="E463" t="s">
        <v>3671</v>
      </c>
      <c r="F463">
        <v>46</v>
      </c>
      <c r="G463" t="s">
        <v>3677</v>
      </c>
      <c r="H463" t="s">
        <v>3680</v>
      </c>
      <c r="I463" t="s">
        <v>3687</v>
      </c>
      <c r="J463" t="s">
        <v>3693</v>
      </c>
      <c r="K463" t="s">
        <v>3697</v>
      </c>
      <c r="L463">
        <v>3</v>
      </c>
      <c r="M463">
        <v>5000</v>
      </c>
      <c r="N463" t="s">
        <v>3703</v>
      </c>
      <c r="O463" t="s">
        <v>3705</v>
      </c>
    </row>
    <row r="464" spans="1:15" x14ac:dyDescent="0.35">
      <c r="A464" t="s">
        <v>477</v>
      </c>
      <c r="B464" t="s">
        <v>1273</v>
      </c>
      <c r="C464" t="s">
        <v>2152</v>
      </c>
      <c r="D464" t="s">
        <v>2944</v>
      </c>
      <c r="E464" t="s">
        <v>3672</v>
      </c>
      <c r="F464">
        <v>35</v>
      </c>
      <c r="G464" t="s">
        <v>3679</v>
      </c>
      <c r="H464" t="s">
        <v>3684</v>
      </c>
      <c r="I464" t="s">
        <v>3691</v>
      </c>
      <c r="J464" t="s">
        <v>3693</v>
      </c>
      <c r="K464" t="s">
        <v>3696</v>
      </c>
      <c r="L464">
        <v>1</v>
      </c>
      <c r="M464">
        <v>58000</v>
      </c>
      <c r="N464" t="s">
        <v>3703</v>
      </c>
      <c r="O464" t="s">
        <v>3705</v>
      </c>
    </row>
    <row r="465" spans="1:15" x14ac:dyDescent="0.35">
      <c r="A465" t="s">
        <v>478</v>
      </c>
      <c r="B465" t="s">
        <v>1423</v>
      </c>
      <c r="C465" t="s">
        <v>2153</v>
      </c>
      <c r="D465" t="s">
        <v>2945</v>
      </c>
      <c r="E465" t="s">
        <v>3672</v>
      </c>
      <c r="F465">
        <v>32</v>
      </c>
      <c r="G465" t="s">
        <v>3678</v>
      </c>
      <c r="H465" t="s">
        <v>3683</v>
      </c>
      <c r="I465" t="s">
        <v>3685</v>
      </c>
      <c r="J465" t="s">
        <v>3692</v>
      </c>
      <c r="K465" t="s">
        <v>3695</v>
      </c>
      <c r="L465">
        <v>2</v>
      </c>
      <c r="M465">
        <v>12000</v>
      </c>
      <c r="N465" t="s">
        <v>3704</v>
      </c>
      <c r="O465" t="s">
        <v>3706</v>
      </c>
    </row>
    <row r="466" spans="1:15" x14ac:dyDescent="0.35">
      <c r="A466" t="s">
        <v>479</v>
      </c>
      <c r="B466" t="s">
        <v>1501</v>
      </c>
      <c r="C466" t="s">
        <v>2154</v>
      </c>
      <c r="D466" t="s">
        <v>2946</v>
      </c>
      <c r="E466" t="s">
        <v>3672</v>
      </c>
      <c r="F466">
        <v>50</v>
      </c>
      <c r="G466" t="s">
        <v>3679</v>
      </c>
      <c r="H466" t="s">
        <v>3684</v>
      </c>
      <c r="I466" t="s">
        <v>3689</v>
      </c>
      <c r="J466" t="s">
        <v>3694</v>
      </c>
      <c r="K466" t="s">
        <v>3699</v>
      </c>
      <c r="L466">
        <v>3</v>
      </c>
      <c r="M466">
        <v>1800</v>
      </c>
      <c r="N466" t="s">
        <v>3703</v>
      </c>
      <c r="O466" t="s">
        <v>3706</v>
      </c>
    </row>
    <row r="467" spans="1:15" x14ac:dyDescent="0.35">
      <c r="A467" t="s">
        <v>480</v>
      </c>
      <c r="B467" t="s">
        <v>1548</v>
      </c>
      <c r="C467" t="s">
        <v>2155</v>
      </c>
      <c r="D467" t="s">
        <v>2947</v>
      </c>
      <c r="E467" t="s">
        <v>3671</v>
      </c>
      <c r="F467">
        <v>39</v>
      </c>
      <c r="G467" t="s">
        <v>3673</v>
      </c>
      <c r="H467" t="s">
        <v>3673</v>
      </c>
      <c r="I467" t="s">
        <v>3691</v>
      </c>
      <c r="J467" t="s">
        <v>3693</v>
      </c>
      <c r="K467" t="s">
        <v>3696</v>
      </c>
      <c r="L467">
        <v>5</v>
      </c>
      <c r="M467">
        <v>58000</v>
      </c>
      <c r="N467" t="s">
        <v>3704</v>
      </c>
      <c r="O467" t="s">
        <v>3707</v>
      </c>
    </row>
    <row r="468" spans="1:15" x14ac:dyDescent="0.35">
      <c r="A468" t="s">
        <v>481</v>
      </c>
      <c r="B468" t="s">
        <v>1307</v>
      </c>
      <c r="C468" t="s">
        <v>2156</v>
      </c>
      <c r="D468" t="s">
        <v>2948</v>
      </c>
      <c r="E468" t="s">
        <v>3671</v>
      </c>
      <c r="F468">
        <v>34</v>
      </c>
      <c r="G468" t="s">
        <v>3675</v>
      </c>
      <c r="H468" t="s">
        <v>3681</v>
      </c>
      <c r="I468" t="s">
        <v>3691</v>
      </c>
      <c r="J468" t="s">
        <v>3693</v>
      </c>
      <c r="K468" t="s">
        <v>3696</v>
      </c>
      <c r="L468">
        <v>5</v>
      </c>
      <c r="M468">
        <v>58000</v>
      </c>
      <c r="N468" t="s">
        <v>3703</v>
      </c>
      <c r="O468" t="s">
        <v>3707</v>
      </c>
    </row>
    <row r="469" spans="1:15" x14ac:dyDescent="0.35">
      <c r="A469" t="s">
        <v>482</v>
      </c>
      <c r="B469" t="s">
        <v>1549</v>
      </c>
      <c r="C469" t="s">
        <v>2157</v>
      </c>
      <c r="D469" t="s">
        <v>2949</v>
      </c>
      <c r="E469" t="s">
        <v>3671</v>
      </c>
      <c r="F469">
        <v>52</v>
      </c>
      <c r="G469" t="s">
        <v>3679</v>
      </c>
      <c r="H469" t="s">
        <v>3684</v>
      </c>
      <c r="I469" t="s">
        <v>3687</v>
      </c>
      <c r="J469" t="s">
        <v>3693</v>
      </c>
      <c r="K469" t="s">
        <v>3697</v>
      </c>
      <c r="L469">
        <v>3</v>
      </c>
      <c r="M469">
        <v>5000</v>
      </c>
      <c r="N469" t="s">
        <v>3703</v>
      </c>
      <c r="O469" t="s">
        <v>3706</v>
      </c>
    </row>
    <row r="470" spans="1:15" x14ac:dyDescent="0.35">
      <c r="A470" t="s">
        <v>483</v>
      </c>
      <c r="B470" t="s">
        <v>1550</v>
      </c>
      <c r="C470" t="s">
        <v>2146</v>
      </c>
      <c r="D470" t="s">
        <v>2950</v>
      </c>
      <c r="E470" t="s">
        <v>3671</v>
      </c>
      <c r="F470">
        <v>18</v>
      </c>
      <c r="G470" t="s">
        <v>3675</v>
      </c>
      <c r="H470" t="s">
        <v>3681</v>
      </c>
      <c r="I470" t="s">
        <v>3687</v>
      </c>
      <c r="J470" t="s">
        <v>3693</v>
      </c>
      <c r="K470" t="s">
        <v>3697</v>
      </c>
      <c r="L470">
        <v>4</v>
      </c>
      <c r="M470">
        <v>5000</v>
      </c>
      <c r="N470" t="s">
        <v>3704</v>
      </c>
      <c r="O470" t="s">
        <v>3706</v>
      </c>
    </row>
    <row r="471" spans="1:15" x14ac:dyDescent="0.35">
      <c r="A471" t="s">
        <v>484</v>
      </c>
      <c r="B471" t="s">
        <v>1551</v>
      </c>
      <c r="C471" t="s">
        <v>2074</v>
      </c>
      <c r="D471" t="s">
        <v>2951</v>
      </c>
      <c r="E471" t="s">
        <v>3672</v>
      </c>
      <c r="F471">
        <v>59</v>
      </c>
      <c r="G471" t="s">
        <v>3679</v>
      </c>
      <c r="H471" t="s">
        <v>3684</v>
      </c>
      <c r="I471" t="s">
        <v>3691</v>
      </c>
      <c r="J471" t="s">
        <v>3693</v>
      </c>
      <c r="K471" t="s">
        <v>3696</v>
      </c>
      <c r="L471">
        <v>3</v>
      </c>
      <c r="M471">
        <v>58000</v>
      </c>
      <c r="N471" t="s">
        <v>3701</v>
      </c>
      <c r="O471" t="s">
        <v>3707</v>
      </c>
    </row>
    <row r="472" spans="1:15" x14ac:dyDescent="0.35">
      <c r="A472" t="s">
        <v>485</v>
      </c>
      <c r="B472" t="s">
        <v>1297</v>
      </c>
      <c r="C472" t="s">
        <v>2158</v>
      </c>
      <c r="D472" t="s">
        <v>2952</v>
      </c>
      <c r="E472" t="s">
        <v>3671</v>
      </c>
      <c r="F472">
        <v>30</v>
      </c>
      <c r="G472" t="s">
        <v>3675</v>
      </c>
      <c r="H472" t="s">
        <v>3681</v>
      </c>
      <c r="I472" t="s">
        <v>3688</v>
      </c>
      <c r="J472" t="s">
        <v>3694</v>
      </c>
      <c r="K472" t="s">
        <v>3698</v>
      </c>
      <c r="L472">
        <v>5</v>
      </c>
      <c r="M472">
        <v>4500</v>
      </c>
      <c r="N472" t="s">
        <v>3701</v>
      </c>
      <c r="O472" t="s">
        <v>3707</v>
      </c>
    </row>
    <row r="473" spans="1:15" x14ac:dyDescent="0.35">
      <c r="A473" t="s">
        <v>486</v>
      </c>
      <c r="B473" t="s">
        <v>1422</v>
      </c>
      <c r="C473" t="s">
        <v>2159</v>
      </c>
      <c r="D473" t="s">
        <v>2953</v>
      </c>
      <c r="E473" t="s">
        <v>3672</v>
      </c>
      <c r="F473">
        <v>53</v>
      </c>
      <c r="G473" t="s">
        <v>3679</v>
      </c>
      <c r="H473" t="s">
        <v>3684</v>
      </c>
      <c r="I473" t="s">
        <v>3690</v>
      </c>
      <c r="J473" t="s">
        <v>3693</v>
      </c>
      <c r="K473" t="s">
        <v>3700</v>
      </c>
      <c r="L473">
        <v>1</v>
      </c>
      <c r="M473">
        <v>72000</v>
      </c>
      <c r="N473" t="s">
        <v>3702</v>
      </c>
      <c r="O473" t="s">
        <v>3706</v>
      </c>
    </row>
    <row r="474" spans="1:15" x14ac:dyDescent="0.35">
      <c r="A474" t="s">
        <v>487</v>
      </c>
      <c r="B474" t="s">
        <v>1552</v>
      </c>
      <c r="C474" t="s">
        <v>2125</v>
      </c>
      <c r="D474" t="s">
        <v>2954</v>
      </c>
      <c r="E474" t="s">
        <v>3672</v>
      </c>
      <c r="F474">
        <v>28</v>
      </c>
      <c r="G474" t="s">
        <v>3678</v>
      </c>
      <c r="H474" t="s">
        <v>3683</v>
      </c>
      <c r="I474" t="s">
        <v>3686</v>
      </c>
      <c r="J474" t="s">
        <v>3693</v>
      </c>
      <c r="K474" t="s">
        <v>3696</v>
      </c>
      <c r="L474">
        <v>3</v>
      </c>
      <c r="M474">
        <v>65000</v>
      </c>
      <c r="N474" t="s">
        <v>3702</v>
      </c>
      <c r="O474" t="s">
        <v>3705</v>
      </c>
    </row>
    <row r="475" spans="1:15" x14ac:dyDescent="0.35">
      <c r="A475" t="s">
        <v>488</v>
      </c>
      <c r="B475" t="s">
        <v>1499</v>
      </c>
      <c r="C475" t="s">
        <v>2160</v>
      </c>
      <c r="D475" t="s">
        <v>2955</v>
      </c>
      <c r="E475" t="s">
        <v>3671</v>
      </c>
      <c r="F475">
        <v>43</v>
      </c>
      <c r="G475" t="s">
        <v>3678</v>
      </c>
      <c r="H475" t="s">
        <v>3683</v>
      </c>
      <c r="I475" t="s">
        <v>3690</v>
      </c>
      <c r="J475" t="s">
        <v>3693</v>
      </c>
      <c r="K475" t="s">
        <v>3700</v>
      </c>
      <c r="L475">
        <v>3</v>
      </c>
      <c r="M475">
        <v>72000</v>
      </c>
      <c r="N475" t="s">
        <v>3703</v>
      </c>
      <c r="O475" t="s">
        <v>3705</v>
      </c>
    </row>
    <row r="476" spans="1:15" x14ac:dyDescent="0.35">
      <c r="A476" t="s">
        <v>489</v>
      </c>
      <c r="B476" t="s">
        <v>1534</v>
      </c>
      <c r="C476" t="s">
        <v>2161</v>
      </c>
      <c r="D476" t="s">
        <v>2956</v>
      </c>
      <c r="E476" t="s">
        <v>3671</v>
      </c>
      <c r="F476">
        <v>19</v>
      </c>
      <c r="G476" t="s">
        <v>3675</v>
      </c>
      <c r="H476" t="s">
        <v>3681</v>
      </c>
      <c r="I476" t="s">
        <v>3691</v>
      </c>
      <c r="J476" t="s">
        <v>3693</v>
      </c>
      <c r="K476" t="s">
        <v>3696</v>
      </c>
      <c r="L476">
        <v>5</v>
      </c>
      <c r="M476">
        <v>58000</v>
      </c>
      <c r="N476" t="s">
        <v>3703</v>
      </c>
      <c r="O476" t="s">
        <v>3707</v>
      </c>
    </row>
    <row r="477" spans="1:15" x14ac:dyDescent="0.35">
      <c r="A477" t="s">
        <v>490</v>
      </c>
      <c r="B477" t="s">
        <v>1283</v>
      </c>
      <c r="C477" t="s">
        <v>2162</v>
      </c>
      <c r="D477" t="s">
        <v>2957</v>
      </c>
      <c r="E477" t="s">
        <v>3671</v>
      </c>
      <c r="F477">
        <v>26</v>
      </c>
      <c r="G477" t="s">
        <v>3676</v>
      </c>
      <c r="H477" t="s">
        <v>3682</v>
      </c>
      <c r="I477" t="s">
        <v>3691</v>
      </c>
      <c r="J477" t="s">
        <v>3693</v>
      </c>
      <c r="K477" t="s">
        <v>3696</v>
      </c>
      <c r="L477">
        <v>1</v>
      </c>
      <c r="M477">
        <v>58000</v>
      </c>
      <c r="N477" t="s">
        <v>3701</v>
      </c>
      <c r="O477" t="s">
        <v>3706</v>
      </c>
    </row>
    <row r="478" spans="1:15" x14ac:dyDescent="0.35">
      <c r="A478" t="s">
        <v>491</v>
      </c>
      <c r="B478" t="s">
        <v>1553</v>
      </c>
      <c r="C478" t="s">
        <v>1948</v>
      </c>
      <c r="D478" t="s">
        <v>2958</v>
      </c>
      <c r="E478" t="s">
        <v>3671</v>
      </c>
      <c r="F478">
        <v>47</v>
      </c>
      <c r="G478" t="s">
        <v>3673</v>
      </c>
      <c r="H478" t="s">
        <v>3673</v>
      </c>
      <c r="I478" t="s">
        <v>3688</v>
      </c>
      <c r="J478" t="s">
        <v>3694</v>
      </c>
      <c r="K478" t="s">
        <v>3698</v>
      </c>
      <c r="L478">
        <v>5</v>
      </c>
      <c r="M478">
        <v>4500</v>
      </c>
      <c r="N478" t="s">
        <v>3701</v>
      </c>
      <c r="O478" t="s">
        <v>3707</v>
      </c>
    </row>
    <row r="479" spans="1:15" x14ac:dyDescent="0.35">
      <c r="A479" t="s">
        <v>492</v>
      </c>
      <c r="B479" t="s">
        <v>1554</v>
      </c>
      <c r="C479" t="s">
        <v>1952</v>
      </c>
      <c r="D479" t="s">
        <v>2959</v>
      </c>
      <c r="E479" t="s">
        <v>3672</v>
      </c>
      <c r="F479">
        <v>39</v>
      </c>
      <c r="G479" t="s">
        <v>3674</v>
      </c>
      <c r="H479" t="s">
        <v>3680</v>
      </c>
      <c r="I479" t="s">
        <v>3690</v>
      </c>
      <c r="J479" t="s">
        <v>3693</v>
      </c>
      <c r="K479" t="s">
        <v>3700</v>
      </c>
      <c r="L479">
        <v>2</v>
      </c>
      <c r="M479">
        <v>72000</v>
      </c>
      <c r="N479" t="s">
        <v>3704</v>
      </c>
      <c r="O479" t="s">
        <v>3705</v>
      </c>
    </row>
    <row r="480" spans="1:15" x14ac:dyDescent="0.35">
      <c r="A480" t="s">
        <v>493</v>
      </c>
      <c r="B480" t="s">
        <v>1530</v>
      </c>
      <c r="C480" t="s">
        <v>2152</v>
      </c>
      <c r="D480" t="s">
        <v>2960</v>
      </c>
      <c r="E480" t="s">
        <v>3671</v>
      </c>
      <c r="F480">
        <v>59</v>
      </c>
      <c r="G480" t="s">
        <v>3679</v>
      </c>
      <c r="H480" t="s">
        <v>3684</v>
      </c>
      <c r="I480" t="s">
        <v>3691</v>
      </c>
      <c r="J480" t="s">
        <v>3693</v>
      </c>
      <c r="K480" t="s">
        <v>3696</v>
      </c>
      <c r="L480">
        <v>3</v>
      </c>
      <c r="M480">
        <v>58000</v>
      </c>
      <c r="N480" t="s">
        <v>3701</v>
      </c>
      <c r="O480" t="s">
        <v>3706</v>
      </c>
    </row>
    <row r="481" spans="1:15" x14ac:dyDescent="0.35">
      <c r="A481" t="s">
        <v>494</v>
      </c>
      <c r="B481" t="s">
        <v>1300</v>
      </c>
      <c r="C481" t="s">
        <v>2077</v>
      </c>
      <c r="D481" t="s">
        <v>2961</v>
      </c>
      <c r="E481" t="s">
        <v>3671</v>
      </c>
      <c r="F481">
        <v>56</v>
      </c>
      <c r="G481" t="s">
        <v>3675</v>
      </c>
      <c r="H481" t="s">
        <v>3681</v>
      </c>
      <c r="I481" t="s">
        <v>3688</v>
      </c>
      <c r="J481" t="s">
        <v>3694</v>
      </c>
      <c r="K481" t="s">
        <v>3698</v>
      </c>
      <c r="L481">
        <v>1</v>
      </c>
      <c r="M481">
        <v>4500</v>
      </c>
      <c r="N481" t="s">
        <v>3702</v>
      </c>
      <c r="O481" t="s">
        <v>3705</v>
      </c>
    </row>
    <row r="482" spans="1:15" x14ac:dyDescent="0.35">
      <c r="A482" t="s">
        <v>495</v>
      </c>
      <c r="B482" t="s">
        <v>1555</v>
      </c>
      <c r="C482" t="s">
        <v>1881</v>
      </c>
      <c r="D482" t="s">
        <v>2962</v>
      </c>
      <c r="E482" t="s">
        <v>3672</v>
      </c>
      <c r="F482">
        <v>53</v>
      </c>
      <c r="G482" t="s">
        <v>3676</v>
      </c>
      <c r="H482" t="s">
        <v>3682</v>
      </c>
      <c r="I482" t="s">
        <v>3691</v>
      </c>
      <c r="J482" t="s">
        <v>3693</v>
      </c>
      <c r="K482" t="s">
        <v>3696</v>
      </c>
      <c r="L482">
        <v>5</v>
      </c>
      <c r="M482">
        <v>58000</v>
      </c>
      <c r="N482" t="s">
        <v>3701</v>
      </c>
      <c r="O482" t="s">
        <v>3706</v>
      </c>
    </row>
    <row r="483" spans="1:15" x14ac:dyDescent="0.35">
      <c r="A483" t="s">
        <v>496</v>
      </c>
      <c r="B483" t="s">
        <v>1556</v>
      </c>
      <c r="C483" t="s">
        <v>2163</v>
      </c>
      <c r="D483" t="s">
        <v>2963</v>
      </c>
      <c r="E483" t="s">
        <v>3671</v>
      </c>
      <c r="F483">
        <v>45</v>
      </c>
      <c r="G483" t="s">
        <v>3677</v>
      </c>
      <c r="H483" t="s">
        <v>3680</v>
      </c>
      <c r="I483" t="s">
        <v>3689</v>
      </c>
      <c r="J483" t="s">
        <v>3694</v>
      </c>
      <c r="K483" t="s">
        <v>3699</v>
      </c>
      <c r="L483">
        <v>1</v>
      </c>
      <c r="M483">
        <v>1800</v>
      </c>
      <c r="N483" t="s">
        <v>3704</v>
      </c>
      <c r="O483" t="s">
        <v>3705</v>
      </c>
    </row>
    <row r="484" spans="1:15" x14ac:dyDescent="0.35">
      <c r="A484" t="s">
        <v>497</v>
      </c>
      <c r="B484" t="s">
        <v>1557</v>
      </c>
      <c r="C484" t="s">
        <v>1793</v>
      </c>
      <c r="D484" t="s">
        <v>2964</v>
      </c>
      <c r="E484" t="s">
        <v>3672</v>
      </c>
      <c r="F484">
        <v>52</v>
      </c>
      <c r="G484" t="s">
        <v>3675</v>
      </c>
      <c r="H484" t="s">
        <v>3681</v>
      </c>
      <c r="I484" t="s">
        <v>3685</v>
      </c>
      <c r="J484" t="s">
        <v>3692</v>
      </c>
      <c r="K484" t="s">
        <v>3695</v>
      </c>
      <c r="L484">
        <v>1</v>
      </c>
      <c r="M484">
        <v>12000</v>
      </c>
      <c r="N484" t="s">
        <v>3701</v>
      </c>
      <c r="O484" t="s">
        <v>3707</v>
      </c>
    </row>
    <row r="485" spans="1:15" x14ac:dyDescent="0.35">
      <c r="A485" t="s">
        <v>498</v>
      </c>
      <c r="B485" t="s">
        <v>1558</v>
      </c>
      <c r="C485" t="s">
        <v>2164</v>
      </c>
      <c r="D485" t="s">
        <v>2965</v>
      </c>
      <c r="E485" t="s">
        <v>3671</v>
      </c>
      <c r="F485">
        <v>26</v>
      </c>
      <c r="G485" t="s">
        <v>3674</v>
      </c>
      <c r="H485" t="s">
        <v>3680</v>
      </c>
      <c r="I485" t="s">
        <v>3687</v>
      </c>
      <c r="J485" t="s">
        <v>3693</v>
      </c>
      <c r="K485" t="s">
        <v>3697</v>
      </c>
      <c r="L485">
        <v>2</v>
      </c>
      <c r="M485">
        <v>5000</v>
      </c>
      <c r="N485" t="s">
        <v>3702</v>
      </c>
      <c r="O485" t="s">
        <v>3706</v>
      </c>
    </row>
    <row r="486" spans="1:15" x14ac:dyDescent="0.35">
      <c r="A486" t="s">
        <v>499</v>
      </c>
      <c r="B486" t="s">
        <v>1559</v>
      </c>
      <c r="C486" t="s">
        <v>2165</v>
      </c>
      <c r="D486" t="s">
        <v>2966</v>
      </c>
      <c r="E486" t="s">
        <v>3672</v>
      </c>
      <c r="F486">
        <v>18</v>
      </c>
      <c r="G486" t="s">
        <v>3673</v>
      </c>
      <c r="H486" t="s">
        <v>3673</v>
      </c>
      <c r="I486" t="s">
        <v>3691</v>
      </c>
      <c r="J486" t="s">
        <v>3693</v>
      </c>
      <c r="K486" t="s">
        <v>3696</v>
      </c>
      <c r="L486">
        <v>4</v>
      </c>
      <c r="M486">
        <v>58000</v>
      </c>
      <c r="N486" t="s">
        <v>3704</v>
      </c>
      <c r="O486" t="s">
        <v>3705</v>
      </c>
    </row>
    <row r="487" spans="1:15" x14ac:dyDescent="0.35">
      <c r="A487" t="s">
        <v>500</v>
      </c>
      <c r="B487" t="s">
        <v>1449</v>
      </c>
      <c r="C487" t="s">
        <v>2166</v>
      </c>
      <c r="D487" t="s">
        <v>2967</v>
      </c>
      <c r="E487" t="s">
        <v>3671</v>
      </c>
      <c r="F487">
        <v>21</v>
      </c>
      <c r="G487" t="s">
        <v>3675</v>
      </c>
      <c r="H487" t="s">
        <v>3681</v>
      </c>
      <c r="I487" t="s">
        <v>3691</v>
      </c>
      <c r="J487" t="s">
        <v>3693</v>
      </c>
      <c r="K487" t="s">
        <v>3696</v>
      </c>
      <c r="L487">
        <v>5</v>
      </c>
      <c r="M487">
        <v>58000</v>
      </c>
      <c r="N487" t="s">
        <v>3702</v>
      </c>
      <c r="O487" t="s">
        <v>3705</v>
      </c>
    </row>
    <row r="488" spans="1:15" x14ac:dyDescent="0.35">
      <c r="A488" t="s">
        <v>501</v>
      </c>
      <c r="B488" t="s">
        <v>1560</v>
      </c>
      <c r="C488" t="s">
        <v>2130</v>
      </c>
      <c r="D488" t="s">
        <v>2968</v>
      </c>
      <c r="E488" t="s">
        <v>3671</v>
      </c>
      <c r="F488">
        <v>22</v>
      </c>
      <c r="G488" t="s">
        <v>3674</v>
      </c>
      <c r="H488" t="s">
        <v>3680</v>
      </c>
      <c r="I488" t="s">
        <v>3690</v>
      </c>
      <c r="J488" t="s">
        <v>3693</v>
      </c>
      <c r="K488" t="s">
        <v>3700</v>
      </c>
      <c r="L488">
        <v>3</v>
      </c>
      <c r="M488">
        <v>72000</v>
      </c>
      <c r="N488" t="s">
        <v>3703</v>
      </c>
      <c r="O488" t="s">
        <v>3705</v>
      </c>
    </row>
    <row r="489" spans="1:15" x14ac:dyDescent="0.35">
      <c r="A489" t="s">
        <v>502</v>
      </c>
      <c r="B489" t="s">
        <v>1374</v>
      </c>
      <c r="C489" t="s">
        <v>2167</v>
      </c>
      <c r="D489" t="s">
        <v>2969</v>
      </c>
      <c r="E489" t="s">
        <v>3671</v>
      </c>
      <c r="F489">
        <v>29</v>
      </c>
      <c r="G489" t="s">
        <v>3675</v>
      </c>
      <c r="H489" t="s">
        <v>3681</v>
      </c>
      <c r="I489" t="s">
        <v>3686</v>
      </c>
      <c r="J489" t="s">
        <v>3693</v>
      </c>
      <c r="K489" t="s">
        <v>3696</v>
      </c>
      <c r="L489">
        <v>4</v>
      </c>
      <c r="M489">
        <v>65000</v>
      </c>
      <c r="N489" t="s">
        <v>3703</v>
      </c>
      <c r="O489" t="s">
        <v>3705</v>
      </c>
    </row>
    <row r="490" spans="1:15" x14ac:dyDescent="0.35">
      <c r="A490" t="s">
        <v>503</v>
      </c>
      <c r="B490" t="s">
        <v>1561</v>
      </c>
      <c r="C490" t="s">
        <v>2075</v>
      </c>
      <c r="D490" t="s">
        <v>2970</v>
      </c>
      <c r="E490" t="s">
        <v>3671</v>
      </c>
      <c r="F490">
        <v>28</v>
      </c>
      <c r="G490" t="s">
        <v>3679</v>
      </c>
      <c r="H490" t="s">
        <v>3684</v>
      </c>
      <c r="I490" t="s">
        <v>3690</v>
      </c>
      <c r="J490" t="s">
        <v>3693</v>
      </c>
      <c r="K490" t="s">
        <v>3700</v>
      </c>
      <c r="L490">
        <v>3</v>
      </c>
      <c r="M490">
        <v>72000</v>
      </c>
      <c r="N490" t="s">
        <v>3702</v>
      </c>
      <c r="O490" t="s">
        <v>3705</v>
      </c>
    </row>
    <row r="491" spans="1:15" x14ac:dyDescent="0.35">
      <c r="A491" t="s">
        <v>504</v>
      </c>
      <c r="B491" t="s">
        <v>1562</v>
      </c>
      <c r="C491" t="s">
        <v>2041</v>
      </c>
      <c r="D491" t="s">
        <v>2971</v>
      </c>
      <c r="E491" t="s">
        <v>3671</v>
      </c>
      <c r="F491">
        <v>51</v>
      </c>
      <c r="G491" t="s">
        <v>3674</v>
      </c>
      <c r="H491" t="s">
        <v>3680</v>
      </c>
      <c r="I491" t="s">
        <v>3686</v>
      </c>
      <c r="J491" t="s">
        <v>3693</v>
      </c>
      <c r="K491" t="s">
        <v>3696</v>
      </c>
      <c r="L491">
        <v>1</v>
      </c>
      <c r="M491">
        <v>65000</v>
      </c>
      <c r="N491" t="s">
        <v>3703</v>
      </c>
      <c r="O491" t="s">
        <v>3706</v>
      </c>
    </row>
    <row r="492" spans="1:15" x14ac:dyDescent="0.35">
      <c r="A492" t="s">
        <v>505</v>
      </c>
      <c r="B492" t="s">
        <v>1563</v>
      </c>
      <c r="C492" t="s">
        <v>2168</v>
      </c>
      <c r="D492" t="s">
        <v>2972</v>
      </c>
      <c r="E492" t="s">
        <v>3672</v>
      </c>
      <c r="F492">
        <v>46</v>
      </c>
      <c r="G492" t="s">
        <v>3678</v>
      </c>
      <c r="H492" t="s">
        <v>3683</v>
      </c>
      <c r="I492" t="s">
        <v>3687</v>
      </c>
      <c r="J492" t="s">
        <v>3693</v>
      </c>
      <c r="K492" t="s">
        <v>3697</v>
      </c>
      <c r="L492">
        <v>4</v>
      </c>
      <c r="M492">
        <v>5000</v>
      </c>
      <c r="N492" t="s">
        <v>3704</v>
      </c>
      <c r="O492" t="s">
        <v>3705</v>
      </c>
    </row>
    <row r="493" spans="1:15" x14ac:dyDescent="0.35">
      <c r="A493" t="s">
        <v>506</v>
      </c>
      <c r="B493" t="s">
        <v>1564</v>
      </c>
      <c r="C493" t="s">
        <v>1957</v>
      </c>
      <c r="D493" t="s">
        <v>2973</v>
      </c>
      <c r="E493" t="s">
        <v>3672</v>
      </c>
      <c r="F493">
        <v>30</v>
      </c>
      <c r="G493" t="s">
        <v>3673</v>
      </c>
      <c r="H493" t="s">
        <v>3673</v>
      </c>
      <c r="I493" t="s">
        <v>3690</v>
      </c>
      <c r="J493" t="s">
        <v>3693</v>
      </c>
      <c r="K493" t="s">
        <v>3700</v>
      </c>
      <c r="L493">
        <v>5</v>
      </c>
      <c r="M493">
        <v>72000</v>
      </c>
      <c r="N493" t="s">
        <v>3703</v>
      </c>
      <c r="O493" t="s">
        <v>3707</v>
      </c>
    </row>
    <row r="494" spans="1:15" x14ac:dyDescent="0.35">
      <c r="A494" t="s">
        <v>507</v>
      </c>
      <c r="B494" t="s">
        <v>1565</v>
      </c>
      <c r="C494" t="s">
        <v>2169</v>
      </c>
      <c r="D494" t="s">
        <v>2974</v>
      </c>
      <c r="E494" t="s">
        <v>3671</v>
      </c>
      <c r="F494">
        <v>58</v>
      </c>
      <c r="G494" t="s">
        <v>3673</v>
      </c>
      <c r="H494" t="s">
        <v>3673</v>
      </c>
      <c r="I494" t="s">
        <v>3686</v>
      </c>
      <c r="J494" t="s">
        <v>3693</v>
      </c>
      <c r="K494" t="s">
        <v>3696</v>
      </c>
      <c r="L494">
        <v>1</v>
      </c>
      <c r="M494">
        <v>65000</v>
      </c>
      <c r="N494" t="s">
        <v>3702</v>
      </c>
      <c r="O494" t="s">
        <v>3706</v>
      </c>
    </row>
    <row r="495" spans="1:15" x14ac:dyDescent="0.35">
      <c r="A495" t="s">
        <v>508</v>
      </c>
      <c r="B495" t="s">
        <v>1527</v>
      </c>
      <c r="C495" t="s">
        <v>2043</v>
      </c>
      <c r="D495" t="s">
        <v>2975</v>
      </c>
      <c r="E495" t="s">
        <v>3671</v>
      </c>
      <c r="F495">
        <v>59</v>
      </c>
      <c r="G495" t="s">
        <v>3674</v>
      </c>
      <c r="H495" t="s">
        <v>3680</v>
      </c>
      <c r="I495" t="s">
        <v>3690</v>
      </c>
      <c r="J495" t="s">
        <v>3693</v>
      </c>
      <c r="K495" t="s">
        <v>3700</v>
      </c>
      <c r="L495">
        <v>2</v>
      </c>
      <c r="M495">
        <v>72000</v>
      </c>
      <c r="N495" t="s">
        <v>3701</v>
      </c>
      <c r="O495" t="s">
        <v>3706</v>
      </c>
    </row>
    <row r="496" spans="1:15" x14ac:dyDescent="0.35">
      <c r="A496" t="s">
        <v>509</v>
      </c>
      <c r="B496" t="s">
        <v>1308</v>
      </c>
      <c r="C496" t="s">
        <v>1991</v>
      </c>
      <c r="D496" t="s">
        <v>2976</v>
      </c>
      <c r="E496" t="s">
        <v>3671</v>
      </c>
      <c r="F496">
        <v>41</v>
      </c>
      <c r="G496" t="s">
        <v>3678</v>
      </c>
      <c r="H496" t="s">
        <v>3683</v>
      </c>
      <c r="I496" t="s">
        <v>3689</v>
      </c>
      <c r="J496" t="s">
        <v>3694</v>
      </c>
      <c r="K496" t="s">
        <v>3699</v>
      </c>
      <c r="L496">
        <v>1</v>
      </c>
      <c r="M496">
        <v>1800</v>
      </c>
      <c r="N496" t="s">
        <v>3701</v>
      </c>
      <c r="O496" t="s">
        <v>3707</v>
      </c>
    </row>
    <row r="497" spans="1:15" x14ac:dyDescent="0.35">
      <c r="A497" t="s">
        <v>510</v>
      </c>
      <c r="B497" t="s">
        <v>1566</v>
      </c>
      <c r="C497" t="s">
        <v>2170</v>
      </c>
      <c r="D497" t="s">
        <v>2977</v>
      </c>
      <c r="E497" t="s">
        <v>3671</v>
      </c>
      <c r="F497">
        <v>59</v>
      </c>
      <c r="G497" t="s">
        <v>3677</v>
      </c>
      <c r="H497" t="s">
        <v>3680</v>
      </c>
      <c r="I497" t="s">
        <v>3685</v>
      </c>
      <c r="J497" t="s">
        <v>3692</v>
      </c>
      <c r="K497" t="s">
        <v>3695</v>
      </c>
      <c r="L497">
        <v>2</v>
      </c>
      <c r="M497">
        <v>12000</v>
      </c>
      <c r="N497" t="s">
        <v>3703</v>
      </c>
      <c r="O497" t="s">
        <v>3706</v>
      </c>
    </row>
    <row r="498" spans="1:15" x14ac:dyDescent="0.35">
      <c r="A498" t="s">
        <v>511</v>
      </c>
      <c r="B498" t="s">
        <v>1491</v>
      </c>
      <c r="C498" t="s">
        <v>2171</v>
      </c>
      <c r="D498" t="s">
        <v>2978</v>
      </c>
      <c r="E498" t="s">
        <v>3671</v>
      </c>
      <c r="F498">
        <v>23</v>
      </c>
      <c r="G498" t="s">
        <v>3678</v>
      </c>
      <c r="H498" t="s">
        <v>3683</v>
      </c>
      <c r="I498" t="s">
        <v>3687</v>
      </c>
      <c r="J498" t="s">
        <v>3693</v>
      </c>
      <c r="K498" t="s">
        <v>3697</v>
      </c>
      <c r="L498">
        <v>3</v>
      </c>
      <c r="M498">
        <v>5000</v>
      </c>
      <c r="N498" t="s">
        <v>3701</v>
      </c>
      <c r="O498" t="s">
        <v>3706</v>
      </c>
    </row>
    <row r="499" spans="1:15" x14ac:dyDescent="0.35">
      <c r="A499" t="s">
        <v>512</v>
      </c>
      <c r="B499" t="s">
        <v>1485</v>
      </c>
      <c r="C499" t="s">
        <v>1954</v>
      </c>
      <c r="D499" t="s">
        <v>2979</v>
      </c>
      <c r="E499" t="s">
        <v>3671</v>
      </c>
      <c r="F499">
        <v>32</v>
      </c>
      <c r="G499" t="s">
        <v>3674</v>
      </c>
      <c r="H499" t="s">
        <v>3680</v>
      </c>
      <c r="I499" t="s">
        <v>3691</v>
      </c>
      <c r="J499" t="s">
        <v>3693</v>
      </c>
      <c r="K499" t="s">
        <v>3696</v>
      </c>
      <c r="L499">
        <v>5</v>
      </c>
      <c r="M499">
        <v>58000</v>
      </c>
      <c r="N499" t="s">
        <v>3702</v>
      </c>
      <c r="O499" t="s">
        <v>3706</v>
      </c>
    </row>
    <row r="500" spans="1:15" x14ac:dyDescent="0.35">
      <c r="A500" t="s">
        <v>513</v>
      </c>
      <c r="B500" t="s">
        <v>1567</v>
      </c>
      <c r="C500" t="s">
        <v>2172</v>
      </c>
      <c r="D500" t="s">
        <v>2980</v>
      </c>
      <c r="E500" t="s">
        <v>3672</v>
      </c>
      <c r="F500">
        <v>33</v>
      </c>
      <c r="G500" t="s">
        <v>3676</v>
      </c>
      <c r="H500" t="s">
        <v>3682</v>
      </c>
      <c r="I500" t="s">
        <v>3685</v>
      </c>
      <c r="J500" t="s">
        <v>3692</v>
      </c>
      <c r="K500" t="s">
        <v>3695</v>
      </c>
      <c r="L500">
        <v>5</v>
      </c>
      <c r="M500">
        <v>12000</v>
      </c>
      <c r="N500" t="s">
        <v>3704</v>
      </c>
      <c r="O500" t="s">
        <v>3707</v>
      </c>
    </row>
    <row r="501" spans="1:15" x14ac:dyDescent="0.35">
      <c r="A501" t="s">
        <v>514</v>
      </c>
      <c r="B501" t="s">
        <v>1363</v>
      </c>
      <c r="C501" t="s">
        <v>2173</v>
      </c>
      <c r="D501" t="s">
        <v>2981</v>
      </c>
      <c r="E501" t="s">
        <v>3671</v>
      </c>
      <c r="F501">
        <v>52</v>
      </c>
      <c r="G501" t="s">
        <v>3677</v>
      </c>
      <c r="H501" t="s">
        <v>3680</v>
      </c>
      <c r="I501" t="s">
        <v>3687</v>
      </c>
      <c r="J501" t="s">
        <v>3693</v>
      </c>
      <c r="K501" t="s">
        <v>3697</v>
      </c>
      <c r="L501">
        <v>2</v>
      </c>
      <c r="M501">
        <v>5000</v>
      </c>
      <c r="N501" t="s">
        <v>3704</v>
      </c>
      <c r="O501" t="s">
        <v>3705</v>
      </c>
    </row>
    <row r="502" spans="1:15" x14ac:dyDescent="0.35">
      <c r="A502" t="s">
        <v>515</v>
      </c>
      <c r="B502" t="s">
        <v>1568</v>
      </c>
      <c r="C502" t="s">
        <v>2174</v>
      </c>
      <c r="D502" t="s">
        <v>2982</v>
      </c>
      <c r="E502" t="s">
        <v>3671</v>
      </c>
      <c r="F502">
        <v>56</v>
      </c>
      <c r="G502" t="s">
        <v>3676</v>
      </c>
      <c r="H502" t="s">
        <v>3682</v>
      </c>
      <c r="I502" t="s">
        <v>3691</v>
      </c>
      <c r="J502" t="s">
        <v>3693</v>
      </c>
      <c r="K502" t="s">
        <v>3696</v>
      </c>
      <c r="L502">
        <v>4</v>
      </c>
      <c r="M502">
        <v>58000</v>
      </c>
      <c r="N502" t="s">
        <v>3702</v>
      </c>
      <c r="O502" t="s">
        <v>3707</v>
      </c>
    </row>
    <row r="503" spans="1:15" x14ac:dyDescent="0.35">
      <c r="A503" t="s">
        <v>516</v>
      </c>
      <c r="B503" t="s">
        <v>1519</v>
      </c>
      <c r="C503" t="s">
        <v>2175</v>
      </c>
      <c r="D503" t="s">
        <v>2983</v>
      </c>
      <c r="E503" t="s">
        <v>3671</v>
      </c>
      <c r="F503">
        <v>48</v>
      </c>
      <c r="G503" t="s">
        <v>3673</v>
      </c>
      <c r="H503" t="s">
        <v>3673</v>
      </c>
      <c r="I503" t="s">
        <v>3690</v>
      </c>
      <c r="J503" t="s">
        <v>3693</v>
      </c>
      <c r="K503" t="s">
        <v>3700</v>
      </c>
      <c r="L503">
        <v>2</v>
      </c>
      <c r="M503">
        <v>72000</v>
      </c>
      <c r="N503" t="s">
        <v>3702</v>
      </c>
      <c r="O503" t="s">
        <v>3706</v>
      </c>
    </row>
    <row r="504" spans="1:15" x14ac:dyDescent="0.35">
      <c r="A504" t="s">
        <v>517</v>
      </c>
      <c r="B504" t="s">
        <v>1296</v>
      </c>
      <c r="C504" t="s">
        <v>2008</v>
      </c>
      <c r="D504" t="s">
        <v>2984</v>
      </c>
      <c r="E504" t="s">
        <v>3672</v>
      </c>
      <c r="F504">
        <v>27</v>
      </c>
      <c r="G504" t="s">
        <v>3676</v>
      </c>
      <c r="H504" t="s">
        <v>3682</v>
      </c>
      <c r="I504" t="s">
        <v>3688</v>
      </c>
      <c r="J504" t="s">
        <v>3694</v>
      </c>
      <c r="K504" t="s">
        <v>3698</v>
      </c>
      <c r="L504">
        <v>4</v>
      </c>
      <c r="M504">
        <v>4500</v>
      </c>
      <c r="N504" t="s">
        <v>3704</v>
      </c>
      <c r="O504" t="s">
        <v>3705</v>
      </c>
    </row>
    <row r="505" spans="1:15" x14ac:dyDescent="0.35">
      <c r="A505" t="s">
        <v>518</v>
      </c>
      <c r="B505" t="s">
        <v>1569</v>
      </c>
      <c r="C505" t="s">
        <v>2176</v>
      </c>
      <c r="D505" t="s">
        <v>2985</v>
      </c>
      <c r="E505" t="s">
        <v>3672</v>
      </c>
      <c r="F505">
        <v>53</v>
      </c>
      <c r="G505" t="s">
        <v>3679</v>
      </c>
      <c r="H505" t="s">
        <v>3684</v>
      </c>
      <c r="I505" t="s">
        <v>3690</v>
      </c>
      <c r="J505" t="s">
        <v>3693</v>
      </c>
      <c r="K505" t="s">
        <v>3700</v>
      </c>
      <c r="L505">
        <v>5</v>
      </c>
      <c r="M505">
        <v>72000</v>
      </c>
      <c r="N505" t="s">
        <v>3701</v>
      </c>
      <c r="O505" t="s">
        <v>3706</v>
      </c>
    </row>
    <row r="506" spans="1:15" x14ac:dyDescent="0.35">
      <c r="A506" t="s">
        <v>519</v>
      </c>
      <c r="B506" t="s">
        <v>1543</v>
      </c>
      <c r="C506" t="s">
        <v>2177</v>
      </c>
      <c r="D506" t="s">
        <v>2986</v>
      </c>
      <c r="E506" t="s">
        <v>3672</v>
      </c>
      <c r="F506">
        <v>51</v>
      </c>
      <c r="G506" t="s">
        <v>3677</v>
      </c>
      <c r="H506" t="s">
        <v>3680</v>
      </c>
      <c r="I506" t="s">
        <v>3690</v>
      </c>
      <c r="J506" t="s">
        <v>3693</v>
      </c>
      <c r="K506" t="s">
        <v>3700</v>
      </c>
      <c r="L506">
        <v>2</v>
      </c>
      <c r="M506">
        <v>72000</v>
      </c>
      <c r="N506" t="s">
        <v>3703</v>
      </c>
      <c r="O506" t="s">
        <v>3705</v>
      </c>
    </row>
    <row r="507" spans="1:15" x14ac:dyDescent="0.35">
      <c r="A507" t="s">
        <v>520</v>
      </c>
      <c r="B507" t="s">
        <v>1570</v>
      </c>
      <c r="C507" t="s">
        <v>1912</v>
      </c>
      <c r="D507" t="s">
        <v>2987</v>
      </c>
      <c r="E507" t="s">
        <v>3671</v>
      </c>
      <c r="F507">
        <v>22</v>
      </c>
      <c r="G507" t="s">
        <v>3678</v>
      </c>
      <c r="H507" t="s">
        <v>3683</v>
      </c>
      <c r="I507" t="s">
        <v>3689</v>
      </c>
      <c r="J507" t="s">
        <v>3694</v>
      </c>
      <c r="K507" t="s">
        <v>3699</v>
      </c>
      <c r="L507">
        <v>5</v>
      </c>
      <c r="M507">
        <v>1800</v>
      </c>
      <c r="N507" t="s">
        <v>3703</v>
      </c>
      <c r="O507" t="s">
        <v>3706</v>
      </c>
    </row>
    <row r="508" spans="1:15" x14ac:dyDescent="0.35">
      <c r="A508" t="s">
        <v>521</v>
      </c>
      <c r="B508" t="s">
        <v>1571</v>
      </c>
      <c r="C508" t="s">
        <v>2178</v>
      </c>
      <c r="D508" t="s">
        <v>2988</v>
      </c>
      <c r="E508" t="s">
        <v>3672</v>
      </c>
      <c r="F508">
        <v>28</v>
      </c>
      <c r="G508" t="s">
        <v>3675</v>
      </c>
      <c r="H508" t="s">
        <v>3681</v>
      </c>
      <c r="I508" t="s">
        <v>3691</v>
      </c>
      <c r="J508" t="s">
        <v>3693</v>
      </c>
      <c r="K508" t="s">
        <v>3696</v>
      </c>
      <c r="L508">
        <v>1</v>
      </c>
      <c r="M508">
        <v>58000</v>
      </c>
      <c r="N508" t="s">
        <v>3703</v>
      </c>
      <c r="O508" t="s">
        <v>3705</v>
      </c>
    </row>
    <row r="509" spans="1:15" x14ac:dyDescent="0.35">
      <c r="A509" t="s">
        <v>522</v>
      </c>
      <c r="B509" t="s">
        <v>1566</v>
      </c>
      <c r="C509" t="s">
        <v>2179</v>
      </c>
      <c r="D509" t="s">
        <v>2989</v>
      </c>
      <c r="E509" t="s">
        <v>3672</v>
      </c>
      <c r="F509">
        <v>27</v>
      </c>
      <c r="G509" t="s">
        <v>3673</v>
      </c>
      <c r="H509" t="s">
        <v>3673</v>
      </c>
      <c r="I509" t="s">
        <v>3691</v>
      </c>
      <c r="J509" t="s">
        <v>3693</v>
      </c>
      <c r="K509" t="s">
        <v>3696</v>
      </c>
      <c r="L509">
        <v>2</v>
      </c>
      <c r="M509">
        <v>58000</v>
      </c>
      <c r="N509" t="s">
        <v>3701</v>
      </c>
      <c r="O509" t="s">
        <v>3706</v>
      </c>
    </row>
    <row r="510" spans="1:15" x14ac:dyDescent="0.35">
      <c r="A510" t="s">
        <v>523</v>
      </c>
      <c r="B510" t="s">
        <v>1498</v>
      </c>
      <c r="C510" t="s">
        <v>1980</v>
      </c>
      <c r="D510" t="s">
        <v>2990</v>
      </c>
      <c r="E510" t="s">
        <v>3672</v>
      </c>
      <c r="F510">
        <v>33</v>
      </c>
      <c r="G510" t="s">
        <v>3678</v>
      </c>
      <c r="H510" t="s">
        <v>3683</v>
      </c>
      <c r="I510" t="s">
        <v>3687</v>
      </c>
      <c r="J510" t="s">
        <v>3693</v>
      </c>
      <c r="K510" t="s">
        <v>3697</v>
      </c>
      <c r="L510">
        <v>1</v>
      </c>
      <c r="M510">
        <v>5000</v>
      </c>
      <c r="N510" t="s">
        <v>3704</v>
      </c>
      <c r="O510" t="s">
        <v>3705</v>
      </c>
    </row>
    <row r="511" spans="1:15" x14ac:dyDescent="0.35">
      <c r="A511" t="s">
        <v>524</v>
      </c>
      <c r="B511" t="s">
        <v>1396</v>
      </c>
      <c r="C511" t="s">
        <v>2114</v>
      </c>
      <c r="D511" t="s">
        <v>2991</v>
      </c>
      <c r="E511" t="s">
        <v>3671</v>
      </c>
      <c r="F511">
        <v>32</v>
      </c>
      <c r="G511" t="s">
        <v>3678</v>
      </c>
      <c r="H511" t="s">
        <v>3683</v>
      </c>
      <c r="I511" t="s">
        <v>3688</v>
      </c>
      <c r="J511" t="s">
        <v>3694</v>
      </c>
      <c r="K511" t="s">
        <v>3698</v>
      </c>
      <c r="L511">
        <v>1</v>
      </c>
      <c r="M511">
        <v>4500</v>
      </c>
      <c r="N511" t="s">
        <v>3701</v>
      </c>
      <c r="O511" t="s">
        <v>3707</v>
      </c>
    </row>
    <row r="512" spans="1:15" x14ac:dyDescent="0.35">
      <c r="A512" t="s">
        <v>525</v>
      </c>
      <c r="B512" t="s">
        <v>1572</v>
      </c>
      <c r="C512" t="s">
        <v>2180</v>
      </c>
      <c r="D512" t="s">
        <v>2992</v>
      </c>
      <c r="E512" t="s">
        <v>3671</v>
      </c>
      <c r="F512">
        <v>47</v>
      </c>
      <c r="G512" t="s">
        <v>3679</v>
      </c>
      <c r="H512" t="s">
        <v>3684</v>
      </c>
      <c r="I512" t="s">
        <v>3687</v>
      </c>
      <c r="J512" t="s">
        <v>3693</v>
      </c>
      <c r="K512" t="s">
        <v>3697</v>
      </c>
      <c r="L512">
        <v>1</v>
      </c>
      <c r="M512">
        <v>5000</v>
      </c>
      <c r="N512" t="s">
        <v>3704</v>
      </c>
      <c r="O512" t="s">
        <v>3707</v>
      </c>
    </row>
    <row r="513" spans="1:15" x14ac:dyDescent="0.35">
      <c r="A513" t="s">
        <v>526</v>
      </c>
      <c r="B513" t="s">
        <v>1573</v>
      </c>
      <c r="C513" t="s">
        <v>1896</v>
      </c>
      <c r="D513" t="s">
        <v>2993</v>
      </c>
      <c r="E513" t="s">
        <v>3672</v>
      </c>
      <c r="F513">
        <v>23</v>
      </c>
      <c r="G513" t="s">
        <v>3674</v>
      </c>
      <c r="H513" t="s">
        <v>3680</v>
      </c>
      <c r="I513" t="s">
        <v>3687</v>
      </c>
      <c r="J513" t="s">
        <v>3693</v>
      </c>
      <c r="K513" t="s">
        <v>3697</v>
      </c>
      <c r="L513">
        <v>5</v>
      </c>
      <c r="M513">
        <v>5000</v>
      </c>
      <c r="N513" t="s">
        <v>3703</v>
      </c>
      <c r="O513" t="s">
        <v>3706</v>
      </c>
    </row>
    <row r="514" spans="1:15" x14ac:dyDescent="0.35">
      <c r="A514" t="s">
        <v>527</v>
      </c>
      <c r="B514" t="s">
        <v>1574</v>
      </c>
      <c r="C514" t="s">
        <v>2181</v>
      </c>
      <c r="D514" t="s">
        <v>2994</v>
      </c>
      <c r="E514" t="s">
        <v>3672</v>
      </c>
      <c r="F514">
        <v>28</v>
      </c>
      <c r="G514" t="s">
        <v>3673</v>
      </c>
      <c r="H514" t="s">
        <v>3673</v>
      </c>
      <c r="I514" t="s">
        <v>3690</v>
      </c>
      <c r="J514" t="s">
        <v>3693</v>
      </c>
      <c r="K514" t="s">
        <v>3700</v>
      </c>
      <c r="L514">
        <v>5</v>
      </c>
      <c r="M514">
        <v>72000</v>
      </c>
      <c r="N514" t="s">
        <v>3704</v>
      </c>
      <c r="O514" t="s">
        <v>3705</v>
      </c>
    </row>
    <row r="515" spans="1:15" x14ac:dyDescent="0.35">
      <c r="A515" t="s">
        <v>528</v>
      </c>
      <c r="B515" t="s">
        <v>1526</v>
      </c>
      <c r="C515" t="s">
        <v>2182</v>
      </c>
      <c r="D515" t="s">
        <v>2995</v>
      </c>
      <c r="E515" t="s">
        <v>3672</v>
      </c>
      <c r="F515">
        <v>47</v>
      </c>
      <c r="G515" t="s">
        <v>3673</v>
      </c>
      <c r="H515" t="s">
        <v>3673</v>
      </c>
      <c r="I515" t="s">
        <v>3688</v>
      </c>
      <c r="J515" t="s">
        <v>3694</v>
      </c>
      <c r="K515" t="s">
        <v>3698</v>
      </c>
      <c r="L515">
        <v>2</v>
      </c>
      <c r="M515">
        <v>4500</v>
      </c>
      <c r="N515" t="s">
        <v>3701</v>
      </c>
      <c r="O515" t="s">
        <v>3706</v>
      </c>
    </row>
    <row r="516" spans="1:15" x14ac:dyDescent="0.35">
      <c r="A516" t="s">
        <v>529</v>
      </c>
      <c r="B516" t="s">
        <v>1218</v>
      </c>
      <c r="C516" t="s">
        <v>2183</v>
      </c>
      <c r="D516" t="s">
        <v>2996</v>
      </c>
      <c r="E516" t="s">
        <v>3672</v>
      </c>
      <c r="F516">
        <v>43</v>
      </c>
      <c r="G516" t="s">
        <v>3678</v>
      </c>
      <c r="H516" t="s">
        <v>3683</v>
      </c>
      <c r="I516" t="s">
        <v>3686</v>
      </c>
      <c r="J516" t="s">
        <v>3693</v>
      </c>
      <c r="K516" t="s">
        <v>3696</v>
      </c>
      <c r="L516">
        <v>5</v>
      </c>
      <c r="M516">
        <v>65000</v>
      </c>
      <c r="N516" t="s">
        <v>3702</v>
      </c>
      <c r="O516" t="s">
        <v>3705</v>
      </c>
    </row>
    <row r="517" spans="1:15" x14ac:dyDescent="0.35">
      <c r="A517" t="s">
        <v>530</v>
      </c>
      <c r="B517" t="s">
        <v>1575</v>
      </c>
      <c r="C517" t="s">
        <v>2184</v>
      </c>
      <c r="D517" t="s">
        <v>2997</v>
      </c>
      <c r="E517" t="s">
        <v>3672</v>
      </c>
      <c r="F517">
        <v>43</v>
      </c>
      <c r="G517" t="s">
        <v>3674</v>
      </c>
      <c r="H517" t="s">
        <v>3680</v>
      </c>
      <c r="I517" t="s">
        <v>3690</v>
      </c>
      <c r="J517" t="s">
        <v>3693</v>
      </c>
      <c r="K517" t="s">
        <v>3700</v>
      </c>
      <c r="L517">
        <v>4</v>
      </c>
      <c r="M517">
        <v>72000</v>
      </c>
      <c r="N517" t="s">
        <v>3701</v>
      </c>
      <c r="O517" t="s">
        <v>3707</v>
      </c>
    </row>
    <row r="518" spans="1:15" x14ac:dyDescent="0.35">
      <c r="A518" t="s">
        <v>531</v>
      </c>
      <c r="B518" t="s">
        <v>1576</v>
      </c>
      <c r="C518" t="s">
        <v>2185</v>
      </c>
      <c r="D518" t="s">
        <v>2998</v>
      </c>
      <c r="E518" t="s">
        <v>3671</v>
      </c>
      <c r="F518">
        <v>40</v>
      </c>
      <c r="G518" t="s">
        <v>3676</v>
      </c>
      <c r="H518" t="s">
        <v>3682</v>
      </c>
      <c r="I518" t="s">
        <v>3690</v>
      </c>
      <c r="J518" t="s">
        <v>3693</v>
      </c>
      <c r="K518" t="s">
        <v>3700</v>
      </c>
      <c r="L518">
        <v>5</v>
      </c>
      <c r="M518">
        <v>72000</v>
      </c>
      <c r="N518" t="s">
        <v>3701</v>
      </c>
      <c r="O518" t="s">
        <v>3705</v>
      </c>
    </row>
    <row r="519" spans="1:15" x14ac:dyDescent="0.35">
      <c r="A519" t="s">
        <v>532</v>
      </c>
      <c r="B519" t="s">
        <v>1577</v>
      </c>
      <c r="C519" t="s">
        <v>2186</v>
      </c>
      <c r="D519" t="s">
        <v>2999</v>
      </c>
      <c r="E519" t="s">
        <v>3672</v>
      </c>
      <c r="F519">
        <v>50</v>
      </c>
      <c r="G519" t="s">
        <v>3679</v>
      </c>
      <c r="H519" t="s">
        <v>3684</v>
      </c>
      <c r="I519" t="s">
        <v>3687</v>
      </c>
      <c r="J519" t="s">
        <v>3693</v>
      </c>
      <c r="K519" t="s">
        <v>3697</v>
      </c>
      <c r="L519">
        <v>5</v>
      </c>
      <c r="M519">
        <v>5000</v>
      </c>
      <c r="N519" t="s">
        <v>3703</v>
      </c>
      <c r="O519" t="s">
        <v>3705</v>
      </c>
    </row>
    <row r="520" spans="1:15" x14ac:dyDescent="0.35">
      <c r="A520" t="s">
        <v>533</v>
      </c>
      <c r="B520" t="s">
        <v>1255</v>
      </c>
      <c r="C520" t="s">
        <v>1865</v>
      </c>
      <c r="D520" t="s">
        <v>3000</v>
      </c>
      <c r="E520" t="s">
        <v>3672</v>
      </c>
      <c r="F520">
        <v>42</v>
      </c>
      <c r="G520" t="s">
        <v>3677</v>
      </c>
      <c r="H520" t="s">
        <v>3680</v>
      </c>
      <c r="I520" t="s">
        <v>3688</v>
      </c>
      <c r="J520" t="s">
        <v>3694</v>
      </c>
      <c r="K520" t="s">
        <v>3698</v>
      </c>
      <c r="L520">
        <v>2</v>
      </c>
      <c r="M520">
        <v>4500</v>
      </c>
      <c r="N520" t="s">
        <v>3703</v>
      </c>
      <c r="O520" t="s">
        <v>3705</v>
      </c>
    </row>
    <row r="521" spans="1:15" x14ac:dyDescent="0.35">
      <c r="A521" t="s">
        <v>534</v>
      </c>
      <c r="B521" t="s">
        <v>1391</v>
      </c>
      <c r="C521" t="s">
        <v>2187</v>
      </c>
      <c r="D521" t="s">
        <v>3001</v>
      </c>
      <c r="E521" t="s">
        <v>3671</v>
      </c>
      <c r="F521">
        <v>34</v>
      </c>
      <c r="G521" t="s">
        <v>3673</v>
      </c>
      <c r="H521" t="s">
        <v>3673</v>
      </c>
      <c r="I521" t="s">
        <v>3687</v>
      </c>
      <c r="J521" t="s">
        <v>3693</v>
      </c>
      <c r="K521" t="s">
        <v>3697</v>
      </c>
      <c r="L521">
        <v>2</v>
      </c>
      <c r="M521">
        <v>5000</v>
      </c>
      <c r="N521" t="s">
        <v>3703</v>
      </c>
      <c r="O521" t="s">
        <v>3707</v>
      </c>
    </row>
    <row r="522" spans="1:15" x14ac:dyDescent="0.35">
      <c r="A522" t="s">
        <v>535</v>
      </c>
      <c r="B522" t="s">
        <v>1578</v>
      </c>
      <c r="C522" t="s">
        <v>2188</v>
      </c>
      <c r="D522" t="s">
        <v>3002</v>
      </c>
      <c r="E522" t="s">
        <v>3672</v>
      </c>
      <c r="F522">
        <v>57</v>
      </c>
      <c r="G522" t="s">
        <v>3677</v>
      </c>
      <c r="H522" t="s">
        <v>3680</v>
      </c>
      <c r="I522" t="s">
        <v>3688</v>
      </c>
      <c r="J522" t="s">
        <v>3694</v>
      </c>
      <c r="K522" t="s">
        <v>3698</v>
      </c>
      <c r="L522">
        <v>2</v>
      </c>
      <c r="M522">
        <v>4500</v>
      </c>
      <c r="N522" t="s">
        <v>3704</v>
      </c>
      <c r="O522" t="s">
        <v>3707</v>
      </c>
    </row>
    <row r="523" spans="1:15" x14ac:dyDescent="0.35">
      <c r="A523" t="s">
        <v>536</v>
      </c>
      <c r="B523" t="s">
        <v>1579</v>
      </c>
      <c r="C523" t="s">
        <v>2187</v>
      </c>
      <c r="D523" t="s">
        <v>3003</v>
      </c>
      <c r="E523" t="s">
        <v>3671</v>
      </c>
      <c r="F523">
        <v>29</v>
      </c>
      <c r="G523" t="s">
        <v>3673</v>
      </c>
      <c r="H523" t="s">
        <v>3673</v>
      </c>
      <c r="I523" t="s">
        <v>3688</v>
      </c>
      <c r="J523" t="s">
        <v>3694</v>
      </c>
      <c r="K523" t="s">
        <v>3698</v>
      </c>
      <c r="L523">
        <v>1</v>
      </c>
      <c r="M523">
        <v>4500</v>
      </c>
      <c r="N523" t="s">
        <v>3701</v>
      </c>
      <c r="O523" t="s">
        <v>3705</v>
      </c>
    </row>
    <row r="524" spans="1:15" x14ac:dyDescent="0.35">
      <c r="A524" t="s">
        <v>537</v>
      </c>
      <c r="B524" t="s">
        <v>1580</v>
      </c>
      <c r="C524" t="s">
        <v>2003</v>
      </c>
      <c r="D524" t="s">
        <v>3004</v>
      </c>
      <c r="E524" t="s">
        <v>3672</v>
      </c>
      <c r="F524">
        <v>47</v>
      </c>
      <c r="G524" t="s">
        <v>3678</v>
      </c>
      <c r="H524" t="s">
        <v>3683</v>
      </c>
      <c r="I524" t="s">
        <v>3691</v>
      </c>
      <c r="J524" t="s">
        <v>3693</v>
      </c>
      <c r="K524" t="s">
        <v>3696</v>
      </c>
      <c r="L524">
        <v>5</v>
      </c>
      <c r="M524">
        <v>58000</v>
      </c>
      <c r="N524" t="s">
        <v>3702</v>
      </c>
      <c r="O524" t="s">
        <v>3706</v>
      </c>
    </row>
    <row r="525" spans="1:15" x14ac:dyDescent="0.35">
      <c r="A525" t="s">
        <v>538</v>
      </c>
      <c r="B525" t="s">
        <v>1542</v>
      </c>
      <c r="C525" t="s">
        <v>2189</v>
      </c>
      <c r="D525" t="s">
        <v>3005</v>
      </c>
      <c r="E525" t="s">
        <v>3671</v>
      </c>
      <c r="F525">
        <v>30</v>
      </c>
      <c r="G525" t="s">
        <v>3678</v>
      </c>
      <c r="H525" t="s">
        <v>3683</v>
      </c>
      <c r="I525" t="s">
        <v>3690</v>
      </c>
      <c r="J525" t="s">
        <v>3693</v>
      </c>
      <c r="K525" t="s">
        <v>3700</v>
      </c>
      <c r="L525">
        <v>1</v>
      </c>
      <c r="M525">
        <v>72000</v>
      </c>
      <c r="N525" t="s">
        <v>3703</v>
      </c>
      <c r="O525" t="s">
        <v>3706</v>
      </c>
    </row>
    <row r="526" spans="1:15" x14ac:dyDescent="0.35">
      <c r="A526" t="s">
        <v>539</v>
      </c>
      <c r="B526" t="s">
        <v>1384</v>
      </c>
      <c r="C526" t="s">
        <v>2190</v>
      </c>
      <c r="D526" t="s">
        <v>3006</v>
      </c>
      <c r="E526" t="s">
        <v>3672</v>
      </c>
      <c r="F526">
        <v>54</v>
      </c>
      <c r="G526" t="s">
        <v>3673</v>
      </c>
      <c r="H526" t="s">
        <v>3673</v>
      </c>
      <c r="I526" t="s">
        <v>3689</v>
      </c>
      <c r="J526" t="s">
        <v>3694</v>
      </c>
      <c r="K526" t="s">
        <v>3699</v>
      </c>
      <c r="L526">
        <v>4</v>
      </c>
      <c r="M526">
        <v>1800</v>
      </c>
      <c r="N526" t="s">
        <v>3701</v>
      </c>
      <c r="O526" t="s">
        <v>3705</v>
      </c>
    </row>
    <row r="527" spans="1:15" x14ac:dyDescent="0.35">
      <c r="A527" t="s">
        <v>540</v>
      </c>
      <c r="B527" t="s">
        <v>1423</v>
      </c>
      <c r="C527" t="s">
        <v>2191</v>
      </c>
      <c r="D527" t="s">
        <v>3007</v>
      </c>
      <c r="E527" t="s">
        <v>3671</v>
      </c>
      <c r="F527">
        <v>34</v>
      </c>
      <c r="G527" t="s">
        <v>3679</v>
      </c>
      <c r="H527" t="s">
        <v>3684</v>
      </c>
      <c r="I527" t="s">
        <v>3687</v>
      </c>
      <c r="J527" t="s">
        <v>3693</v>
      </c>
      <c r="K527" t="s">
        <v>3697</v>
      </c>
      <c r="L527">
        <v>4</v>
      </c>
      <c r="M527">
        <v>5000</v>
      </c>
      <c r="N527" t="s">
        <v>3704</v>
      </c>
      <c r="O527" t="s">
        <v>3707</v>
      </c>
    </row>
    <row r="528" spans="1:15" x14ac:dyDescent="0.35">
      <c r="A528" t="s">
        <v>541</v>
      </c>
      <c r="B528" t="s">
        <v>1565</v>
      </c>
      <c r="C528" t="s">
        <v>2162</v>
      </c>
      <c r="D528" t="s">
        <v>3008</v>
      </c>
      <c r="E528" t="s">
        <v>3672</v>
      </c>
      <c r="F528">
        <v>32</v>
      </c>
      <c r="G528" t="s">
        <v>3674</v>
      </c>
      <c r="H528" t="s">
        <v>3680</v>
      </c>
      <c r="I528" t="s">
        <v>3690</v>
      </c>
      <c r="J528" t="s">
        <v>3693</v>
      </c>
      <c r="K528" t="s">
        <v>3700</v>
      </c>
      <c r="L528">
        <v>2</v>
      </c>
      <c r="M528">
        <v>72000</v>
      </c>
      <c r="N528" t="s">
        <v>3704</v>
      </c>
      <c r="O528" t="s">
        <v>3705</v>
      </c>
    </row>
    <row r="529" spans="1:15" x14ac:dyDescent="0.35">
      <c r="A529" t="s">
        <v>542</v>
      </c>
      <c r="B529" t="s">
        <v>1548</v>
      </c>
      <c r="C529" t="s">
        <v>2192</v>
      </c>
      <c r="D529" t="s">
        <v>3009</v>
      </c>
      <c r="E529" t="s">
        <v>3672</v>
      </c>
      <c r="F529">
        <v>40</v>
      </c>
      <c r="G529" t="s">
        <v>3673</v>
      </c>
      <c r="H529" t="s">
        <v>3673</v>
      </c>
      <c r="I529" t="s">
        <v>3690</v>
      </c>
      <c r="J529" t="s">
        <v>3693</v>
      </c>
      <c r="K529" t="s">
        <v>3700</v>
      </c>
      <c r="L529">
        <v>3</v>
      </c>
      <c r="M529">
        <v>72000</v>
      </c>
      <c r="N529" t="s">
        <v>3702</v>
      </c>
      <c r="O529" t="s">
        <v>3707</v>
      </c>
    </row>
    <row r="530" spans="1:15" x14ac:dyDescent="0.35">
      <c r="A530" t="s">
        <v>543</v>
      </c>
      <c r="B530" t="s">
        <v>1581</v>
      </c>
      <c r="C530" t="s">
        <v>2193</v>
      </c>
      <c r="D530" t="s">
        <v>3010</v>
      </c>
      <c r="E530" t="s">
        <v>3671</v>
      </c>
      <c r="F530">
        <v>47</v>
      </c>
      <c r="G530" t="s">
        <v>3673</v>
      </c>
      <c r="H530" t="s">
        <v>3673</v>
      </c>
      <c r="I530" t="s">
        <v>3690</v>
      </c>
      <c r="J530" t="s">
        <v>3693</v>
      </c>
      <c r="K530" t="s">
        <v>3700</v>
      </c>
      <c r="L530">
        <v>2</v>
      </c>
      <c r="M530">
        <v>72000</v>
      </c>
      <c r="N530" t="s">
        <v>3704</v>
      </c>
      <c r="O530" t="s">
        <v>3706</v>
      </c>
    </row>
    <row r="531" spans="1:15" x14ac:dyDescent="0.35">
      <c r="A531" t="s">
        <v>544</v>
      </c>
      <c r="B531" t="s">
        <v>1367</v>
      </c>
      <c r="C531" t="s">
        <v>1883</v>
      </c>
      <c r="D531" t="s">
        <v>3011</v>
      </c>
      <c r="E531" t="s">
        <v>3671</v>
      </c>
      <c r="F531">
        <v>53</v>
      </c>
      <c r="G531" t="s">
        <v>3673</v>
      </c>
      <c r="H531" t="s">
        <v>3673</v>
      </c>
      <c r="I531" t="s">
        <v>3691</v>
      </c>
      <c r="J531" t="s">
        <v>3693</v>
      </c>
      <c r="K531" t="s">
        <v>3696</v>
      </c>
      <c r="L531">
        <v>4</v>
      </c>
      <c r="M531">
        <v>58000</v>
      </c>
      <c r="N531" t="s">
        <v>3701</v>
      </c>
      <c r="O531" t="s">
        <v>3707</v>
      </c>
    </row>
    <row r="532" spans="1:15" x14ac:dyDescent="0.35">
      <c r="A532" t="s">
        <v>545</v>
      </c>
      <c r="B532" t="s">
        <v>1268</v>
      </c>
      <c r="C532" t="s">
        <v>2194</v>
      </c>
      <c r="D532" t="s">
        <v>3012</v>
      </c>
      <c r="E532" t="s">
        <v>3671</v>
      </c>
      <c r="F532">
        <v>28</v>
      </c>
      <c r="G532" t="s">
        <v>3673</v>
      </c>
      <c r="H532" t="s">
        <v>3673</v>
      </c>
      <c r="I532" t="s">
        <v>3685</v>
      </c>
      <c r="J532" t="s">
        <v>3692</v>
      </c>
      <c r="K532" t="s">
        <v>3695</v>
      </c>
      <c r="L532">
        <v>4</v>
      </c>
      <c r="M532">
        <v>12000</v>
      </c>
      <c r="N532" t="s">
        <v>3704</v>
      </c>
      <c r="O532" t="s">
        <v>3707</v>
      </c>
    </row>
    <row r="533" spans="1:15" x14ac:dyDescent="0.35">
      <c r="A533" t="s">
        <v>546</v>
      </c>
      <c r="B533" t="s">
        <v>1521</v>
      </c>
      <c r="C533" t="s">
        <v>1924</v>
      </c>
      <c r="D533" t="s">
        <v>3013</v>
      </c>
      <c r="E533" t="s">
        <v>3671</v>
      </c>
      <c r="F533">
        <v>28</v>
      </c>
      <c r="G533" t="s">
        <v>3674</v>
      </c>
      <c r="H533" t="s">
        <v>3680</v>
      </c>
      <c r="I533" t="s">
        <v>3690</v>
      </c>
      <c r="J533" t="s">
        <v>3693</v>
      </c>
      <c r="K533" t="s">
        <v>3700</v>
      </c>
      <c r="L533">
        <v>2</v>
      </c>
      <c r="M533">
        <v>72000</v>
      </c>
      <c r="N533" t="s">
        <v>3701</v>
      </c>
      <c r="O533" t="s">
        <v>3706</v>
      </c>
    </row>
    <row r="534" spans="1:15" x14ac:dyDescent="0.35">
      <c r="A534" t="s">
        <v>547</v>
      </c>
      <c r="B534" t="s">
        <v>1582</v>
      </c>
      <c r="C534" t="s">
        <v>2195</v>
      </c>
      <c r="D534" t="s">
        <v>3014</v>
      </c>
      <c r="E534" t="s">
        <v>3672</v>
      </c>
      <c r="F534">
        <v>40</v>
      </c>
      <c r="G534" t="s">
        <v>3678</v>
      </c>
      <c r="H534" t="s">
        <v>3683</v>
      </c>
      <c r="I534" t="s">
        <v>3689</v>
      </c>
      <c r="J534" t="s">
        <v>3694</v>
      </c>
      <c r="K534" t="s">
        <v>3699</v>
      </c>
      <c r="L534">
        <v>5</v>
      </c>
      <c r="M534">
        <v>1800</v>
      </c>
      <c r="N534" t="s">
        <v>3701</v>
      </c>
      <c r="O534" t="s">
        <v>3707</v>
      </c>
    </row>
    <row r="535" spans="1:15" x14ac:dyDescent="0.35">
      <c r="A535" t="s">
        <v>548</v>
      </c>
      <c r="B535" t="s">
        <v>1583</v>
      </c>
      <c r="C535" t="s">
        <v>2196</v>
      </c>
      <c r="D535" t="s">
        <v>3015</v>
      </c>
      <c r="E535" t="s">
        <v>3671</v>
      </c>
      <c r="F535">
        <v>42</v>
      </c>
      <c r="G535" t="s">
        <v>3675</v>
      </c>
      <c r="H535" t="s">
        <v>3681</v>
      </c>
      <c r="I535" t="s">
        <v>3685</v>
      </c>
      <c r="J535" t="s">
        <v>3692</v>
      </c>
      <c r="K535" t="s">
        <v>3695</v>
      </c>
      <c r="L535">
        <v>2</v>
      </c>
      <c r="M535">
        <v>12000</v>
      </c>
      <c r="N535" t="s">
        <v>3703</v>
      </c>
      <c r="O535" t="s">
        <v>3707</v>
      </c>
    </row>
    <row r="536" spans="1:15" x14ac:dyDescent="0.35">
      <c r="A536" t="s">
        <v>549</v>
      </c>
      <c r="B536" t="s">
        <v>1387</v>
      </c>
      <c r="C536" t="s">
        <v>2197</v>
      </c>
      <c r="D536" t="s">
        <v>3016</v>
      </c>
      <c r="E536" t="s">
        <v>3671</v>
      </c>
      <c r="F536">
        <v>29</v>
      </c>
      <c r="G536" t="s">
        <v>3677</v>
      </c>
      <c r="H536" t="s">
        <v>3680</v>
      </c>
      <c r="I536" t="s">
        <v>3688</v>
      </c>
      <c r="J536" t="s">
        <v>3694</v>
      </c>
      <c r="K536" t="s">
        <v>3698</v>
      </c>
      <c r="L536">
        <v>2</v>
      </c>
      <c r="M536">
        <v>4500</v>
      </c>
      <c r="N536" t="s">
        <v>3701</v>
      </c>
      <c r="O536" t="s">
        <v>3706</v>
      </c>
    </row>
    <row r="537" spans="1:15" x14ac:dyDescent="0.35">
      <c r="A537" t="s">
        <v>550</v>
      </c>
      <c r="B537" t="s">
        <v>1584</v>
      </c>
      <c r="C537" t="s">
        <v>2198</v>
      </c>
      <c r="D537" t="s">
        <v>3017</v>
      </c>
      <c r="E537" t="s">
        <v>3672</v>
      </c>
      <c r="F537">
        <v>42</v>
      </c>
      <c r="G537" t="s">
        <v>3673</v>
      </c>
      <c r="H537" t="s">
        <v>3673</v>
      </c>
      <c r="I537" t="s">
        <v>3687</v>
      </c>
      <c r="J537" t="s">
        <v>3693</v>
      </c>
      <c r="K537" t="s">
        <v>3697</v>
      </c>
      <c r="L537">
        <v>3</v>
      </c>
      <c r="M537">
        <v>5000</v>
      </c>
      <c r="N537" t="s">
        <v>3701</v>
      </c>
      <c r="O537" t="s">
        <v>3705</v>
      </c>
    </row>
    <row r="538" spans="1:15" x14ac:dyDescent="0.35">
      <c r="A538" t="s">
        <v>551</v>
      </c>
      <c r="B538" t="s">
        <v>1543</v>
      </c>
      <c r="C538" t="s">
        <v>2179</v>
      </c>
      <c r="D538" t="s">
        <v>3018</v>
      </c>
      <c r="E538" t="s">
        <v>3671</v>
      </c>
      <c r="F538">
        <v>42</v>
      </c>
      <c r="G538" t="s">
        <v>3676</v>
      </c>
      <c r="H538" t="s">
        <v>3682</v>
      </c>
      <c r="I538" t="s">
        <v>3689</v>
      </c>
      <c r="J538" t="s">
        <v>3694</v>
      </c>
      <c r="K538" t="s">
        <v>3699</v>
      </c>
      <c r="L538">
        <v>3</v>
      </c>
      <c r="M538">
        <v>1800</v>
      </c>
      <c r="N538" t="s">
        <v>3704</v>
      </c>
      <c r="O538" t="s">
        <v>3706</v>
      </c>
    </row>
    <row r="539" spans="1:15" x14ac:dyDescent="0.35">
      <c r="A539" t="s">
        <v>552</v>
      </c>
      <c r="B539" t="s">
        <v>1585</v>
      </c>
      <c r="C539" t="s">
        <v>2091</v>
      </c>
      <c r="D539" t="s">
        <v>3019</v>
      </c>
      <c r="E539" t="s">
        <v>3672</v>
      </c>
      <c r="F539">
        <v>20</v>
      </c>
      <c r="G539" t="s">
        <v>3674</v>
      </c>
      <c r="H539" t="s">
        <v>3680</v>
      </c>
      <c r="I539" t="s">
        <v>3690</v>
      </c>
      <c r="J539" t="s">
        <v>3693</v>
      </c>
      <c r="K539" t="s">
        <v>3700</v>
      </c>
      <c r="L539">
        <v>2</v>
      </c>
      <c r="M539">
        <v>72000</v>
      </c>
      <c r="N539" t="s">
        <v>3704</v>
      </c>
      <c r="O539" t="s">
        <v>3707</v>
      </c>
    </row>
    <row r="540" spans="1:15" x14ac:dyDescent="0.35">
      <c r="A540" t="s">
        <v>553</v>
      </c>
      <c r="B540" t="s">
        <v>1586</v>
      </c>
      <c r="C540" t="s">
        <v>2199</v>
      </c>
      <c r="D540" t="s">
        <v>3020</v>
      </c>
      <c r="E540" t="s">
        <v>3671</v>
      </c>
      <c r="F540">
        <v>19</v>
      </c>
      <c r="G540" t="s">
        <v>3677</v>
      </c>
      <c r="H540" t="s">
        <v>3680</v>
      </c>
      <c r="I540" t="s">
        <v>3685</v>
      </c>
      <c r="J540" t="s">
        <v>3692</v>
      </c>
      <c r="K540" t="s">
        <v>3695</v>
      </c>
      <c r="L540">
        <v>1</v>
      </c>
      <c r="M540">
        <v>12000</v>
      </c>
      <c r="N540" t="s">
        <v>3704</v>
      </c>
      <c r="O540" t="s">
        <v>3705</v>
      </c>
    </row>
    <row r="541" spans="1:15" x14ac:dyDescent="0.35">
      <c r="A541" t="s">
        <v>554</v>
      </c>
      <c r="B541" t="s">
        <v>1587</v>
      </c>
      <c r="C541" t="s">
        <v>1926</v>
      </c>
      <c r="D541" t="s">
        <v>3021</v>
      </c>
      <c r="E541" t="s">
        <v>3671</v>
      </c>
      <c r="F541">
        <v>28</v>
      </c>
      <c r="G541" t="s">
        <v>3679</v>
      </c>
      <c r="H541" t="s">
        <v>3684</v>
      </c>
      <c r="I541" t="s">
        <v>3685</v>
      </c>
      <c r="J541" t="s">
        <v>3692</v>
      </c>
      <c r="K541" t="s">
        <v>3695</v>
      </c>
      <c r="L541">
        <v>2</v>
      </c>
      <c r="M541">
        <v>12000</v>
      </c>
      <c r="N541" t="s">
        <v>3702</v>
      </c>
      <c r="O541" t="s">
        <v>3705</v>
      </c>
    </row>
    <row r="542" spans="1:15" x14ac:dyDescent="0.35">
      <c r="A542" t="s">
        <v>555</v>
      </c>
      <c r="B542" t="s">
        <v>1588</v>
      </c>
      <c r="C542" t="s">
        <v>1805</v>
      </c>
      <c r="D542" t="s">
        <v>3022</v>
      </c>
      <c r="E542" t="s">
        <v>3672</v>
      </c>
      <c r="F542">
        <v>19</v>
      </c>
      <c r="G542" t="s">
        <v>3675</v>
      </c>
      <c r="H542" t="s">
        <v>3681</v>
      </c>
      <c r="I542" t="s">
        <v>3685</v>
      </c>
      <c r="J542" t="s">
        <v>3692</v>
      </c>
      <c r="K542" t="s">
        <v>3695</v>
      </c>
      <c r="L542">
        <v>5</v>
      </c>
      <c r="M542">
        <v>12000</v>
      </c>
      <c r="N542" t="s">
        <v>3702</v>
      </c>
      <c r="O542" t="s">
        <v>3707</v>
      </c>
    </row>
    <row r="543" spans="1:15" x14ac:dyDescent="0.35">
      <c r="A543" t="s">
        <v>556</v>
      </c>
      <c r="B543" t="s">
        <v>1589</v>
      </c>
      <c r="C543" t="s">
        <v>2200</v>
      </c>
      <c r="D543" t="s">
        <v>3023</v>
      </c>
      <c r="E543" t="s">
        <v>3672</v>
      </c>
      <c r="F543">
        <v>34</v>
      </c>
      <c r="G543" t="s">
        <v>3678</v>
      </c>
      <c r="H543" t="s">
        <v>3683</v>
      </c>
      <c r="I543" t="s">
        <v>3687</v>
      </c>
      <c r="J543" t="s">
        <v>3693</v>
      </c>
      <c r="K543" t="s">
        <v>3697</v>
      </c>
      <c r="L543">
        <v>5</v>
      </c>
      <c r="M543">
        <v>5000</v>
      </c>
      <c r="N543" t="s">
        <v>3702</v>
      </c>
      <c r="O543" t="s">
        <v>3705</v>
      </c>
    </row>
    <row r="544" spans="1:15" x14ac:dyDescent="0.35">
      <c r="A544" t="s">
        <v>557</v>
      </c>
      <c r="B544" t="s">
        <v>1590</v>
      </c>
      <c r="C544" t="s">
        <v>2201</v>
      </c>
      <c r="D544" t="s">
        <v>3024</v>
      </c>
      <c r="E544" t="s">
        <v>3672</v>
      </c>
      <c r="F544">
        <v>24</v>
      </c>
      <c r="G544" t="s">
        <v>3673</v>
      </c>
      <c r="H544" t="s">
        <v>3673</v>
      </c>
      <c r="I544" t="s">
        <v>3690</v>
      </c>
      <c r="J544" t="s">
        <v>3693</v>
      </c>
      <c r="K544" t="s">
        <v>3700</v>
      </c>
      <c r="L544">
        <v>4</v>
      </c>
      <c r="M544">
        <v>72000</v>
      </c>
      <c r="N544" t="s">
        <v>3703</v>
      </c>
      <c r="O544" t="s">
        <v>3705</v>
      </c>
    </row>
    <row r="545" spans="1:15" x14ac:dyDescent="0.35">
      <c r="A545" t="s">
        <v>558</v>
      </c>
      <c r="B545" t="s">
        <v>1591</v>
      </c>
      <c r="C545" t="s">
        <v>2202</v>
      </c>
      <c r="D545" t="s">
        <v>3025</v>
      </c>
      <c r="E545" t="s">
        <v>3671</v>
      </c>
      <c r="F545">
        <v>36</v>
      </c>
      <c r="G545" t="s">
        <v>3679</v>
      </c>
      <c r="H545" t="s">
        <v>3684</v>
      </c>
      <c r="I545" t="s">
        <v>3688</v>
      </c>
      <c r="J545" t="s">
        <v>3694</v>
      </c>
      <c r="K545" t="s">
        <v>3698</v>
      </c>
      <c r="L545">
        <v>1</v>
      </c>
      <c r="M545">
        <v>4500</v>
      </c>
      <c r="N545" t="s">
        <v>3701</v>
      </c>
      <c r="O545" t="s">
        <v>3707</v>
      </c>
    </row>
    <row r="546" spans="1:15" x14ac:dyDescent="0.35">
      <c r="A546" t="s">
        <v>559</v>
      </c>
      <c r="B546" t="s">
        <v>1321</v>
      </c>
      <c r="C546" t="s">
        <v>2203</v>
      </c>
      <c r="D546" t="s">
        <v>3026</v>
      </c>
      <c r="E546" t="s">
        <v>3672</v>
      </c>
      <c r="F546">
        <v>32</v>
      </c>
      <c r="G546" t="s">
        <v>3678</v>
      </c>
      <c r="H546" t="s">
        <v>3683</v>
      </c>
      <c r="I546" t="s">
        <v>3688</v>
      </c>
      <c r="J546" t="s">
        <v>3694</v>
      </c>
      <c r="K546" t="s">
        <v>3698</v>
      </c>
      <c r="L546">
        <v>4</v>
      </c>
      <c r="M546">
        <v>4500</v>
      </c>
      <c r="N546" t="s">
        <v>3702</v>
      </c>
      <c r="O546" t="s">
        <v>3706</v>
      </c>
    </row>
    <row r="547" spans="1:15" x14ac:dyDescent="0.35">
      <c r="A547" t="s">
        <v>560</v>
      </c>
      <c r="B547" t="s">
        <v>1592</v>
      </c>
      <c r="C547" t="s">
        <v>2204</v>
      </c>
      <c r="D547" t="s">
        <v>3027</v>
      </c>
      <c r="E547" t="s">
        <v>3671</v>
      </c>
      <c r="F547">
        <v>54</v>
      </c>
      <c r="G547" t="s">
        <v>3679</v>
      </c>
      <c r="H547" t="s">
        <v>3684</v>
      </c>
      <c r="I547" t="s">
        <v>3686</v>
      </c>
      <c r="J547" t="s">
        <v>3693</v>
      </c>
      <c r="K547" t="s">
        <v>3696</v>
      </c>
      <c r="L547">
        <v>4</v>
      </c>
      <c r="M547">
        <v>65000</v>
      </c>
      <c r="N547" t="s">
        <v>3702</v>
      </c>
      <c r="O547" t="s">
        <v>3706</v>
      </c>
    </row>
    <row r="548" spans="1:15" x14ac:dyDescent="0.35">
      <c r="A548" t="s">
        <v>561</v>
      </c>
      <c r="B548" t="s">
        <v>1564</v>
      </c>
      <c r="C548" t="s">
        <v>2102</v>
      </c>
      <c r="D548" t="s">
        <v>3028</v>
      </c>
      <c r="E548" t="s">
        <v>3672</v>
      </c>
      <c r="F548">
        <v>52</v>
      </c>
      <c r="G548" t="s">
        <v>3676</v>
      </c>
      <c r="H548" t="s">
        <v>3682</v>
      </c>
      <c r="I548" t="s">
        <v>3689</v>
      </c>
      <c r="J548" t="s">
        <v>3694</v>
      </c>
      <c r="K548" t="s">
        <v>3699</v>
      </c>
      <c r="L548">
        <v>5</v>
      </c>
      <c r="M548">
        <v>1800</v>
      </c>
      <c r="N548" t="s">
        <v>3701</v>
      </c>
      <c r="O548" t="s">
        <v>3706</v>
      </c>
    </row>
    <row r="549" spans="1:15" x14ac:dyDescent="0.35">
      <c r="A549" t="s">
        <v>562</v>
      </c>
      <c r="B549" t="s">
        <v>1384</v>
      </c>
      <c r="C549" t="s">
        <v>2067</v>
      </c>
      <c r="D549" t="s">
        <v>3029</v>
      </c>
      <c r="E549" t="s">
        <v>3672</v>
      </c>
      <c r="F549">
        <v>30</v>
      </c>
      <c r="G549" t="s">
        <v>3674</v>
      </c>
      <c r="H549" t="s">
        <v>3680</v>
      </c>
      <c r="I549" t="s">
        <v>3688</v>
      </c>
      <c r="J549" t="s">
        <v>3694</v>
      </c>
      <c r="K549" t="s">
        <v>3698</v>
      </c>
      <c r="L549">
        <v>4</v>
      </c>
      <c r="M549">
        <v>4500</v>
      </c>
      <c r="N549" t="s">
        <v>3702</v>
      </c>
      <c r="O549" t="s">
        <v>3706</v>
      </c>
    </row>
    <row r="550" spans="1:15" x14ac:dyDescent="0.35">
      <c r="A550" t="s">
        <v>563</v>
      </c>
      <c r="B550" t="s">
        <v>1593</v>
      </c>
      <c r="C550" t="s">
        <v>2205</v>
      </c>
      <c r="D550" t="s">
        <v>3030</v>
      </c>
      <c r="E550" t="s">
        <v>3671</v>
      </c>
      <c r="F550">
        <v>33</v>
      </c>
      <c r="G550" t="s">
        <v>3674</v>
      </c>
      <c r="H550" t="s">
        <v>3680</v>
      </c>
      <c r="I550" t="s">
        <v>3689</v>
      </c>
      <c r="J550" t="s">
        <v>3694</v>
      </c>
      <c r="K550" t="s">
        <v>3699</v>
      </c>
      <c r="L550">
        <v>2</v>
      </c>
      <c r="M550">
        <v>1800</v>
      </c>
      <c r="N550" t="s">
        <v>3704</v>
      </c>
      <c r="O550" t="s">
        <v>3705</v>
      </c>
    </row>
    <row r="551" spans="1:15" x14ac:dyDescent="0.35">
      <c r="A551" t="s">
        <v>564</v>
      </c>
      <c r="B551" t="s">
        <v>1286</v>
      </c>
      <c r="C551" t="s">
        <v>2206</v>
      </c>
      <c r="D551" t="s">
        <v>3031</v>
      </c>
      <c r="E551" t="s">
        <v>3671</v>
      </c>
      <c r="F551">
        <v>47</v>
      </c>
      <c r="G551" t="s">
        <v>3677</v>
      </c>
      <c r="H551" t="s">
        <v>3680</v>
      </c>
      <c r="I551" t="s">
        <v>3687</v>
      </c>
      <c r="J551" t="s">
        <v>3693</v>
      </c>
      <c r="K551" t="s">
        <v>3697</v>
      </c>
      <c r="L551">
        <v>5</v>
      </c>
      <c r="M551">
        <v>5000</v>
      </c>
      <c r="N551" t="s">
        <v>3702</v>
      </c>
      <c r="O551" t="s">
        <v>3706</v>
      </c>
    </row>
    <row r="552" spans="1:15" x14ac:dyDescent="0.35">
      <c r="A552" t="s">
        <v>565</v>
      </c>
      <c r="B552" t="s">
        <v>1240</v>
      </c>
      <c r="C552" t="s">
        <v>2207</v>
      </c>
      <c r="D552" t="s">
        <v>3032</v>
      </c>
      <c r="E552" t="s">
        <v>3671</v>
      </c>
      <c r="F552">
        <v>48</v>
      </c>
      <c r="G552" t="s">
        <v>3675</v>
      </c>
      <c r="H552" t="s">
        <v>3681</v>
      </c>
      <c r="I552" t="s">
        <v>3688</v>
      </c>
      <c r="J552" t="s">
        <v>3694</v>
      </c>
      <c r="K552" t="s">
        <v>3698</v>
      </c>
      <c r="L552">
        <v>5</v>
      </c>
      <c r="M552">
        <v>4500</v>
      </c>
      <c r="N552" t="s">
        <v>3702</v>
      </c>
      <c r="O552" t="s">
        <v>3705</v>
      </c>
    </row>
    <row r="553" spans="1:15" x14ac:dyDescent="0.35">
      <c r="A553" t="s">
        <v>566</v>
      </c>
      <c r="B553" t="s">
        <v>1503</v>
      </c>
      <c r="C553" t="s">
        <v>1962</v>
      </c>
      <c r="D553" t="s">
        <v>3033</v>
      </c>
      <c r="E553" t="s">
        <v>3672</v>
      </c>
      <c r="F553">
        <v>60</v>
      </c>
      <c r="G553" t="s">
        <v>3676</v>
      </c>
      <c r="H553" t="s">
        <v>3682</v>
      </c>
      <c r="I553" t="s">
        <v>3689</v>
      </c>
      <c r="J553" t="s">
        <v>3694</v>
      </c>
      <c r="K553" t="s">
        <v>3699</v>
      </c>
      <c r="L553">
        <v>4</v>
      </c>
      <c r="M553">
        <v>1800</v>
      </c>
      <c r="N553" t="s">
        <v>3704</v>
      </c>
      <c r="O553" t="s">
        <v>3706</v>
      </c>
    </row>
    <row r="554" spans="1:15" x14ac:dyDescent="0.35">
      <c r="A554" t="s">
        <v>567</v>
      </c>
      <c r="B554" t="s">
        <v>1376</v>
      </c>
      <c r="C554" t="s">
        <v>2208</v>
      </c>
      <c r="D554" t="s">
        <v>3034</v>
      </c>
      <c r="E554" t="s">
        <v>3672</v>
      </c>
      <c r="F554">
        <v>20</v>
      </c>
      <c r="G554" t="s">
        <v>3674</v>
      </c>
      <c r="H554" t="s">
        <v>3680</v>
      </c>
      <c r="I554" t="s">
        <v>3690</v>
      </c>
      <c r="J554" t="s">
        <v>3693</v>
      </c>
      <c r="K554" t="s">
        <v>3700</v>
      </c>
      <c r="L554">
        <v>5</v>
      </c>
      <c r="M554">
        <v>72000</v>
      </c>
      <c r="N554" t="s">
        <v>3704</v>
      </c>
      <c r="O554" t="s">
        <v>3706</v>
      </c>
    </row>
    <row r="555" spans="1:15" x14ac:dyDescent="0.35">
      <c r="A555" t="s">
        <v>568</v>
      </c>
      <c r="B555" t="s">
        <v>1594</v>
      </c>
      <c r="C555" t="s">
        <v>2209</v>
      </c>
      <c r="D555" t="s">
        <v>3035</v>
      </c>
      <c r="E555" t="s">
        <v>3672</v>
      </c>
      <c r="F555">
        <v>59</v>
      </c>
      <c r="G555" t="s">
        <v>3677</v>
      </c>
      <c r="H555" t="s">
        <v>3680</v>
      </c>
      <c r="I555" t="s">
        <v>3689</v>
      </c>
      <c r="J555" t="s">
        <v>3694</v>
      </c>
      <c r="K555" t="s">
        <v>3699</v>
      </c>
      <c r="L555">
        <v>2</v>
      </c>
      <c r="M555">
        <v>1800</v>
      </c>
      <c r="N555" t="s">
        <v>3701</v>
      </c>
      <c r="O555" t="s">
        <v>3707</v>
      </c>
    </row>
    <row r="556" spans="1:15" x14ac:dyDescent="0.35">
      <c r="A556" t="s">
        <v>569</v>
      </c>
      <c r="B556" t="s">
        <v>1391</v>
      </c>
      <c r="C556" t="s">
        <v>2210</v>
      </c>
      <c r="D556" t="s">
        <v>3036</v>
      </c>
      <c r="E556" t="s">
        <v>3671</v>
      </c>
      <c r="F556">
        <v>24</v>
      </c>
      <c r="G556" t="s">
        <v>3674</v>
      </c>
      <c r="H556" t="s">
        <v>3680</v>
      </c>
      <c r="I556" t="s">
        <v>3691</v>
      </c>
      <c r="J556" t="s">
        <v>3693</v>
      </c>
      <c r="K556" t="s">
        <v>3696</v>
      </c>
      <c r="L556">
        <v>5</v>
      </c>
      <c r="M556">
        <v>58000</v>
      </c>
      <c r="N556" t="s">
        <v>3703</v>
      </c>
      <c r="O556" t="s">
        <v>3707</v>
      </c>
    </row>
    <row r="557" spans="1:15" x14ac:dyDescent="0.35">
      <c r="A557" t="s">
        <v>570</v>
      </c>
      <c r="B557" t="s">
        <v>1595</v>
      </c>
      <c r="C557" t="s">
        <v>2211</v>
      </c>
      <c r="D557" t="s">
        <v>3037</v>
      </c>
      <c r="E557" t="s">
        <v>3671</v>
      </c>
      <c r="F557">
        <v>32</v>
      </c>
      <c r="G557" t="s">
        <v>3679</v>
      </c>
      <c r="H557" t="s">
        <v>3684</v>
      </c>
      <c r="I557" t="s">
        <v>3688</v>
      </c>
      <c r="J557" t="s">
        <v>3694</v>
      </c>
      <c r="K557" t="s">
        <v>3698</v>
      </c>
      <c r="L557">
        <v>1</v>
      </c>
      <c r="M557">
        <v>4500</v>
      </c>
      <c r="N557" t="s">
        <v>3701</v>
      </c>
      <c r="O557" t="s">
        <v>3706</v>
      </c>
    </row>
    <row r="558" spans="1:15" x14ac:dyDescent="0.35">
      <c r="A558" t="s">
        <v>571</v>
      </c>
      <c r="B558" t="s">
        <v>1596</v>
      </c>
      <c r="C558" t="s">
        <v>2212</v>
      </c>
      <c r="D558" t="s">
        <v>3038</v>
      </c>
      <c r="E558" t="s">
        <v>3672</v>
      </c>
      <c r="F558">
        <v>27</v>
      </c>
      <c r="G558" t="s">
        <v>3676</v>
      </c>
      <c r="H558" t="s">
        <v>3682</v>
      </c>
      <c r="I558" t="s">
        <v>3686</v>
      </c>
      <c r="J558" t="s">
        <v>3693</v>
      </c>
      <c r="K558" t="s">
        <v>3696</v>
      </c>
      <c r="L558">
        <v>3</v>
      </c>
      <c r="M558">
        <v>65000</v>
      </c>
      <c r="N558" t="s">
        <v>3704</v>
      </c>
      <c r="O558" t="s">
        <v>3706</v>
      </c>
    </row>
    <row r="559" spans="1:15" x14ac:dyDescent="0.35">
      <c r="A559" t="s">
        <v>572</v>
      </c>
      <c r="B559" t="s">
        <v>1535</v>
      </c>
      <c r="C559" t="s">
        <v>2213</v>
      </c>
      <c r="D559" t="s">
        <v>3039</v>
      </c>
      <c r="E559" t="s">
        <v>3672</v>
      </c>
      <c r="F559">
        <v>43</v>
      </c>
      <c r="G559" t="s">
        <v>3675</v>
      </c>
      <c r="H559" t="s">
        <v>3681</v>
      </c>
      <c r="I559" t="s">
        <v>3689</v>
      </c>
      <c r="J559" t="s">
        <v>3694</v>
      </c>
      <c r="K559" t="s">
        <v>3699</v>
      </c>
      <c r="L559">
        <v>2</v>
      </c>
      <c r="M559">
        <v>1800</v>
      </c>
      <c r="N559" t="s">
        <v>3702</v>
      </c>
      <c r="O559" t="s">
        <v>3705</v>
      </c>
    </row>
    <row r="560" spans="1:15" x14ac:dyDescent="0.35">
      <c r="A560" t="s">
        <v>573</v>
      </c>
      <c r="B560" t="s">
        <v>1597</v>
      </c>
      <c r="C560" t="s">
        <v>1939</v>
      </c>
      <c r="D560" t="s">
        <v>3040</v>
      </c>
      <c r="E560" t="s">
        <v>3672</v>
      </c>
      <c r="F560">
        <v>54</v>
      </c>
      <c r="G560" t="s">
        <v>3678</v>
      </c>
      <c r="H560" t="s">
        <v>3683</v>
      </c>
      <c r="I560" t="s">
        <v>3688</v>
      </c>
      <c r="J560" t="s">
        <v>3694</v>
      </c>
      <c r="K560" t="s">
        <v>3698</v>
      </c>
      <c r="L560">
        <v>2</v>
      </c>
      <c r="M560">
        <v>4500</v>
      </c>
      <c r="N560" t="s">
        <v>3703</v>
      </c>
      <c r="O560" t="s">
        <v>3705</v>
      </c>
    </row>
    <row r="561" spans="1:15" x14ac:dyDescent="0.35">
      <c r="A561" t="s">
        <v>574</v>
      </c>
      <c r="B561" t="s">
        <v>1525</v>
      </c>
      <c r="C561" t="s">
        <v>1813</v>
      </c>
      <c r="D561" t="s">
        <v>3041</v>
      </c>
      <c r="E561" t="s">
        <v>3671</v>
      </c>
      <c r="F561">
        <v>27</v>
      </c>
      <c r="G561" t="s">
        <v>3673</v>
      </c>
      <c r="H561" t="s">
        <v>3673</v>
      </c>
      <c r="I561" t="s">
        <v>3688</v>
      </c>
      <c r="J561" t="s">
        <v>3694</v>
      </c>
      <c r="K561" t="s">
        <v>3698</v>
      </c>
      <c r="L561">
        <v>2</v>
      </c>
      <c r="M561">
        <v>4500</v>
      </c>
      <c r="N561" t="s">
        <v>3702</v>
      </c>
      <c r="O561" t="s">
        <v>3705</v>
      </c>
    </row>
    <row r="562" spans="1:15" x14ac:dyDescent="0.35">
      <c r="A562" t="s">
        <v>575</v>
      </c>
      <c r="B562" t="s">
        <v>1311</v>
      </c>
      <c r="C562" t="s">
        <v>2214</v>
      </c>
      <c r="D562" t="s">
        <v>3042</v>
      </c>
      <c r="E562" t="s">
        <v>3672</v>
      </c>
      <c r="F562">
        <v>39</v>
      </c>
      <c r="G562" t="s">
        <v>3676</v>
      </c>
      <c r="H562" t="s">
        <v>3682</v>
      </c>
      <c r="I562" t="s">
        <v>3689</v>
      </c>
      <c r="J562" t="s">
        <v>3694</v>
      </c>
      <c r="K562" t="s">
        <v>3699</v>
      </c>
      <c r="L562">
        <v>3</v>
      </c>
      <c r="M562">
        <v>1800</v>
      </c>
      <c r="N562" t="s">
        <v>3704</v>
      </c>
      <c r="O562" t="s">
        <v>3707</v>
      </c>
    </row>
    <row r="563" spans="1:15" x14ac:dyDescent="0.35">
      <c r="A563" t="s">
        <v>576</v>
      </c>
      <c r="B563" t="s">
        <v>1598</v>
      </c>
      <c r="C563" t="s">
        <v>2215</v>
      </c>
      <c r="D563" t="s">
        <v>3043</v>
      </c>
      <c r="E563" t="s">
        <v>3671</v>
      </c>
      <c r="F563">
        <v>53</v>
      </c>
      <c r="G563" t="s">
        <v>3677</v>
      </c>
      <c r="H563" t="s">
        <v>3680</v>
      </c>
      <c r="I563" t="s">
        <v>3686</v>
      </c>
      <c r="J563" t="s">
        <v>3693</v>
      </c>
      <c r="K563" t="s">
        <v>3696</v>
      </c>
      <c r="L563">
        <v>5</v>
      </c>
      <c r="M563">
        <v>65000</v>
      </c>
      <c r="N563" t="s">
        <v>3703</v>
      </c>
      <c r="O563" t="s">
        <v>3707</v>
      </c>
    </row>
    <row r="564" spans="1:15" x14ac:dyDescent="0.35">
      <c r="A564" t="s">
        <v>577</v>
      </c>
      <c r="B564" t="s">
        <v>1599</v>
      </c>
      <c r="C564" t="s">
        <v>2216</v>
      </c>
      <c r="D564" t="s">
        <v>3044</v>
      </c>
      <c r="E564" t="s">
        <v>3672</v>
      </c>
      <c r="F564">
        <v>21</v>
      </c>
      <c r="G564" t="s">
        <v>3676</v>
      </c>
      <c r="H564" t="s">
        <v>3682</v>
      </c>
      <c r="I564" t="s">
        <v>3686</v>
      </c>
      <c r="J564" t="s">
        <v>3693</v>
      </c>
      <c r="K564" t="s">
        <v>3696</v>
      </c>
      <c r="L564">
        <v>3</v>
      </c>
      <c r="M564">
        <v>65000</v>
      </c>
      <c r="N564" t="s">
        <v>3704</v>
      </c>
      <c r="O564" t="s">
        <v>3705</v>
      </c>
    </row>
    <row r="565" spans="1:15" x14ac:dyDescent="0.35">
      <c r="A565" t="s">
        <v>578</v>
      </c>
      <c r="B565" t="s">
        <v>1580</v>
      </c>
      <c r="C565" t="s">
        <v>1838</v>
      </c>
      <c r="D565" t="s">
        <v>3045</v>
      </c>
      <c r="E565" t="s">
        <v>3671</v>
      </c>
      <c r="F565">
        <v>44</v>
      </c>
      <c r="G565" t="s">
        <v>3673</v>
      </c>
      <c r="H565" t="s">
        <v>3673</v>
      </c>
      <c r="I565" t="s">
        <v>3686</v>
      </c>
      <c r="J565" t="s">
        <v>3693</v>
      </c>
      <c r="K565" t="s">
        <v>3696</v>
      </c>
      <c r="L565">
        <v>5</v>
      </c>
      <c r="M565">
        <v>65000</v>
      </c>
      <c r="N565" t="s">
        <v>3704</v>
      </c>
      <c r="O565" t="s">
        <v>3706</v>
      </c>
    </row>
    <row r="566" spans="1:15" x14ac:dyDescent="0.35">
      <c r="A566" t="s">
        <v>579</v>
      </c>
      <c r="B566" t="s">
        <v>1574</v>
      </c>
      <c r="C566" t="s">
        <v>1921</v>
      </c>
      <c r="D566" t="s">
        <v>3046</v>
      </c>
      <c r="E566" t="s">
        <v>3672</v>
      </c>
      <c r="F566">
        <v>20</v>
      </c>
      <c r="G566" t="s">
        <v>3674</v>
      </c>
      <c r="H566" t="s">
        <v>3680</v>
      </c>
      <c r="I566" t="s">
        <v>3686</v>
      </c>
      <c r="J566" t="s">
        <v>3693</v>
      </c>
      <c r="K566" t="s">
        <v>3696</v>
      </c>
      <c r="L566">
        <v>2</v>
      </c>
      <c r="M566">
        <v>65000</v>
      </c>
      <c r="N566" t="s">
        <v>3701</v>
      </c>
      <c r="O566" t="s">
        <v>3706</v>
      </c>
    </row>
    <row r="567" spans="1:15" x14ac:dyDescent="0.35">
      <c r="A567" t="s">
        <v>580</v>
      </c>
      <c r="B567" t="s">
        <v>1334</v>
      </c>
      <c r="C567" t="s">
        <v>2217</v>
      </c>
      <c r="D567" t="s">
        <v>3047</v>
      </c>
      <c r="E567" t="s">
        <v>3672</v>
      </c>
      <c r="F567">
        <v>58</v>
      </c>
      <c r="G567" t="s">
        <v>3678</v>
      </c>
      <c r="H567" t="s">
        <v>3683</v>
      </c>
      <c r="I567" t="s">
        <v>3687</v>
      </c>
      <c r="J567" t="s">
        <v>3693</v>
      </c>
      <c r="K567" t="s">
        <v>3697</v>
      </c>
      <c r="L567">
        <v>4</v>
      </c>
      <c r="M567">
        <v>5000</v>
      </c>
      <c r="N567" t="s">
        <v>3702</v>
      </c>
      <c r="O567" t="s">
        <v>3707</v>
      </c>
    </row>
    <row r="568" spans="1:15" x14ac:dyDescent="0.35">
      <c r="A568" t="s">
        <v>581</v>
      </c>
      <c r="B568" t="s">
        <v>1600</v>
      </c>
      <c r="C568" t="s">
        <v>1946</v>
      </c>
      <c r="D568" t="s">
        <v>3048</v>
      </c>
      <c r="E568" t="s">
        <v>3672</v>
      </c>
      <c r="F568">
        <v>29</v>
      </c>
      <c r="G568" t="s">
        <v>3674</v>
      </c>
      <c r="H568" t="s">
        <v>3680</v>
      </c>
      <c r="I568" t="s">
        <v>3690</v>
      </c>
      <c r="J568" t="s">
        <v>3693</v>
      </c>
      <c r="K568" t="s">
        <v>3700</v>
      </c>
      <c r="L568">
        <v>1</v>
      </c>
      <c r="M568">
        <v>72000</v>
      </c>
      <c r="N568" t="s">
        <v>3702</v>
      </c>
      <c r="O568" t="s">
        <v>3706</v>
      </c>
    </row>
    <row r="569" spans="1:15" x14ac:dyDescent="0.35">
      <c r="A569" t="s">
        <v>582</v>
      </c>
      <c r="B569" t="s">
        <v>1601</v>
      </c>
      <c r="C569" t="s">
        <v>2218</v>
      </c>
      <c r="D569" t="s">
        <v>3049</v>
      </c>
      <c r="E569" t="s">
        <v>3672</v>
      </c>
      <c r="F569">
        <v>45</v>
      </c>
      <c r="G569" t="s">
        <v>3678</v>
      </c>
      <c r="H569" t="s">
        <v>3683</v>
      </c>
      <c r="I569" t="s">
        <v>3688</v>
      </c>
      <c r="J569" t="s">
        <v>3694</v>
      </c>
      <c r="K569" t="s">
        <v>3698</v>
      </c>
      <c r="L569">
        <v>2</v>
      </c>
      <c r="M569">
        <v>4500</v>
      </c>
      <c r="N569" t="s">
        <v>3703</v>
      </c>
      <c r="O569" t="s">
        <v>3707</v>
      </c>
    </row>
    <row r="570" spans="1:15" x14ac:dyDescent="0.35">
      <c r="A570" t="s">
        <v>583</v>
      </c>
      <c r="B570" t="s">
        <v>1602</v>
      </c>
      <c r="C570" t="s">
        <v>1811</v>
      </c>
      <c r="D570" t="s">
        <v>3050</v>
      </c>
      <c r="E570" t="s">
        <v>3672</v>
      </c>
      <c r="F570">
        <v>38</v>
      </c>
      <c r="G570" t="s">
        <v>3674</v>
      </c>
      <c r="H570" t="s">
        <v>3680</v>
      </c>
      <c r="I570" t="s">
        <v>3691</v>
      </c>
      <c r="J570" t="s">
        <v>3693</v>
      </c>
      <c r="K570" t="s">
        <v>3696</v>
      </c>
      <c r="L570">
        <v>5</v>
      </c>
      <c r="M570">
        <v>58000</v>
      </c>
      <c r="N570" t="s">
        <v>3704</v>
      </c>
      <c r="O570" t="s">
        <v>3707</v>
      </c>
    </row>
    <row r="571" spans="1:15" x14ac:dyDescent="0.35">
      <c r="A571" t="s">
        <v>584</v>
      </c>
      <c r="B571" t="s">
        <v>1603</v>
      </c>
      <c r="C571" t="s">
        <v>2219</v>
      </c>
      <c r="D571" t="s">
        <v>3051</v>
      </c>
      <c r="E571" t="s">
        <v>3672</v>
      </c>
      <c r="F571">
        <v>31</v>
      </c>
      <c r="G571" t="s">
        <v>3679</v>
      </c>
      <c r="H571" t="s">
        <v>3684</v>
      </c>
      <c r="I571" t="s">
        <v>3691</v>
      </c>
      <c r="J571" t="s">
        <v>3693</v>
      </c>
      <c r="K571" t="s">
        <v>3696</v>
      </c>
      <c r="L571">
        <v>5</v>
      </c>
      <c r="M571">
        <v>58000</v>
      </c>
      <c r="N571" t="s">
        <v>3704</v>
      </c>
      <c r="O571" t="s">
        <v>3707</v>
      </c>
    </row>
    <row r="572" spans="1:15" x14ac:dyDescent="0.35">
      <c r="A572" t="s">
        <v>585</v>
      </c>
      <c r="B572" t="s">
        <v>1604</v>
      </c>
      <c r="C572" t="s">
        <v>2132</v>
      </c>
      <c r="D572" t="s">
        <v>3052</v>
      </c>
      <c r="E572" t="s">
        <v>3672</v>
      </c>
      <c r="F572">
        <v>22</v>
      </c>
      <c r="G572" t="s">
        <v>3676</v>
      </c>
      <c r="H572" t="s">
        <v>3682</v>
      </c>
      <c r="I572" t="s">
        <v>3691</v>
      </c>
      <c r="J572" t="s">
        <v>3693</v>
      </c>
      <c r="K572" t="s">
        <v>3696</v>
      </c>
      <c r="L572">
        <v>1</v>
      </c>
      <c r="M572">
        <v>58000</v>
      </c>
      <c r="N572" t="s">
        <v>3703</v>
      </c>
      <c r="O572" t="s">
        <v>3705</v>
      </c>
    </row>
    <row r="573" spans="1:15" x14ac:dyDescent="0.35">
      <c r="A573" t="s">
        <v>586</v>
      </c>
      <c r="B573" t="s">
        <v>1549</v>
      </c>
      <c r="C573" t="s">
        <v>2220</v>
      </c>
      <c r="D573" t="s">
        <v>3053</v>
      </c>
      <c r="E573" t="s">
        <v>3672</v>
      </c>
      <c r="F573">
        <v>53</v>
      </c>
      <c r="G573" t="s">
        <v>3678</v>
      </c>
      <c r="H573" t="s">
        <v>3683</v>
      </c>
      <c r="I573" t="s">
        <v>3685</v>
      </c>
      <c r="J573" t="s">
        <v>3692</v>
      </c>
      <c r="K573" t="s">
        <v>3695</v>
      </c>
      <c r="L573">
        <v>4</v>
      </c>
      <c r="M573">
        <v>12000</v>
      </c>
      <c r="N573" t="s">
        <v>3704</v>
      </c>
      <c r="O573" t="s">
        <v>3705</v>
      </c>
    </row>
    <row r="574" spans="1:15" x14ac:dyDescent="0.35">
      <c r="A574" t="s">
        <v>587</v>
      </c>
      <c r="B574" t="s">
        <v>1605</v>
      </c>
      <c r="C574" t="s">
        <v>1813</v>
      </c>
      <c r="D574" t="s">
        <v>3054</v>
      </c>
      <c r="E574" t="s">
        <v>3672</v>
      </c>
      <c r="F574">
        <v>30</v>
      </c>
      <c r="G574" t="s">
        <v>3676</v>
      </c>
      <c r="H574" t="s">
        <v>3682</v>
      </c>
      <c r="I574" t="s">
        <v>3686</v>
      </c>
      <c r="J574" t="s">
        <v>3693</v>
      </c>
      <c r="K574" t="s">
        <v>3696</v>
      </c>
      <c r="L574">
        <v>5</v>
      </c>
      <c r="M574">
        <v>65000</v>
      </c>
      <c r="N574" t="s">
        <v>3701</v>
      </c>
      <c r="O574" t="s">
        <v>3706</v>
      </c>
    </row>
    <row r="575" spans="1:15" x14ac:dyDescent="0.35">
      <c r="A575" t="s">
        <v>588</v>
      </c>
      <c r="B575" t="s">
        <v>1412</v>
      </c>
      <c r="C575" t="s">
        <v>2221</v>
      </c>
      <c r="D575" t="s">
        <v>3055</v>
      </c>
      <c r="E575" t="s">
        <v>3671</v>
      </c>
      <c r="F575">
        <v>25</v>
      </c>
      <c r="G575" t="s">
        <v>3679</v>
      </c>
      <c r="H575" t="s">
        <v>3684</v>
      </c>
      <c r="I575" t="s">
        <v>3689</v>
      </c>
      <c r="J575" t="s">
        <v>3694</v>
      </c>
      <c r="K575" t="s">
        <v>3699</v>
      </c>
      <c r="L575">
        <v>5</v>
      </c>
      <c r="M575">
        <v>1800</v>
      </c>
      <c r="N575" t="s">
        <v>3703</v>
      </c>
      <c r="O575" t="s">
        <v>3707</v>
      </c>
    </row>
    <row r="576" spans="1:15" x14ac:dyDescent="0.35">
      <c r="A576" t="s">
        <v>589</v>
      </c>
      <c r="B576" t="s">
        <v>1475</v>
      </c>
      <c r="C576" t="s">
        <v>1875</v>
      </c>
      <c r="D576" t="s">
        <v>3056</v>
      </c>
      <c r="E576" t="s">
        <v>3672</v>
      </c>
      <c r="F576">
        <v>35</v>
      </c>
      <c r="G576" t="s">
        <v>3675</v>
      </c>
      <c r="H576" t="s">
        <v>3681</v>
      </c>
      <c r="I576" t="s">
        <v>3686</v>
      </c>
      <c r="J576" t="s">
        <v>3693</v>
      </c>
      <c r="K576" t="s">
        <v>3696</v>
      </c>
      <c r="L576">
        <v>1</v>
      </c>
      <c r="M576">
        <v>65000</v>
      </c>
      <c r="N576" t="s">
        <v>3703</v>
      </c>
      <c r="O576" t="s">
        <v>3706</v>
      </c>
    </row>
    <row r="577" spans="1:15" x14ac:dyDescent="0.35">
      <c r="A577" t="s">
        <v>590</v>
      </c>
      <c r="B577" t="s">
        <v>1263</v>
      </c>
      <c r="C577" t="s">
        <v>2222</v>
      </c>
      <c r="D577" t="s">
        <v>3057</v>
      </c>
      <c r="E577" t="s">
        <v>3671</v>
      </c>
      <c r="F577">
        <v>24</v>
      </c>
      <c r="G577" t="s">
        <v>3676</v>
      </c>
      <c r="H577" t="s">
        <v>3682</v>
      </c>
      <c r="I577" t="s">
        <v>3685</v>
      </c>
      <c r="J577" t="s">
        <v>3692</v>
      </c>
      <c r="K577" t="s">
        <v>3695</v>
      </c>
      <c r="L577">
        <v>3</v>
      </c>
      <c r="M577">
        <v>12000</v>
      </c>
      <c r="N577" t="s">
        <v>3704</v>
      </c>
      <c r="O577" t="s">
        <v>3707</v>
      </c>
    </row>
    <row r="578" spans="1:15" x14ac:dyDescent="0.35">
      <c r="A578" t="s">
        <v>591</v>
      </c>
      <c r="B578" t="s">
        <v>1295</v>
      </c>
      <c r="C578" t="s">
        <v>2223</v>
      </c>
      <c r="D578" t="s">
        <v>3058</v>
      </c>
      <c r="E578" t="s">
        <v>3672</v>
      </c>
      <c r="F578">
        <v>56</v>
      </c>
      <c r="G578" t="s">
        <v>3678</v>
      </c>
      <c r="H578" t="s">
        <v>3683</v>
      </c>
      <c r="I578" t="s">
        <v>3687</v>
      </c>
      <c r="J578" t="s">
        <v>3693</v>
      </c>
      <c r="K578" t="s">
        <v>3697</v>
      </c>
      <c r="L578">
        <v>3</v>
      </c>
      <c r="M578">
        <v>5000</v>
      </c>
      <c r="N578" t="s">
        <v>3704</v>
      </c>
      <c r="O578" t="s">
        <v>3705</v>
      </c>
    </row>
    <row r="579" spans="1:15" x14ac:dyDescent="0.35">
      <c r="A579" t="s">
        <v>592</v>
      </c>
      <c r="B579" t="s">
        <v>1334</v>
      </c>
      <c r="C579" t="s">
        <v>1799</v>
      </c>
      <c r="D579" t="s">
        <v>3059</v>
      </c>
      <c r="E579" t="s">
        <v>3671</v>
      </c>
      <c r="F579">
        <v>58</v>
      </c>
      <c r="G579" t="s">
        <v>3677</v>
      </c>
      <c r="H579" t="s">
        <v>3680</v>
      </c>
      <c r="I579" t="s">
        <v>3688</v>
      </c>
      <c r="J579" t="s">
        <v>3694</v>
      </c>
      <c r="K579" t="s">
        <v>3698</v>
      </c>
      <c r="L579">
        <v>5</v>
      </c>
      <c r="M579">
        <v>4500</v>
      </c>
      <c r="N579" t="s">
        <v>3702</v>
      </c>
      <c r="O579" t="s">
        <v>3707</v>
      </c>
    </row>
    <row r="580" spans="1:15" x14ac:dyDescent="0.35">
      <c r="A580" t="s">
        <v>593</v>
      </c>
      <c r="B580" t="s">
        <v>1411</v>
      </c>
      <c r="C580" t="s">
        <v>2224</v>
      </c>
      <c r="D580" t="s">
        <v>3060</v>
      </c>
      <c r="E580" t="s">
        <v>3672</v>
      </c>
      <c r="F580">
        <v>48</v>
      </c>
      <c r="G580" t="s">
        <v>3673</v>
      </c>
      <c r="H580" t="s">
        <v>3673</v>
      </c>
      <c r="I580" t="s">
        <v>3688</v>
      </c>
      <c r="J580" t="s">
        <v>3694</v>
      </c>
      <c r="K580" t="s">
        <v>3698</v>
      </c>
      <c r="L580">
        <v>2</v>
      </c>
      <c r="M580">
        <v>4500</v>
      </c>
      <c r="N580" t="s">
        <v>3702</v>
      </c>
      <c r="O580" t="s">
        <v>3705</v>
      </c>
    </row>
    <row r="581" spans="1:15" x14ac:dyDescent="0.35">
      <c r="A581" t="s">
        <v>594</v>
      </c>
      <c r="B581" t="s">
        <v>1459</v>
      </c>
      <c r="C581" t="s">
        <v>2225</v>
      </c>
      <c r="D581" t="s">
        <v>3061</v>
      </c>
      <c r="E581" t="s">
        <v>3672</v>
      </c>
      <c r="F581">
        <v>25</v>
      </c>
      <c r="G581" t="s">
        <v>3679</v>
      </c>
      <c r="H581" t="s">
        <v>3684</v>
      </c>
      <c r="I581" t="s">
        <v>3686</v>
      </c>
      <c r="J581" t="s">
        <v>3693</v>
      </c>
      <c r="K581" t="s">
        <v>3696</v>
      </c>
      <c r="L581">
        <v>3</v>
      </c>
      <c r="M581">
        <v>65000</v>
      </c>
      <c r="N581" t="s">
        <v>3703</v>
      </c>
      <c r="O581" t="s">
        <v>3706</v>
      </c>
    </row>
    <row r="582" spans="1:15" x14ac:dyDescent="0.35">
      <c r="A582" t="s">
        <v>595</v>
      </c>
      <c r="B582" t="s">
        <v>1583</v>
      </c>
      <c r="C582" t="s">
        <v>2097</v>
      </c>
      <c r="D582" t="s">
        <v>3062</v>
      </c>
      <c r="E582" t="s">
        <v>3671</v>
      </c>
      <c r="F582">
        <v>54</v>
      </c>
      <c r="G582" t="s">
        <v>3676</v>
      </c>
      <c r="H582" t="s">
        <v>3682</v>
      </c>
      <c r="I582" t="s">
        <v>3689</v>
      </c>
      <c r="J582" t="s">
        <v>3694</v>
      </c>
      <c r="K582" t="s">
        <v>3699</v>
      </c>
      <c r="L582">
        <v>4</v>
      </c>
      <c r="M582">
        <v>1800</v>
      </c>
      <c r="N582" t="s">
        <v>3704</v>
      </c>
      <c r="O582" t="s">
        <v>3705</v>
      </c>
    </row>
    <row r="583" spans="1:15" x14ac:dyDescent="0.35">
      <c r="A583" t="s">
        <v>596</v>
      </c>
      <c r="B583" t="s">
        <v>1606</v>
      </c>
      <c r="C583" t="s">
        <v>2226</v>
      </c>
      <c r="D583" t="s">
        <v>3063</v>
      </c>
      <c r="E583" t="s">
        <v>3671</v>
      </c>
      <c r="F583">
        <v>50</v>
      </c>
      <c r="G583" t="s">
        <v>3674</v>
      </c>
      <c r="H583" t="s">
        <v>3680</v>
      </c>
      <c r="I583" t="s">
        <v>3685</v>
      </c>
      <c r="J583" t="s">
        <v>3692</v>
      </c>
      <c r="K583" t="s">
        <v>3695</v>
      </c>
      <c r="L583">
        <v>4</v>
      </c>
      <c r="M583">
        <v>12000</v>
      </c>
      <c r="N583" t="s">
        <v>3701</v>
      </c>
      <c r="O583" t="s">
        <v>3707</v>
      </c>
    </row>
    <row r="584" spans="1:15" x14ac:dyDescent="0.35">
      <c r="A584" t="s">
        <v>597</v>
      </c>
      <c r="B584" t="s">
        <v>1607</v>
      </c>
      <c r="C584" t="s">
        <v>2227</v>
      </c>
      <c r="D584" t="s">
        <v>3064</v>
      </c>
      <c r="E584" t="s">
        <v>3672</v>
      </c>
      <c r="F584">
        <v>28</v>
      </c>
      <c r="G584" t="s">
        <v>3676</v>
      </c>
      <c r="H584" t="s">
        <v>3682</v>
      </c>
      <c r="I584" t="s">
        <v>3685</v>
      </c>
      <c r="J584" t="s">
        <v>3692</v>
      </c>
      <c r="K584" t="s">
        <v>3695</v>
      </c>
      <c r="L584">
        <v>5</v>
      </c>
      <c r="M584">
        <v>12000</v>
      </c>
      <c r="N584" t="s">
        <v>3701</v>
      </c>
      <c r="O584" t="s">
        <v>3706</v>
      </c>
    </row>
    <row r="585" spans="1:15" x14ac:dyDescent="0.35">
      <c r="A585" t="s">
        <v>598</v>
      </c>
      <c r="B585" t="s">
        <v>1539</v>
      </c>
      <c r="C585" t="s">
        <v>2181</v>
      </c>
      <c r="D585" t="s">
        <v>3065</v>
      </c>
      <c r="E585" t="s">
        <v>3672</v>
      </c>
      <c r="F585">
        <v>34</v>
      </c>
      <c r="G585" t="s">
        <v>3674</v>
      </c>
      <c r="H585" t="s">
        <v>3680</v>
      </c>
      <c r="I585" t="s">
        <v>3687</v>
      </c>
      <c r="J585" t="s">
        <v>3693</v>
      </c>
      <c r="K585" t="s">
        <v>3697</v>
      </c>
      <c r="L585">
        <v>1</v>
      </c>
      <c r="M585">
        <v>5000</v>
      </c>
      <c r="N585" t="s">
        <v>3703</v>
      </c>
      <c r="O585" t="s">
        <v>3705</v>
      </c>
    </row>
    <row r="586" spans="1:15" x14ac:dyDescent="0.35">
      <c r="A586" t="s">
        <v>599</v>
      </c>
      <c r="B586" t="s">
        <v>1526</v>
      </c>
      <c r="C586" t="s">
        <v>2228</v>
      </c>
      <c r="D586" t="s">
        <v>3066</v>
      </c>
      <c r="E586" t="s">
        <v>3671</v>
      </c>
      <c r="F586">
        <v>58</v>
      </c>
      <c r="G586" t="s">
        <v>3679</v>
      </c>
      <c r="H586" t="s">
        <v>3684</v>
      </c>
      <c r="I586" t="s">
        <v>3685</v>
      </c>
      <c r="J586" t="s">
        <v>3692</v>
      </c>
      <c r="K586" t="s">
        <v>3695</v>
      </c>
      <c r="L586">
        <v>4</v>
      </c>
      <c r="M586">
        <v>12000</v>
      </c>
      <c r="N586" t="s">
        <v>3703</v>
      </c>
      <c r="O586" t="s">
        <v>3705</v>
      </c>
    </row>
    <row r="587" spans="1:15" x14ac:dyDescent="0.35">
      <c r="A587" t="s">
        <v>600</v>
      </c>
      <c r="B587" t="s">
        <v>1608</v>
      </c>
      <c r="C587" t="s">
        <v>2229</v>
      </c>
      <c r="D587" t="s">
        <v>3067</v>
      </c>
      <c r="E587" t="s">
        <v>3671</v>
      </c>
      <c r="F587">
        <v>33</v>
      </c>
      <c r="G587" t="s">
        <v>3676</v>
      </c>
      <c r="H587" t="s">
        <v>3682</v>
      </c>
      <c r="I587" t="s">
        <v>3690</v>
      </c>
      <c r="J587" t="s">
        <v>3693</v>
      </c>
      <c r="K587" t="s">
        <v>3700</v>
      </c>
      <c r="L587">
        <v>4</v>
      </c>
      <c r="M587">
        <v>72000</v>
      </c>
      <c r="N587" t="s">
        <v>3704</v>
      </c>
      <c r="O587" t="s">
        <v>3705</v>
      </c>
    </row>
    <row r="588" spans="1:15" x14ac:dyDescent="0.35">
      <c r="A588" t="s">
        <v>601</v>
      </c>
      <c r="B588" t="s">
        <v>1586</v>
      </c>
      <c r="C588" t="s">
        <v>2217</v>
      </c>
      <c r="D588" t="s">
        <v>3068</v>
      </c>
      <c r="E588" t="s">
        <v>3671</v>
      </c>
      <c r="F588">
        <v>56</v>
      </c>
      <c r="G588" t="s">
        <v>3677</v>
      </c>
      <c r="H588" t="s">
        <v>3680</v>
      </c>
      <c r="I588" t="s">
        <v>3685</v>
      </c>
      <c r="J588" t="s">
        <v>3692</v>
      </c>
      <c r="K588" t="s">
        <v>3695</v>
      </c>
      <c r="L588">
        <v>4</v>
      </c>
      <c r="M588">
        <v>12000</v>
      </c>
      <c r="N588" t="s">
        <v>3701</v>
      </c>
      <c r="O588" t="s">
        <v>3707</v>
      </c>
    </row>
    <row r="589" spans="1:15" x14ac:dyDescent="0.35">
      <c r="A589" t="s">
        <v>602</v>
      </c>
      <c r="B589" t="s">
        <v>1599</v>
      </c>
      <c r="C589" t="s">
        <v>2230</v>
      </c>
      <c r="D589" t="s">
        <v>3069</v>
      </c>
      <c r="E589" t="s">
        <v>3672</v>
      </c>
      <c r="F589">
        <v>40</v>
      </c>
      <c r="G589" t="s">
        <v>3673</v>
      </c>
      <c r="H589" t="s">
        <v>3673</v>
      </c>
      <c r="I589" t="s">
        <v>3686</v>
      </c>
      <c r="J589" t="s">
        <v>3693</v>
      </c>
      <c r="K589" t="s">
        <v>3696</v>
      </c>
      <c r="L589">
        <v>2</v>
      </c>
      <c r="M589">
        <v>65000</v>
      </c>
      <c r="N589" t="s">
        <v>3701</v>
      </c>
      <c r="O589" t="s">
        <v>3706</v>
      </c>
    </row>
    <row r="590" spans="1:15" x14ac:dyDescent="0.35">
      <c r="A590" t="s">
        <v>603</v>
      </c>
      <c r="B590" t="s">
        <v>1609</v>
      </c>
      <c r="C590" t="s">
        <v>2231</v>
      </c>
      <c r="D590" t="s">
        <v>3070</v>
      </c>
      <c r="E590" t="s">
        <v>3671</v>
      </c>
      <c r="F590">
        <v>28</v>
      </c>
      <c r="G590" t="s">
        <v>3676</v>
      </c>
      <c r="H590" t="s">
        <v>3682</v>
      </c>
      <c r="I590" t="s">
        <v>3687</v>
      </c>
      <c r="J590" t="s">
        <v>3693</v>
      </c>
      <c r="K590" t="s">
        <v>3697</v>
      </c>
      <c r="L590">
        <v>5</v>
      </c>
      <c r="M590">
        <v>5000</v>
      </c>
      <c r="N590" t="s">
        <v>3702</v>
      </c>
      <c r="O590" t="s">
        <v>3707</v>
      </c>
    </row>
    <row r="591" spans="1:15" x14ac:dyDescent="0.35">
      <c r="A591" t="s">
        <v>604</v>
      </c>
      <c r="B591" t="s">
        <v>1610</v>
      </c>
      <c r="C591" t="s">
        <v>2232</v>
      </c>
      <c r="D591" t="s">
        <v>3071</v>
      </c>
      <c r="E591" t="s">
        <v>3672</v>
      </c>
      <c r="F591">
        <v>52</v>
      </c>
      <c r="G591" t="s">
        <v>3679</v>
      </c>
      <c r="H591" t="s">
        <v>3684</v>
      </c>
      <c r="I591" t="s">
        <v>3688</v>
      </c>
      <c r="J591" t="s">
        <v>3694</v>
      </c>
      <c r="K591" t="s">
        <v>3698</v>
      </c>
      <c r="L591">
        <v>3</v>
      </c>
      <c r="M591">
        <v>4500</v>
      </c>
      <c r="N591" t="s">
        <v>3702</v>
      </c>
      <c r="O591" t="s">
        <v>3706</v>
      </c>
    </row>
    <row r="592" spans="1:15" x14ac:dyDescent="0.35">
      <c r="A592" t="s">
        <v>605</v>
      </c>
      <c r="B592" t="s">
        <v>1509</v>
      </c>
      <c r="C592" t="s">
        <v>2066</v>
      </c>
      <c r="D592" t="s">
        <v>3072</v>
      </c>
      <c r="E592" t="s">
        <v>3671</v>
      </c>
      <c r="F592">
        <v>38</v>
      </c>
      <c r="G592" t="s">
        <v>3677</v>
      </c>
      <c r="H592" t="s">
        <v>3680</v>
      </c>
      <c r="I592" t="s">
        <v>3687</v>
      </c>
      <c r="J592" t="s">
        <v>3693</v>
      </c>
      <c r="K592" t="s">
        <v>3697</v>
      </c>
      <c r="L592">
        <v>2</v>
      </c>
      <c r="M592">
        <v>5000</v>
      </c>
      <c r="N592" t="s">
        <v>3703</v>
      </c>
      <c r="O592" t="s">
        <v>3706</v>
      </c>
    </row>
    <row r="593" spans="1:15" x14ac:dyDescent="0.35">
      <c r="A593" t="s">
        <v>606</v>
      </c>
      <c r="B593" t="s">
        <v>1482</v>
      </c>
      <c r="C593" t="s">
        <v>1839</v>
      </c>
      <c r="D593" t="s">
        <v>3073</v>
      </c>
      <c r="E593" t="s">
        <v>3672</v>
      </c>
      <c r="F593">
        <v>48</v>
      </c>
      <c r="G593" t="s">
        <v>3677</v>
      </c>
      <c r="H593" t="s">
        <v>3680</v>
      </c>
      <c r="I593" t="s">
        <v>3690</v>
      </c>
      <c r="J593" t="s">
        <v>3693</v>
      </c>
      <c r="K593" t="s">
        <v>3700</v>
      </c>
      <c r="L593">
        <v>4</v>
      </c>
      <c r="M593">
        <v>72000</v>
      </c>
      <c r="N593" t="s">
        <v>3701</v>
      </c>
      <c r="O593" t="s">
        <v>3706</v>
      </c>
    </row>
    <row r="594" spans="1:15" x14ac:dyDescent="0.35">
      <c r="A594" t="s">
        <v>607</v>
      </c>
      <c r="B594" t="s">
        <v>1611</v>
      </c>
      <c r="C594" t="s">
        <v>2233</v>
      </c>
      <c r="D594" t="s">
        <v>3074</v>
      </c>
      <c r="E594" t="s">
        <v>3672</v>
      </c>
      <c r="F594">
        <v>51</v>
      </c>
      <c r="G594" t="s">
        <v>3675</v>
      </c>
      <c r="H594" t="s">
        <v>3681</v>
      </c>
      <c r="I594" t="s">
        <v>3685</v>
      </c>
      <c r="J594" t="s">
        <v>3692</v>
      </c>
      <c r="K594" t="s">
        <v>3695</v>
      </c>
      <c r="L594">
        <v>2</v>
      </c>
      <c r="M594">
        <v>12000</v>
      </c>
      <c r="N594" t="s">
        <v>3703</v>
      </c>
      <c r="O594" t="s">
        <v>3705</v>
      </c>
    </row>
    <row r="595" spans="1:15" x14ac:dyDescent="0.35">
      <c r="A595" t="s">
        <v>608</v>
      </c>
      <c r="B595" t="s">
        <v>1612</v>
      </c>
      <c r="C595" t="s">
        <v>2225</v>
      </c>
      <c r="D595" t="s">
        <v>3075</v>
      </c>
      <c r="E595" t="s">
        <v>3672</v>
      </c>
      <c r="F595">
        <v>47</v>
      </c>
      <c r="G595" t="s">
        <v>3678</v>
      </c>
      <c r="H595" t="s">
        <v>3683</v>
      </c>
      <c r="I595" t="s">
        <v>3689</v>
      </c>
      <c r="J595" t="s">
        <v>3694</v>
      </c>
      <c r="K595" t="s">
        <v>3699</v>
      </c>
      <c r="L595">
        <v>3</v>
      </c>
      <c r="M595">
        <v>1800</v>
      </c>
      <c r="N595" t="s">
        <v>3701</v>
      </c>
      <c r="O595" t="s">
        <v>3706</v>
      </c>
    </row>
    <row r="596" spans="1:15" x14ac:dyDescent="0.35">
      <c r="A596" t="s">
        <v>609</v>
      </c>
      <c r="B596" t="s">
        <v>1283</v>
      </c>
      <c r="C596" t="s">
        <v>2234</v>
      </c>
      <c r="D596" t="s">
        <v>3076</v>
      </c>
      <c r="E596" t="s">
        <v>3671</v>
      </c>
      <c r="F596">
        <v>36</v>
      </c>
      <c r="G596" t="s">
        <v>3674</v>
      </c>
      <c r="H596" t="s">
        <v>3680</v>
      </c>
      <c r="I596" t="s">
        <v>3686</v>
      </c>
      <c r="J596" t="s">
        <v>3693</v>
      </c>
      <c r="K596" t="s">
        <v>3696</v>
      </c>
      <c r="L596">
        <v>2</v>
      </c>
      <c r="M596">
        <v>65000</v>
      </c>
      <c r="N596" t="s">
        <v>3701</v>
      </c>
      <c r="O596" t="s">
        <v>3705</v>
      </c>
    </row>
    <row r="597" spans="1:15" x14ac:dyDescent="0.35">
      <c r="A597" t="s">
        <v>610</v>
      </c>
      <c r="B597" t="s">
        <v>1393</v>
      </c>
      <c r="C597" t="s">
        <v>1984</v>
      </c>
      <c r="D597" t="s">
        <v>3077</v>
      </c>
      <c r="E597" t="s">
        <v>3671</v>
      </c>
      <c r="F597">
        <v>42</v>
      </c>
      <c r="G597" t="s">
        <v>3677</v>
      </c>
      <c r="H597" t="s">
        <v>3680</v>
      </c>
      <c r="I597" t="s">
        <v>3690</v>
      </c>
      <c r="J597" t="s">
        <v>3693</v>
      </c>
      <c r="K597" t="s">
        <v>3700</v>
      </c>
      <c r="L597">
        <v>5</v>
      </c>
      <c r="M597">
        <v>72000</v>
      </c>
      <c r="N597" t="s">
        <v>3702</v>
      </c>
      <c r="O597" t="s">
        <v>3706</v>
      </c>
    </row>
    <row r="598" spans="1:15" x14ac:dyDescent="0.35">
      <c r="A598" t="s">
        <v>611</v>
      </c>
      <c r="B598" t="s">
        <v>1457</v>
      </c>
      <c r="C598" t="s">
        <v>2175</v>
      </c>
      <c r="D598" t="s">
        <v>3078</v>
      </c>
      <c r="E598" t="s">
        <v>3672</v>
      </c>
      <c r="F598">
        <v>32</v>
      </c>
      <c r="G598" t="s">
        <v>3675</v>
      </c>
      <c r="H598" t="s">
        <v>3681</v>
      </c>
      <c r="I598" t="s">
        <v>3685</v>
      </c>
      <c r="J598" t="s">
        <v>3692</v>
      </c>
      <c r="K598" t="s">
        <v>3695</v>
      </c>
      <c r="L598">
        <v>1</v>
      </c>
      <c r="M598">
        <v>12000</v>
      </c>
      <c r="N598" t="s">
        <v>3701</v>
      </c>
      <c r="O598" t="s">
        <v>3706</v>
      </c>
    </row>
    <row r="599" spans="1:15" x14ac:dyDescent="0.35">
      <c r="A599" t="s">
        <v>612</v>
      </c>
      <c r="B599" t="s">
        <v>1613</v>
      </c>
      <c r="C599" t="s">
        <v>2235</v>
      </c>
      <c r="D599" t="s">
        <v>3079</v>
      </c>
      <c r="E599" t="s">
        <v>3671</v>
      </c>
      <c r="F599">
        <v>18</v>
      </c>
      <c r="G599" t="s">
        <v>3677</v>
      </c>
      <c r="H599" t="s">
        <v>3680</v>
      </c>
      <c r="I599" t="s">
        <v>3686</v>
      </c>
      <c r="J599" t="s">
        <v>3693</v>
      </c>
      <c r="K599" t="s">
        <v>3696</v>
      </c>
      <c r="L599">
        <v>3</v>
      </c>
      <c r="M599">
        <v>65000</v>
      </c>
      <c r="N599" t="s">
        <v>3704</v>
      </c>
      <c r="O599" t="s">
        <v>3705</v>
      </c>
    </row>
    <row r="600" spans="1:15" x14ac:dyDescent="0.35">
      <c r="A600" t="s">
        <v>613</v>
      </c>
      <c r="B600" t="s">
        <v>1435</v>
      </c>
      <c r="C600" t="s">
        <v>2236</v>
      </c>
      <c r="D600" t="s">
        <v>3080</v>
      </c>
      <c r="E600" t="s">
        <v>3671</v>
      </c>
      <c r="F600">
        <v>29</v>
      </c>
      <c r="G600" t="s">
        <v>3675</v>
      </c>
      <c r="H600" t="s">
        <v>3681</v>
      </c>
      <c r="I600" t="s">
        <v>3690</v>
      </c>
      <c r="J600" t="s">
        <v>3693</v>
      </c>
      <c r="K600" t="s">
        <v>3700</v>
      </c>
      <c r="L600">
        <v>1</v>
      </c>
      <c r="M600">
        <v>72000</v>
      </c>
      <c r="N600" t="s">
        <v>3703</v>
      </c>
      <c r="O600" t="s">
        <v>3707</v>
      </c>
    </row>
    <row r="601" spans="1:15" x14ac:dyDescent="0.35">
      <c r="A601" t="s">
        <v>614</v>
      </c>
      <c r="B601" t="s">
        <v>1536</v>
      </c>
      <c r="C601" t="s">
        <v>2237</v>
      </c>
      <c r="D601" t="s">
        <v>3081</v>
      </c>
      <c r="E601" t="s">
        <v>3672</v>
      </c>
      <c r="F601">
        <v>47</v>
      </c>
      <c r="G601" t="s">
        <v>3678</v>
      </c>
      <c r="H601" t="s">
        <v>3683</v>
      </c>
      <c r="I601" t="s">
        <v>3685</v>
      </c>
      <c r="J601" t="s">
        <v>3692</v>
      </c>
      <c r="K601" t="s">
        <v>3695</v>
      </c>
      <c r="L601">
        <v>5</v>
      </c>
      <c r="M601">
        <v>12000</v>
      </c>
      <c r="N601" t="s">
        <v>3702</v>
      </c>
      <c r="O601" t="s">
        <v>3706</v>
      </c>
    </row>
    <row r="602" spans="1:15" x14ac:dyDescent="0.35">
      <c r="A602" t="s">
        <v>615</v>
      </c>
      <c r="B602" t="s">
        <v>1562</v>
      </c>
      <c r="C602" t="s">
        <v>2238</v>
      </c>
      <c r="D602" t="s">
        <v>3082</v>
      </c>
      <c r="E602" t="s">
        <v>3671</v>
      </c>
      <c r="F602">
        <v>45</v>
      </c>
      <c r="G602" t="s">
        <v>3674</v>
      </c>
      <c r="H602" t="s">
        <v>3680</v>
      </c>
      <c r="I602" t="s">
        <v>3691</v>
      </c>
      <c r="J602" t="s">
        <v>3693</v>
      </c>
      <c r="K602" t="s">
        <v>3696</v>
      </c>
      <c r="L602">
        <v>5</v>
      </c>
      <c r="M602">
        <v>58000</v>
      </c>
      <c r="N602" t="s">
        <v>3703</v>
      </c>
      <c r="O602" t="s">
        <v>3707</v>
      </c>
    </row>
    <row r="603" spans="1:15" x14ac:dyDescent="0.35">
      <c r="A603" t="s">
        <v>616</v>
      </c>
      <c r="B603" t="s">
        <v>1307</v>
      </c>
      <c r="C603" t="s">
        <v>2239</v>
      </c>
      <c r="D603" t="s">
        <v>3083</v>
      </c>
      <c r="E603" t="s">
        <v>3671</v>
      </c>
      <c r="F603">
        <v>52</v>
      </c>
      <c r="G603" t="s">
        <v>3676</v>
      </c>
      <c r="H603" t="s">
        <v>3682</v>
      </c>
      <c r="I603" t="s">
        <v>3689</v>
      </c>
      <c r="J603" t="s">
        <v>3694</v>
      </c>
      <c r="K603" t="s">
        <v>3699</v>
      </c>
      <c r="L603">
        <v>1</v>
      </c>
      <c r="M603">
        <v>1800</v>
      </c>
      <c r="N603" t="s">
        <v>3701</v>
      </c>
      <c r="O603" t="s">
        <v>3707</v>
      </c>
    </row>
    <row r="604" spans="1:15" x14ac:dyDescent="0.35">
      <c r="A604" t="s">
        <v>617</v>
      </c>
      <c r="B604" t="s">
        <v>1270</v>
      </c>
      <c r="C604" t="s">
        <v>2240</v>
      </c>
      <c r="D604" t="s">
        <v>3084</v>
      </c>
      <c r="E604" t="s">
        <v>3671</v>
      </c>
      <c r="F604">
        <v>32</v>
      </c>
      <c r="G604" t="s">
        <v>3678</v>
      </c>
      <c r="H604" t="s">
        <v>3683</v>
      </c>
      <c r="I604" t="s">
        <v>3690</v>
      </c>
      <c r="J604" t="s">
        <v>3693</v>
      </c>
      <c r="K604" t="s">
        <v>3700</v>
      </c>
      <c r="L604">
        <v>1</v>
      </c>
      <c r="M604">
        <v>72000</v>
      </c>
      <c r="N604" t="s">
        <v>3701</v>
      </c>
      <c r="O604" t="s">
        <v>3707</v>
      </c>
    </row>
    <row r="605" spans="1:15" x14ac:dyDescent="0.35">
      <c r="A605" t="s">
        <v>618</v>
      </c>
      <c r="B605" t="s">
        <v>1614</v>
      </c>
      <c r="C605" t="s">
        <v>1947</v>
      </c>
      <c r="D605" t="s">
        <v>3085</v>
      </c>
      <c r="E605" t="s">
        <v>3671</v>
      </c>
      <c r="F605">
        <v>56</v>
      </c>
      <c r="G605" t="s">
        <v>3674</v>
      </c>
      <c r="H605" t="s">
        <v>3680</v>
      </c>
      <c r="I605" t="s">
        <v>3687</v>
      </c>
      <c r="J605" t="s">
        <v>3693</v>
      </c>
      <c r="K605" t="s">
        <v>3697</v>
      </c>
      <c r="L605">
        <v>1</v>
      </c>
      <c r="M605">
        <v>5000</v>
      </c>
      <c r="N605" t="s">
        <v>3701</v>
      </c>
      <c r="O605" t="s">
        <v>3706</v>
      </c>
    </row>
    <row r="606" spans="1:15" x14ac:dyDescent="0.35">
      <c r="A606" t="s">
        <v>619</v>
      </c>
      <c r="B606" t="s">
        <v>1612</v>
      </c>
      <c r="C606" t="s">
        <v>2095</v>
      </c>
      <c r="D606" t="s">
        <v>3086</v>
      </c>
      <c r="E606" t="s">
        <v>3672</v>
      </c>
      <c r="F606">
        <v>47</v>
      </c>
      <c r="G606" t="s">
        <v>3676</v>
      </c>
      <c r="H606" t="s">
        <v>3682</v>
      </c>
      <c r="I606" t="s">
        <v>3688</v>
      </c>
      <c r="J606" t="s">
        <v>3694</v>
      </c>
      <c r="K606" t="s">
        <v>3698</v>
      </c>
      <c r="L606">
        <v>3</v>
      </c>
      <c r="M606">
        <v>4500</v>
      </c>
      <c r="N606" t="s">
        <v>3701</v>
      </c>
      <c r="O606" t="s">
        <v>3705</v>
      </c>
    </row>
    <row r="607" spans="1:15" x14ac:dyDescent="0.35">
      <c r="A607" t="s">
        <v>620</v>
      </c>
      <c r="B607" t="s">
        <v>1315</v>
      </c>
      <c r="C607" t="s">
        <v>2241</v>
      </c>
      <c r="D607" t="s">
        <v>3087</v>
      </c>
      <c r="E607" t="s">
        <v>3671</v>
      </c>
      <c r="F607">
        <v>25</v>
      </c>
      <c r="G607" t="s">
        <v>3674</v>
      </c>
      <c r="H607" t="s">
        <v>3680</v>
      </c>
      <c r="I607" t="s">
        <v>3691</v>
      </c>
      <c r="J607" t="s">
        <v>3693</v>
      </c>
      <c r="K607" t="s">
        <v>3696</v>
      </c>
      <c r="L607">
        <v>1</v>
      </c>
      <c r="M607">
        <v>58000</v>
      </c>
      <c r="N607" t="s">
        <v>3703</v>
      </c>
      <c r="O607" t="s">
        <v>3705</v>
      </c>
    </row>
    <row r="608" spans="1:15" x14ac:dyDescent="0.35">
      <c r="A608" t="s">
        <v>621</v>
      </c>
      <c r="B608" t="s">
        <v>1615</v>
      </c>
      <c r="C608" t="s">
        <v>2242</v>
      </c>
      <c r="D608" t="s">
        <v>3088</v>
      </c>
      <c r="E608" t="s">
        <v>3671</v>
      </c>
      <c r="F608">
        <v>39</v>
      </c>
      <c r="G608" t="s">
        <v>3673</v>
      </c>
      <c r="H608" t="s">
        <v>3673</v>
      </c>
      <c r="I608" t="s">
        <v>3685</v>
      </c>
      <c r="J608" t="s">
        <v>3692</v>
      </c>
      <c r="K608" t="s">
        <v>3695</v>
      </c>
      <c r="L608">
        <v>3</v>
      </c>
      <c r="M608">
        <v>12000</v>
      </c>
      <c r="N608" t="s">
        <v>3703</v>
      </c>
      <c r="O608" t="s">
        <v>3707</v>
      </c>
    </row>
    <row r="609" spans="1:15" x14ac:dyDescent="0.35">
      <c r="A609" t="s">
        <v>622</v>
      </c>
      <c r="B609" t="s">
        <v>1616</v>
      </c>
      <c r="C609" t="s">
        <v>2243</v>
      </c>
      <c r="D609" t="s">
        <v>3089</v>
      </c>
      <c r="E609" t="s">
        <v>3672</v>
      </c>
      <c r="F609">
        <v>48</v>
      </c>
      <c r="G609" t="s">
        <v>3677</v>
      </c>
      <c r="H609" t="s">
        <v>3680</v>
      </c>
      <c r="I609" t="s">
        <v>3689</v>
      </c>
      <c r="J609" t="s">
        <v>3694</v>
      </c>
      <c r="K609" t="s">
        <v>3699</v>
      </c>
      <c r="L609">
        <v>1</v>
      </c>
      <c r="M609">
        <v>1800</v>
      </c>
      <c r="N609" t="s">
        <v>3703</v>
      </c>
      <c r="O609" t="s">
        <v>3707</v>
      </c>
    </row>
    <row r="610" spans="1:15" x14ac:dyDescent="0.35">
      <c r="A610" t="s">
        <v>623</v>
      </c>
      <c r="B610" t="s">
        <v>1617</v>
      </c>
      <c r="C610" t="s">
        <v>2244</v>
      </c>
      <c r="D610" t="s">
        <v>3090</v>
      </c>
      <c r="E610" t="s">
        <v>3672</v>
      </c>
      <c r="F610">
        <v>22</v>
      </c>
      <c r="G610" t="s">
        <v>3676</v>
      </c>
      <c r="H610" t="s">
        <v>3682</v>
      </c>
      <c r="I610" t="s">
        <v>3686</v>
      </c>
      <c r="J610" t="s">
        <v>3693</v>
      </c>
      <c r="K610" t="s">
        <v>3696</v>
      </c>
      <c r="L610">
        <v>5</v>
      </c>
      <c r="M610">
        <v>65000</v>
      </c>
      <c r="N610" t="s">
        <v>3701</v>
      </c>
      <c r="O610" t="s">
        <v>3705</v>
      </c>
    </row>
    <row r="611" spans="1:15" x14ac:dyDescent="0.35">
      <c r="A611" t="s">
        <v>624</v>
      </c>
      <c r="B611" t="s">
        <v>1509</v>
      </c>
      <c r="C611" t="s">
        <v>2245</v>
      </c>
      <c r="D611" t="s">
        <v>3091</v>
      </c>
      <c r="E611" t="s">
        <v>3671</v>
      </c>
      <c r="F611">
        <v>27</v>
      </c>
      <c r="G611" t="s">
        <v>3678</v>
      </c>
      <c r="H611" t="s">
        <v>3683</v>
      </c>
      <c r="I611" t="s">
        <v>3691</v>
      </c>
      <c r="J611" t="s">
        <v>3693</v>
      </c>
      <c r="K611" t="s">
        <v>3696</v>
      </c>
      <c r="L611">
        <v>1</v>
      </c>
      <c r="M611">
        <v>58000</v>
      </c>
      <c r="N611" t="s">
        <v>3702</v>
      </c>
      <c r="O611" t="s">
        <v>3707</v>
      </c>
    </row>
    <row r="612" spans="1:15" x14ac:dyDescent="0.35">
      <c r="A612" t="s">
        <v>625</v>
      </c>
      <c r="B612" t="s">
        <v>1618</v>
      </c>
      <c r="C612" t="s">
        <v>2246</v>
      </c>
      <c r="D612" t="s">
        <v>3092</v>
      </c>
      <c r="E612" t="s">
        <v>3672</v>
      </c>
      <c r="F612">
        <v>18</v>
      </c>
      <c r="G612" t="s">
        <v>3676</v>
      </c>
      <c r="H612" t="s">
        <v>3682</v>
      </c>
      <c r="I612" t="s">
        <v>3687</v>
      </c>
      <c r="J612" t="s">
        <v>3693</v>
      </c>
      <c r="K612" t="s">
        <v>3697</v>
      </c>
      <c r="L612">
        <v>2</v>
      </c>
      <c r="M612">
        <v>5000</v>
      </c>
      <c r="N612" t="s">
        <v>3701</v>
      </c>
      <c r="O612" t="s">
        <v>3707</v>
      </c>
    </row>
    <row r="613" spans="1:15" x14ac:dyDescent="0.35">
      <c r="A613" t="s">
        <v>626</v>
      </c>
      <c r="B613" t="s">
        <v>1571</v>
      </c>
      <c r="C613" t="s">
        <v>2247</v>
      </c>
      <c r="D613" t="s">
        <v>3093</v>
      </c>
      <c r="E613" t="s">
        <v>3671</v>
      </c>
      <c r="F613">
        <v>55</v>
      </c>
      <c r="G613" t="s">
        <v>3674</v>
      </c>
      <c r="H613" t="s">
        <v>3680</v>
      </c>
      <c r="I613" t="s">
        <v>3687</v>
      </c>
      <c r="J613" t="s">
        <v>3693</v>
      </c>
      <c r="K613" t="s">
        <v>3697</v>
      </c>
      <c r="L613">
        <v>2</v>
      </c>
      <c r="M613">
        <v>5000</v>
      </c>
      <c r="N613" t="s">
        <v>3703</v>
      </c>
      <c r="O613" t="s">
        <v>3706</v>
      </c>
    </row>
    <row r="614" spans="1:15" x14ac:dyDescent="0.35">
      <c r="A614" t="s">
        <v>627</v>
      </c>
      <c r="B614" t="s">
        <v>1619</v>
      </c>
      <c r="C614" t="s">
        <v>2072</v>
      </c>
      <c r="D614" t="s">
        <v>3094</v>
      </c>
      <c r="E614" t="s">
        <v>3671</v>
      </c>
      <c r="F614">
        <v>54</v>
      </c>
      <c r="G614" t="s">
        <v>3675</v>
      </c>
      <c r="H614" t="s">
        <v>3681</v>
      </c>
      <c r="I614" t="s">
        <v>3686</v>
      </c>
      <c r="J614" t="s">
        <v>3693</v>
      </c>
      <c r="K614" t="s">
        <v>3696</v>
      </c>
      <c r="L614">
        <v>3</v>
      </c>
      <c r="M614">
        <v>65000</v>
      </c>
      <c r="N614" t="s">
        <v>3701</v>
      </c>
      <c r="O614" t="s">
        <v>3707</v>
      </c>
    </row>
    <row r="615" spans="1:15" x14ac:dyDescent="0.35">
      <c r="A615" t="s">
        <v>628</v>
      </c>
      <c r="B615" t="s">
        <v>1620</v>
      </c>
      <c r="C615" t="s">
        <v>2248</v>
      </c>
      <c r="D615" t="s">
        <v>3095</v>
      </c>
      <c r="E615" t="s">
        <v>3671</v>
      </c>
      <c r="F615">
        <v>32</v>
      </c>
      <c r="G615" t="s">
        <v>3675</v>
      </c>
      <c r="H615" t="s">
        <v>3681</v>
      </c>
      <c r="I615" t="s">
        <v>3689</v>
      </c>
      <c r="J615" t="s">
        <v>3694</v>
      </c>
      <c r="K615" t="s">
        <v>3699</v>
      </c>
      <c r="L615">
        <v>2</v>
      </c>
      <c r="M615">
        <v>1800</v>
      </c>
      <c r="N615" t="s">
        <v>3704</v>
      </c>
      <c r="O615" t="s">
        <v>3706</v>
      </c>
    </row>
    <row r="616" spans="1:15" x14ac:dyDescent="0.35">
      <c r="A616" t="s">
        <v>629</v>
      </c>
      <c r="B616" t="s">
        <v>1621</v>
      </c>
      <c r="C616" t="s">
        <v>2249</v>
      </c>
      <c r="D616" t="s">
        <v>3096</v>
      </c>
      <c r="E616" t="s">
        <v>3671</v>
      </c>
      <c r="F616">
        <v>18</v>
      </c>
      <c r="G616" t="s">
        <v>3675</v>
      </c>
      <c r="H616" t="s">
        <v>3681</v>
      </c>
      <c r="I616" t="s">
        <v>3690</v>
      </c>
      <c r="J616" t="s">
        <v>3693</v>
      </c>
      <c r="K616" t="s">
        <v>3700</v>
      </c>
      <c r="L616">
        <v>3</v>
      </c>
      <c r="M616">
        <v>72000</v>
      </c>
      <c r="N616" t="s">
        <v>3704</v>
      </c>
      <c r="O616" t="s">
        <v>3707</v>
      </c>
    </row>
    <row r="617" spans="1:15" x14ac:dyDescent="0.35">
      <c r="A617" t="s">
        <v>630</v>
      </c>
      <c r="B617" t="s">
        <v>1368</v>
      </c>
      <c r="C617" t="s">
        <v>2250</v>
      </c>
      <c r="D617" t="s">
        <v>3097</v>
      </c>
      <c r="E617" t="s">
        <v>3672</v>
      </c>
      <c r="F617">
        <v>47</v>
      </c>
      <c r="G617" t="s">
        <v>3676</v>
      </c>
      <c r="H617" t="s">
        <v>3682</v>
      </c>
      <c r="I617" t="s">
        <v>3685</v>
      </c>
      <c r="J617" t="s">
        <v>3692</v>
      </c>
      <c r="K617" t="s">
        <v>3695</v>
      </c>
      <c r="L617">
        <v>5</v>
      </c>
      <c r="M617">
        <v>12000</v>
      </c>
      <c r="N617" t="s">
        <v>3701</v>
      </c>
      <c r="O617" t="s">
        <v>3705</v>
      </c>
    </row>
    <row r="618" spans="1:15" x14ac:dyDescent="0.35">
      <c r="A618" t="s">
        <v>631</v>
      </c>
      <c r="B618" t="s">
        <v>1229</v>
      </c>
      <c r="C618" t="s">
        <v>2251</v>
      </c>
      <c r="D618" t="s">
        <v>3098</v>
      </c>
      <c r="E618" t="s">
        <v>3672</v>
      </c>
      <c r="F618">
        <v>44</v>
      </c>
      <c r="G618" t="s">
        <v>3673</v>
      </c>
      <c r="H618" t="s">
        <v>3673</v>
      </c>
      <c r="I618" t="s">
        <v>3691</v>
      </c>
      <c r="J618" t="s">
        <v>3693</v>
      </c>
      <c r="K618" t="s">
        <v>3696</v>
      </c>
      <c r="L618">
        <v>3</v>
      </c>
      <c r="M618">
        <v>58000</v>
      </c>
      <c r="N618" t="s">
        <v>3702</v>
      </c>
      <c r="O618" t="s">
        <v>3707</v>
      </c>
    </row>
    <row r="619" spans="1:15" x14ac:dyDescent="0.35">
      <c r="A619" t="s">
        <v>632</v>
      </c>
      <c r="B619" t="s">
        <v>1312</v>
      </c>
      <c r="C619" t="s">
        <v>2184</v>
      </c>
      <c r="D619" t="s">
        <v>3099</v>
      </c>
      <c r="E619" t="s">
        <v>3671</v>
      </c>
      <c r="F619">
        <v>37</v>
      </c>
      <c r="G619" t="s">
        <v>3676</v>
      </c>
      <c r="H619" t="s">
        <v>3682</v>
      </c>
      <c r="I619" t="s">
        <v>3689</v>
      </c>
      <c r="J619" t="s">
        <v>3694</v>
      </c>
      <c r="K619" t="s">
        <v>3699</v>
      </c>
      <c r="L619">
        <v>2</v>
      </c>
      <c r="M619">
        <v>1800</v>
      </c>
      <c r="N619" t="s">
        <v>3703</v>
      </c>
      <c r="O619" t="s">
        <v>3706</v>
      </c>
    </row>
    <row r="620" spans="1:15" x14ac:dyDescent="0.35">
      <c r="A620" t="s">
        <v>633</v>
      </c>
      <c r="B620" t="s">
        <v>1473</v>
      </c>
      <c r="C620" t="s">
        <v>2252</v>
      </c>
      <c r="D620" t="s">
        <v>3100</v>
      </c>
      <c r="E620" t="s">
        <v>3672</v>
      </c>
      <c r="F620">
        <v>60</v>
      </c>
      <c r="G620" t="s">
        <v>3675</v>
      </c>
      <c r="H620" t="s">
        <v>3681</v>
      </c>
      <c r="I620" t="s">
        <v>3690</v>
      </c>
      <c r="J620" t="s">
        <v>3693</v>
      </c>
      <c r="K620" t="s">
        <v>3700</v>
      </c>
      <c r="L620">
        <v>3</v>
      </c>
      <c r="M620">
        <v>72000</v>
      </c>
      <c r="N620" t="s">
        <v>3703</v>
      </c>
      <c r="O620" t="s">
        <v>3706</v>
      </c>
    </row>
    <row r="621" spans="1:15" x14ac:dyDescent="0.35">
      <c r="A621" t="s">
        <v>634</v>
      </c>
      <c r="B621" t="s">
        <v>1587</v>
      </c>
      <c r="C621" t="s">
        <v>2253</v>
      </c>
      <c r="D621" t="s">
        <v>3101</v>
      </c>
      <c r="E621" t="s">
        <v>3671</v>
      </c>
      <c r="F621">
        <v>34</v>
      </c>
      <c r="G621" t="s">
        <v>3677</v>
      </c>
      <c r="H621" t="s">
        <v>3680</v>
      </c>
      <c r="I621" t="s">
        <v>3691</v>
      </c>
      <c r="J621" t="s">
        <v>3693</v>
      </c>
      <c r="K621" t="s">
        <v>3696</v>
      </c>
      <c r="L621">
        <v>3</v>
      </c>
      <c r="M621">
        <v>58000</v>
      </c>
      <c r="N621" t="s">
        <v>3703</v>
      </c>
      <c r="O621" t="s">
        <v>3706</v>
      </c>
    </row>
    <row r="622" spans="1:15" x14ac:dyDescent="0.35">
      <c r="A622" t="s">
        <v>635</v>
      </c>
      <c r="B622" t="s">
        <v>1244</v>
      </c>
      <c r="C622" t="s">
        <v>2254</v>
      </c>
      <c r="D622" t="s">
        <v>3102</v>
      </c>
      <c r="E622" t="s">
        <v>3672</v>
      </c>
      <c r="F622">
        <v>56</v>
      </c>
      <c r="G622" t="s">
        <v>3678</v>
      </c>
      <c r="H622" t="s">
        <v>3683</v>
      </c>
      <c r="I622" t="s">
        <v>3690</v>
      </c>
      <c r="J622" t="s">
        <v>3693</v>
      </c>
      <c r="K622" t="s">
        <v>3700</v>
      </c>
      <c r="L622">
        <v>5</v>
      </c>
      <c r="M622">
        <v>72000</v>
      </c>
      <c r="N622" t="s">
        <v>3704</v>
      </c>
      <c r="O622" t="s">
        <v>3705</v>
      </c>
    </row>
    <row r="623" spans="1:15" x14ac:dyDescent="0.35">
      <c r="A623" t="s">
        <v>636</v>
      </c>
      <c r="B623" t="s">
        <v>1622</v>
      </c>
      <c r="C623" t="s">
        <v>2255</v>
      </c>
      <c r="D623" t="s">
        <v>3103</v>
      </c>
      <c r="E623" t="s">
        <v>3671</v>
      </c>
      <c r="F623">
        <v>60</v>
      </c>
      <c r="G623" t="s">
        <v>3674</v>
      </c>
      <c r="H623" t="s">
        <v>3680</v>
      </c>
      <c r="I623" t="s">
        <v>3691</v>
      </c>
      <c r="J623" t="s">
        <v>3693</v>
      </c>
      <c r="K623" t="s">
        <v>3696</v>
      </c>
      <c r="L623">
        <v>5</v>
      </c>
      <c r="M623">
        <v>58000</v>
      </c>
      <c r="N623" t="s">
        <v>3701</v>
      </c>
      <c r="O623" t="s">
        <v>3707</v>
      </c>
    </row>
    <row r="624" spans="1:15" x14ac:dyDescent="0.35">
      <c r="A624" t="s">
        <v>637</v>
      </c>
      <c r="B624" t="s">
        <v>1472</v>
      </c>
      <c r="C624" t="s">
        <v>2256</v>
      </c>
      <c r="D624" t="s">
        <v>3104</v>
      </c>
      <c r="E624" t="s">
        <v>3672</v>
      </c>
      <c r="F624">
        <v>47</v>
      </c>
      <c r="G624" t="s">
        <v>3675</v>
      </c>
      <c r="H624" t="s">
        <v>3681</v>
      </c>
      <c r="I624" t="s">
        <v>3690</v>
      </c>
      <c r="J624" t="s">
        <v>3693</v>
      </c>
      <c r="K624" t="s">
        <v>3700</v>
      </c>
      <c r="L624">
        <v>4</v>
      </c>
      <c r="M624">
        <v>72000</v>
      </c>
      <c r="N624" t="s">
        <v>3704</v>
      </c>
      <c r="O624" t="s">
        <v>3705</v>
      </c>
    </row>
    <row r="625" spans="1:15" x14ac:dyDescent="0.35">
      <c r="A625" t="s">
        <v>638</v>
      </c>
      <c r="B625" t="s">
        <v>1427</v>
      </c>
      <c r="C625" t="s">
        <v>2221</v>
      </c>
      <c r="D625" t="s">
        <v>3105</v>
      </c>
      <c r="E625" t="s">
        <v>3671</v>
      </c>
      <c r="F625">
        <v>28</v>
      </c>
      <c r="G625" t="s">
        <v>3673</v>
      </c>
      <c r="H625" t="s">
        <v>3673</v>
      </c>
      <c r="I625" t="s">
        <v>3689</v>
      </c>
      <c r="J625" t="s">
        <v>3694</v>
      </c>
      <c r="K625" t="s">
        <v>3699</v>
      </c>
      <c r="L625">
        <v>4</v>
      </c>
      <c r="M625">
        <v>1800</v>
      </c>
      <c r="N625" t="s">
        <v>3702</v>
      </c>
      <c r="O625" t="s">
        <v>3707</v>
      </c>
    </row>
    <row r="626" spans="1:15" x14ac:dyDescent="0.35">
      <c r="A626" t="s">
        <v>639</v>
      </c>
      <c r="B626" t="s">
        <v>1388</v>
      </c>
      <c r="C626" t="s">
        <v>2257</v>
      </c>
      <c r="D626" t="s">
        <v>3106</v>
      </c>
      <c r="E626" t="s">
        <v>3672</v>
      </c>
      <c r="F626">
        <v>52</v>
      </c>
      <c r="G626" t="s">
        <v>3679</v>
      </c>
      <c r="H626" t="s">
        <v>3684</v>
      </c>
      <c r="I626" t="s">
        <v>3688</v>
      </c>
      <c r="J626" t="s">
        <v>3694</v>
      </c>
      <c r="K626" t="s">
        <v>3698</v>
      </c>
      <c r="L626">
        <v>2</v>
      </c>
      <c r="M626">
        <v>4500</v>
      </c>
      <c r="N626" t="s">
        <v>3703</v>
      </c>
      <c r="O626" t="s">
        <v>3706</v>
      </c>
    </row>
    <row r="627" spans="1:15" x14ac:dyDescent="0.35">
      <c r="A627" t="s">
        <v>640</v>
      </c>
      <c r="B627" t="s">
        <v>1623</v>
      </c>
      <c r="C627" t="s">
        <v>1820</v>
      </c>
      <c r="D627" t="s">
        <v>3107</v>
      </c>
      <c r="E627" t="s">
        <v>3671</v>
      </c>
      <c r="F627">
        <v>34</v>
      </c>
      <c r="G627" t="s">
        <v>3676</v>
      </c>
      <c r="H627" t="s">
        <v>3682</v>
      </c>
      <c r="I627" t="s">
        <v>3689</v>
      </c>
      <c r="J627" t="s">
        <v>3694</v>
      </c>
      <c r="K627" t="s">
        <v>3699</v>
      </c>
      <c r="L627">
        <v>5</v>
      </c>
      <c r="M627">
        <v>1800</v>
      </c>
      <c r="N627" t="s">
        <v>3701</v>
      </c>
      <c r="O627" t="s">
        <v>3707</v>
      </c>
    </row>
    <row r="628" spans="1:15" x14ac:dyDescent="0.35">
      <c r="A628" t="s">
        <v>641</v>
      </c>
      <c r="B628" t="s">
        <v>1624</v>
      </c>
      <c r="C628" t="s">
        <v>1834</v>
      </c>
      <c r="D628" t="s">
        <v>3108</v>
      </c>
      <c r="E628" t="s">
        <v>3671</v>
      </c>
      <c r="F628">
        <v>35</v>
      </c>
      <c r="G628" t="s">
        <v>3678</v>
      </c>
      <c r="H628" t="s">
        <v>3683</v>
      </c>
      <c r="I628" t="s">
        <v>3690</v>
      </c>
      <c r="J628" t="s">
        <v>3693</v>
      </c>
      <c r="K628" t="s">
        <v>3700</v>
      </c>
      <c r="L628">
        <v>4</v>
      </c>
      <c r="M628">
        <v>72000</v>
      </c>
      <c r="N628" t="s">
        <v>3701</v>
      </c>
      <c r="O628" t="s">
        <v>3705</v>
      </c>
    </row>
    <row r="629" spans="1:15" x14ac:dyDescent="0.35">
      <c r="A629" t="s">
        <v>642</v>
      </c>
      <c r="B629" t="s">
        <v>1625</v>
      </c>
      <c r="C629" t="s">
        <v>1903</v>
      </c>
      <c r="D629" t="s">
        <v>3109</v>
      </c>
      <c r="E629" t="s">
        <v>3672</v>
      </c>
      <c r="F629">
        <v>52</v>
      </c>
      <c r="G629" t="s">
        <v>3677</v>
      </c>
      <c r="H629" t="s">
        <v>3680</v>
      </c>
      <c r="I629" t="s">
        <v>3686</v>
      </c>
      <c r="J629" t="s">
        <v>3693</v>
      </c>
      <c r="K629" t="s">
        <v>3696</v>
      </c>
      <c r="L629">
        <v>2</v>
      </c>
      <c r="M629">
        <v>65000</v>
      </c>
      <c r="N629" t="s">
        <v>3704</v>
      </c>
      <c r="O629" t="s">
        <v>3706</v>
      </c>
    </row>
    <row r="630" spans="1:15" x14ac:dyDescent="0.35">
      <c r="A630" t="s">
        <v>643</v>
      </c>
      <c r="B630" t="s">
        <v>1500</v>
      </c>
      <c r="C630" t="s">
        <v>2258</v>
      </c>
      <c r="D630" t="s">
        <v>3110</v>
      </c>
      <c r="E630" t="s">
        <v>3672</v>
      </c>
      <c r="F630">
        <v>29</v>
      </c>
      <c r="G630" t="s">
        <v>3677</v>
      </c>
      <c r="H630" t="s">
        <v>3680</v>
      </c>
      <c r="I630" t="s">
        <v>3689</v>
      </c>
      <c r="J630" t="s">
        <v>3694</v>
      </c>
      <c r="K630" t="s">
        <v>3699</v>
      </c>
      <c r="L630">
        <v>4</v>
      </c>
      <c r="M630">
        <v>1800</v>
      </c>
      <c r="N630" t="s">
        <v>3701</v>
      </c>
      <c r="O630" t="s">
        <v>3705</v>
      </c>
    </row>
    <row r="631" spans="1:15" x14ac:dyDescent="0.35">
      <c r="A631" t="s">
        <v>644</v>
      </c>
      <c r="B631" t="s">
        <v>1626</v>
      </c>
      <c r="C631" t="s">
        <v>1976</v>
      </c>
      <c r="D631" t="s">
        <v>3111</v>
      </c>
      <c r="E631" t="s">
        <v>3672</v>
      </c>
      <c r="F631">
        <v>54</v>
      </c>
      <c r="G631" t="s">
        <v>3678</v>
      </c>
      <c r="H631" t="s">
        <v>3683</v>
      </c>
      <c r="I631" t="s">
        <v>3689</v>
      </c>
      <c r="J631" t="s">
        <v>3694</v>
      </c>
      <c r="K631" t="s">
        <v>3699</v>
      </c>
      <c r="L631">
        <v>3</v>
      </c>
      <c r="M631">
        <v>1800</v>
      </c>
      <c r="N631" t="s">
        <v>3703</v>
      </c>
      <c r="O631" t="s">
        <v>3705</v>
      </c>
    </row>
    <row r="632" spans="1:15" x14ac:dyDescent="0.35">
      <c r="A632" t="s">
        <v>645</v>
      </c>
      <c r="B632" t="s">
        <v>1627</v>
      </c>
      <c r="C632" t="s">
        <v>2259</v>
      </c>
      <c r="D632" t="s">
        <v>3112</v>
      </c>
      <c r="E632" t="s">
        <v>3672</v>
      </c>
      <c r="F632">
        <v>41</v>
      </c>
      <c r="G632" t="s">
        <v>3678</v>
      </c>
      <c r="H632" t="s">
        <v>3683</v>
      </c>
      <c r="I632" t="s">
        <v>3686</v>
      </c>
      <c r="J632" t="s">
        <v>3693</v>
      </c>
      <c r="K632" t="s">
        <v>3696</v>
      </c>
      <c r="L632">
        <v>4</v>
      </c>
      <c r="M632">
        <v>65000</v>
      </c>
      <c r="N632" t="s">
        <v>3704</v>
      </c>
      <c r="O632" t="s">
        <v>3706</v>
      </c>
    </row>
    <row r="633" spans="1:15" x14ac:dyDescent="0.35">
      <c r="A633" t="s">
        <v>646</v>
      </c>
      <c r="B633" t="s">
        <v>1322</v>
      </c>
      <c r="C633" t="s">
        <v>2260</v>
      </c>
      <c r="D633" t="s">
        <v>3113</v>
      </c>
      <c r="E633" t="s">
        <v>3672</v>
      </c>
      <c r="F633">
        <v>23</v>
      </c>
      <c r="G633" t="s">
        <v>3677</v>
      </c>
      <c r="H633" t="s">
        <v>3680</v>
      </c>
      <c r="I633" t="s">
        <v>3686</v>
      </c>
      <c r="J633" t="s">
        <v>3693</v>
      </c>
      <c r="K633" t="s">
        <v>3696</v>
      </c>
      <c r="L633">
        <v>1</v>
      </c>
      <c r="M633">
        <v>65000</v>
      </c>
      <c r="N633" t="s">
        <v>3704</v>
      </c>
      <c r="O633" t="s">
        <v>3707</v>
      </c>
    </row>
    <row r="634" spans="1:15" x14ac:dyDescent="0.35">
      <c r="A634" t="s">
        <v>647</v>
      </c>
      <c r="B634" t="s">
        <v>1628</v>
      </c>
      <c r="C634" t="s">
        <v>2261</v>
      </c>
      <c r="D634" t="s">
        <v>3114</v>
      </c>
      <c r="E634" t="s">
        <v>3672</v>
      </c>
      <c r="F634">
        <v>31</v>
      </c>
      <c r="G634" t="s">
        <v>3674</v>
      </c>
      <c r="H634" t="s">
        <v>3680</v>
      </c>
      <c r="I634" t="s">
        <v>3685</v>
      </c>
      <c r="J634" t="s">
        <v>3692</v>
      </c>
      <c r="K634" t="s">
        <v>3695</v>
      </c>
      <c r="L634">
        <v>1</v>
      </c>
      <c r="M634">
        <v>12000</v>
      </c>
      <c r="N634" t="s">
        <v>3701</v>
      </c>
      <c r="O634" t="s">
        <v>3707</v>
      </c>
    </row>
    <row r="635" spans="1:15" x14ac:dyDescent="0.35">
      <c r="A635" t="s">
        <v>648</v>
      </c>
      <c r="B635" t="s">
        <v>1263</v>
      </c>
      <c r="C635" t="s">
        <v>1909</v>
      </c>
      <c r="D635" t="s">
        <v>3115</v>
      </c>
      <c r="E635" t="s">
        <v>3671</v>
      </c>
      <c r="F635">
        <v>53</v>
      </c>
      <c r="G635" t="s">
        <v>3678</v>
      </c>
      <c r="H635" t="s">
        <v>3683</v>
      </c>
      <c r="I635" t="s">
        <v>3685</v>
      </c>
      <c r="J635" t="s">
        <v>3692</v>
      </c>
      <c r="K635" t="s">
        <v>3695</v>
      </c>
      <c r="L635">
        <v>2</v>
      </c>
      <c r="M635">
        <v>12000</v>
      </c>
      <c r="N635" t="s">
        <v>3701</v>
      </c>
      <c r="O635" t="s">
        <v>3706</v>
      </c>
    </row>
    <row r="636" spans="1:15" x14ac:dyDescent="0.35">
      <c r="A636" t="s">
        <v>649</v>
      </c>
      <c r="B636" t="s">
        <v>1466</v>
      </c>
      <c r="C636" t="s">
        <v>2262</v>
      </c>
      <c r="D636" t="s">
        <v>3116</v>
      </c>
      <c r="E636" t="s">
        <v>3672</v>
      </c>
      <c r="F636">
        <v>38</v>
      </c>
      <c r="G636" t="s">
        <v>3677</v>
      </c>
      <c r="H636" t="s">
        <v>3680</v>
      </c>
      <c r="I636" t="s">
        <v>3685</v>
      </c>
      <c r="J636" t="s">
        <v>3692</v>
      </c>
      <c r="K636" t="s">
        <v>3695</v>
      </c>
      <c r="L636">
        <v>1</v>
      </c>
      <c r="M636">
        <v>12000</v>
      </c>
      <c r="N636" t="s">
        <v>3701</v>
      </c>
      <c r="O636" t="s">
        <v>3707</v>
      </c>
    </row>
    <row r="637" spans="1:15" x14ac:dyDescent="0.35">
      <c r="A637" t="s">
        <v>650</v>
      </c>
      <c r="B637" t="s">
        <v>1507</v>
      </c>
      <c r="C637" t="s">
        <v>2263</v>
      </c>
      <c r="D637" t="s">
        <v>3117</v>
      </c>
      <c r="E637" t="s">
        <v>3672</v>
      </c>
      <c r="F637">
        <v>26</v>
      </c>
      <c r="G637" t="s">
        <v>3677</v>
      </c>
      <c r="H637" t="s">
        <v>3680</v>
      </c>
      <c r="I637" t="s">
        <v>3685</v>
      </c>
      <c r="J637" t="s">
        <v>3692</v>
      </c>
      <c r="K637" t="s">
        <v>3695</v>
      </c>
      <c r="L637">
        <v>5</v>
      </c>
      <c r="M637">
        <v>12000</v>
      </c>
      <c r="N637" t="s">
        <v>3704</v>
      </c>
      <c r="O637" t="s">
        <v>3706</v>
      </c>
    </row>
    <row r="638" spans="1:15" x14ac:dyDescent="0.35">
      <c r="A638" t="s">
        <v>651</v>
      </c>
      <c r="B638" t="s">
        <v>1629</v>
      </c>
      <c r="C638" t="s">
        <v>2222</v>
      </c>
      <c r="D638" t="s">
        <v>3118</v>
      </c>
      <c r="E638" t="s">
        <v>3671</v>
      </c>
      <c r="F638">
        <v>35</v>
      </c>
      <c r="G638" t="s">
        <v>3676</v>
      </c>
      <c r="H638" t="s">
        <v>3682</v>
      </c>
      <c r="I638" t="s">
        <v>3685</v>
      </c>
      <c r="J638" t="s">
        <v>3692</v>
      </c>
      <c r="K638" t="s">
        <v>3695</v>
      </c>
      <c r="L638">
        <v>5</v>
      </c>
      <c r="M638">
        <v>12000</v>
      </c>
      <c r="N638" t="s">
        <v>3701</v>
      </c>
      <c r="O638" t="s">
        <v>3705</v>
      </c>
    </row>
    <row r="639" spans="1:15" x14ac:dyDescent="0.35">
      <c r="A639" t="s">
        <v>652</v>
      </c>
      <c r="B639" t="s">
        <v>1402</v>
      </c>
      <c r="C639" t="s">
        <v>2264</v>
      </c>
      <c r="D639" t="s">
        <v>3119</v>
      </c>
      <c r="E639" t="s">
        <v>3671</v>
      </c>
      <c r="F639">
        <v>31</v>
      </c>
      <c r="G639" t="s">
        <v>3677</v>
      </c>
      <c r="H639" t="s">
        <v>3680</v>
      </c>
      <c r="I639" t="s">
        <v>3685</v>
      </c>
      <c r="J639" t="s">
        <v>3692</v>
      </c>
      <c r="K639" t="s">
        <v>3695</v>
      </c>
      <c r="L639">
        <v>1</v>
      </c>
      <c r="M639">
        <v>12000</v>
      </c>
      <c r="N639" t="s">
        <v>3703</v>
      </c>
      <c r="O639" t="s">
        <v>3705</v>
      </c>
    </row>
    <row r="640" spans="1:15" x14ac:dyDescent="0.35">
      <c r="A640" t="s">
        <v>653</v>
      </c>
      <c r="B640" t="s">
        <v>1368</v>
      </c>
      <c r="C640" t="s">
        <v>2265</v>
      </c>
      <c r="D640" t="s">
        <v>3120</v>
      </c>
      <c r="E640" t="s">
        <v>3672</v>
      </c>
      <c r="F640">
        <v>53</v>
      </c>
      <c r="G640" t="s">
        <v>3679</v>
      </c>
      <c r="H640" t="s">
        <v>3684</v>
      </c>
      <c r="I640" t="s">
        <v>3688</v>
      </c>
      <c r="J640" t="s">
        <v>3694</v>
      </c>
      <c r="K640" t="s">
        <v>3698</v>
      </c>
      <c r="L640">
        <v>1</v>
      </c>
      <c r="M640">
        <v>4500</v>
      </c>
      <c r="N640" t="s">
        <v>3702</v>
      </c>
      <c r="O640" t="s">
        <v>3707</v>
      </c>
    </row>
    <row r="641" spans="1:15" x14ac:dyDescent="0.35">
      <c r="A641" t="s">
        <v>654</v>
      </c>
      <c r="B641" t="s">
        <v>1630</v>
      </c>
      <c r="C641" t="s">
        <v>2266</v>
      </c>
      <c r="D641" t="s">
        <v>3121</v>
      </c>
      <c r="E641" t="s">
        <v>3671</v>
      </c>
      <c r="F641">
        <v>43</v>
      </c>
      <c r="G641" t="s">
        <v>3675</v>
      </c>
      <c r="H641" t="s">
        <v>3681</v>
      </c>
      <c r="I641" t="s">
        <v>3690</v>
      </c>
      <c r="J641" t="s">
        <v>3693</v>
      </c>
      <c r="K641" t="s">
        <v>3700</v>
      </c>
      <c r="L641">
        <v>5</v>
      </c>
      <c r="M641">
        <v>72000</v>
      </c>
      <c r="N641" t="s">
        <v>3702</v>
      </c>
      <c r="O641" t="s">
        <v>3707</v>
      </c>
    </row>
    <row r="642" spans="1:15" x14ac:dyDescent="0.35">
      <c r="A642" t="s">
        <v>655</v>
      </c>
      <c r="B642" t="s">
        <v>1379</v>
      </c>
      <c r="C642" t="s">
        <v>2124</v>
      </c>
      <c r="D642" t="s">
        <v>3122</v>
      </c>
      <c r="E642" t="s">
        <v>3672</v>
      </c>
      <c r="F642">
        <v>27</v>
      </c>
      <c r="G642" t="s">
        <v>3677</v>
      </c>
      <c r="H642" t="s">
        <v>3680</v>
      </c>
      <c r="I642" t="s">
        <v>3687</v>
      </c>
      <c r="J642" t="s">
        <v>3693</v>
      </c>
      <c r="K642" t="s">
        <v>3697</v>
      </c>
      <c r="L642">
        <v>4</v>
      </c>
      <c r="M642">
        <v>5000</v>
      </c>
      <c r="N642" t="s">
        <v>3703</v>
      </c>
      <c r="O642" t="s">
        <v>3705</v>
      </c>
    </row>
    <row r="643" spans="1:15" x14ac:dyDescent="0.35">
      <c r="A643" t="s">
        <v>656</v>
      </c>
      <c r="B643" t="s">
        <v>1280</v>
      </c>
      <c r="C643" t="s">
        <v>2267</v>
      </c>
      <c r="D643" t="s">
        <v>3123</v>
      </c>
      <c r="E643" t="s">
        <v>3671</v>
      </c>
      <c r="F643">
        <v>50</v>
      </c>
      <c r="G643" t="s">
        <v>3677</v>
      </c>
      <c r="H643" t="s">
        <v>3680</v>
      </c>
      <c r="I643" t="s">
        <v>3690</v>
      </c>
      <c r="J643" t="s">
        <v>3693</v>
      </c>
      <c r="K643" t="s">
        <v>3700</v>
      </c>
      <c r="L643">
        <v>5</v>
      </c>
      <c r="M643">
        <v>72000</v>
      </c>
      <c r="N643" t="s">
        <v>3702</v>
      </c>
      <c r="O643" t="s">
        <v>3707</v>
      </c>
    </row>
    <row r="644" spans="1:15" x14ac:dyDescent="0.35">
      <c r="A644" t="s">
        <v>657</v>
      </c>
      <c r="B644" t="s">
        <v>1270</v>
      </c>
      <c r="C644" t="s">
        <v>2268</v>
      </c>
      <c r="D644" t="s">
        <v>3124</v>
      </c>
      <c r="E644" t="s">
        <v>3671</v>
      </c>
      <c r="F644">
        <v>52</v>
      </c>
      <c r="G644" t="s">
        <v>3675</v>
      </c>
      <c r="H644" t="s">
        <v>3681</v>
      </c>
      <c r="I644" t="s">
        <v>3690</v>
      </c>
      <c r="J644" t="s">
        <v>3693</v>
      </c>
      <c r="K644" t="s">
        <v>3700</v>
      </c>
      <c r="L644">
        <v>2</v>
      </c>
      <c r="M644">
        <v>72000</v>
      </c>
      <c r="N644" t="s">
        <v>3702</v>
      </c>
      <c r="O644" t="s">
        <v>3706</v>
      </c>
    </row>
    <row r="645" spans="1:15" x14ac:dyDescent="0.35">
      <c r="A645" t="s">
        <v>658</v>
      </c>
      <c r="B645" t="s">
        <v>1631</v>
      </c>
      <c r="C645" t="s">
        <v>2269</v>
      </c>
      <c r="D645" t="s">
        <v>3125</v>
      </c>
      <c r="E645" t="s">
        <v>3671</v>
      </c>
      <c r="F645">
        <v>55</v>
      </c>
      <c r="G645" t="s">
        <v>3679</v>
      </c>
      <c r="H645" t="s">
        <v>3684</v>
      </c>
      <c r="I645" t="s">
        <v>3686</v>
      </c>
      <c r="J645" t="s">
        <v>3693</v>
      </c>
      <c r="K645" t="s">
        <v>3696</v>
      </c>
      <c r="L645">
        <v>2</v>
      </c>
      <c r="M645">
        <v>65000</v>
      </c>
      <c r="N645" t="s">
        <v>3702</v>
      </c>
      <c r="O645" t="s">
        <v>3706</v>
      </c>
    </row>
    <row r="646" spans="1:15" x14ac:dyDescent="0.35">
      <c r="A646" t="s">
        <v>659</v>
      </c>
      <c r="B646" t="s">
        <v>1593</v>
      </c>
      <c r="C646" t="s">
        <v>2270</v>
      </c>
      <c r="D646" t="s">
        <v>3126</v>
      </c>
      <c r="E646" t="s">
        <v>3672</v>
      </c>
      <c r="F646">
        <v>38</v>
      </c>
      <c r="G646" t="s">
        <v>3673</v>
      </c>
      <c r="H646" t="s">
        <v>3673</v>
      </c>
      <c r="I646" t="s">
        <v>3689</v>
      </c>
      <c r="J646" t="s">
        <v>3694</v>
      </c>
      <c r="K646" t="s">
        <v>3699</v>
      </c>
      <c r="L646">
        <v>5</v>
      </c>
      <c r="M646">
        <v>1800</v>
      </c>
      <c r="N646" t="s">
        <v>3701</v>
      </c>
      <c r="O646" t="s">
        <v>3707</v>
      </c>
    </row>
    <row r="647" spans="1:15" x14ac:dyDescent="0.35">
      <c r="A647" t="s">
        <v>660</v>
      </c>
      <c r="B647" t="s">
        <v>1524</v>
      </c>
      <c r="C647" t="s">
        <v>2271</v>
      </c>
      <c r="D647" t="s">
        <v>3127</v>
      </c>
      <c r="E647" t="s">
        <v>3672</v>
      </c>
      <c r="F647">
        <v>47</v>
      </c>
      <c r="G647" t="s">
        <v>3673</v>
      </c>
      <c r="H647" t="s">
        <v>3673</v>
      </c>
      <c r="I647" t="s">
        <v>3688</v>
      </c>
      <c r="J647" t="s">
        <v>3694</v>
      </c>
      <c r="K647" t="s">
        <v>3698</v>
      </c>
      <c r="L647">
        <v>4</v>
      </c>
      <c r="M647">
        <v>4500</v>
      </c>
      <c r="N647" t="s">
        <v>3703</v>
      </c>
      <c r="O647" t="s">
        <v>3705</v>
      </c>
    </row>
    <row r="648" spans="1:15" x14ac:dyDescent="0.35">
      <c r="A648" t="s">
        <v>661</v>
      </c>
      <c r="B648" t="s">
        <v>1632</v>
      </c>
      <c r="C648" t="s">
        <v>2210</v>
      </c>
      <c r="D648" t="s">
        <v>3128</v>
      </c>
      <c r="E648" t="s">
        <v>3671</v>
      </c>
      <c r="F648">
        <v>42</v>
      </c>
      <c r="G648" t="s">
        <v>3675</v>
      </c>
      <c r="H648" t="s">
        <v>3681</v>
      </c>
      <c r="I648" t="s">
        <v>3691</v>
      </c>
      <c r="J648" t="s">
        <v>3693</v>
      </c>
      <c r="K648" t="s">
        <v>3696</v>
      </c>
      <c r="L648">
        <v>2</v>
      </c>
      <c r="M648">
        <v>58000</v>
      </c>
      <c r="N648" t="s">
        <v>3703</v>
      </c>
      <c r="O648" t="s">
        <v>3705</v>
      </c>
    </row>
    <row r="649" spans="1:15" x14ac:dyDescent="0.35">
      <c r="A649" t="s">
        <v>662</v>
      </c>
      <c r="B649" t="s">
        <v>1633</v>
      </c>
      <c r="C649" t="s">
        <v>2140</v>
      </c>
      <c r="D649" t="s">
        <v>3129</v>
      </c>
      <c r="E649" t="s">
        <v>3671</v>
      </c>
      <c r="F649">
        <v>56</v>
      </c>
      <c r="G649" t="s">
        <v>3674</v>
      </c>
      <c r="H649" t="s">
        <v>3680</v>
      </c>
      <c r="I649" t="s">
        <v>3691</v>
      </c>
      <c r="J649" t="s">
        <v>3693</v>
      </c>
      <c r="K649" t="s">
        <v>3696</v>
      </c>
      <c r="L649">
        <v>3</v>
      </c>
      <c r="M649">
        <v>58000</v>
      </c>
      <c r="N649" t="s">
        <v>3702</v>
      </c>
      <c r="O649" t="s">
        <v>3705</v>
      </c>
    </row>
    <row r="650" spans="1:15" x14ac:dyDescent="0.35">
      <c r="A650" t="s">
        <v>663</v>
      </c>
      <c r="B650" t="s">
        <v>1400</v>
      </c>
      <c r="C650" t="s">
        <v>2272</v>
      </c>
      <c r="D650" t="s">
        <v>3130</v>
      </c>
      <c r="E650" t="s">
        <v>3671</v>
      </c>
      <c r="F650">
        <v>24</v>
      </c>
      <c r="G650" t="s">
        <v>3677</v>
      </c>
      <c r="H650" t="s">
        <v>3680</v>
      </c>
      <c r="I650" t="s">
        <v>3691</v>
      </c>
      <c r="J650" t="s">
        <v>3693</v>
      </c>
      <c r="K650" t="s">
        <v>3696</v>
      </c>
      <c r="L650">
        <v>3</v>
      </c>
      <c r="M650">
        <v>58000</v>
      </c>
      <c r="N650" t="s">
        <v>3702</v>
      </c>
      <c r="O650" t="s">
        <v>3705</v>
      </c>
    </row>
    <row r="651" spans="1:15" x14ac:dyDescent="0.35">
      <c r="A651" t="s">
        <v>664</v>
      </c>
      <c r="B651" t="s">
        <v>1634</v>
      </c>
      <c r="C651" t="s">
        <v>2273</v>
      </c>
      <c r="D651" t="s">
        <v>3131</v>
      </c>
      <c r="E651" t="s">
        <v>3671</v>
      </c>
      <c r="F651">
        <v>46</v>
      </c>
      <c r="G651" t="s">
        <v>3676</v>
      </c>
      <c r="H651" t="s">
        <v>3682</v>
      </c>
      <c r="I651" t="s">
        <v>3685</v>
      </c>
      <c r="J651" t="s">
        <v>3692</v>
      </c>
      <c r="K651" t="s">
        <v>3695</v>
      </c>
      <c r="L651">
        <v>1</v>
      </c>
      <c r="M651">
        <v>12000</v>
      </c>
      <c r="N651" t="s">
        <v>3704</v>
      </c>
      <c r="O651" t="s">
        <v>3707</v>
      </c>
    </row>
    <row r="652" spans="1:15" x14ac:dyDescent="0.35">
      <c r="A652" t="s">
        <v>665</v>
      </c>
      <c r="B652" t="s">
        <v>1235</v>
      </c>
      <c r="C652" t="s">
        <v>2274</v>
      </c>
      <c r="D652" t="s">
        <v>3132</v>
      </c>
      <c r="E652" t="s">
        <v>3672</v>
      </c>
      <c r="F652">
        <v>51</v>
      </c>
      <c r="G652" t="s">
        <v>3676</v>
      </c>
      <c r="H652" t="s">
        <v>3682</v>
      </c>
      <c r="I652" t="s">
        <v>3687</v>
      </c>
      <c r="J652" t="s">
        <v>3693</v>
      </c>
      <c r="K652" t="s">
        <v>3697</v>
      </c>
      <c r="L652">
        <v>4</v>
      </c>
      <c r="M652">
        <v>5000</v>
      </c>
      <c r="N652" t="s">
        <v>3703</v>
      </c>
      <c r="O652" t="s">
        <v>3706</v>
      </c>
    </row>
    <row r="653" spans="1:15" x14ac:dyDescent="0.35">
      <c r="A653" t="s">
        <v>666</v>
      </c>
      <c r="B653" t="s">
        <v>1501</v>
      </c>
      <c r="C653" t="s">
        <v>2275</v>
      </c>
      <c r="D653" t="s">
        <v>3133</v>
      </c>
      <c r="E653" t="s">
        <v>3672</v>
      </c>
      <c r="F653">
        <v>44</v>
      </c>
      <c r="G653" t="s">
        <v>3674</v>
      </c>
      <c r="H653" t="s">
        <v>3680</v>
      </c>
      <c r="I653" t="s">
        <v>3689</v>
      </c>
      <c r="J653" t="s">
        <v>3694</v>
      </c>
      <c r="K653" t="s">
        <v>3699</v>
      </c>
      <c r="L653">
        <v>5</v>
      </c>
      <c r="M653">
        <v>1800</v>
      </c>
      <c r="N653" t="s">
        <v>3704</v>
      </c>
      <c r="O653" t="s">
        <v>3707</v>
      </c>
    </row>
    <row r="654" spans="1:15" x14ac:dyDescent="0.35">
      <c r="A654" t="s">
        <v>667</v>
      </c>
      <c r="B654" t="s">
        <v>1462</v>
      </c>
      <c r="C654" t="s">
        <v>2276</v>
      </c>
      <c r="D654" t="s">
        <v>3134</v>
      </c>
      <c r="E654" t="s">
        <v>3672</v>
      </c>
      <c r="F654">
        <v>59</v>
      </c>
      <c r="G654" t="s">
        <v>3676</v>
      </c>
      <c r="H654" t="s">
        <v>3682</v>
      </c>
      <c r="I654" t="s">
        <v>3688</v>
      </c>
      <c r="J654" t="s">
        <v>3694</v>
      </c>
      <c r="K654" t="s">
        <v>3698</v>
      </c>
      <c r="L654">
        <v>1</v>
      </c>
      <c r="M654">
        <v>4500</v>
      </c>
      <c r="N654" t="s">
        <v>3704</v>
      </c>
      <c r="O654" t="s">
        <v>3707</v>
      </c>
    </row>
    <row r="655" spans="1:15" x14ac:dyDescent="0.35">
      <c r="A655" t="s">
        <v>668</v>
      </c>
      <c r="B655" t="s">
        <v>1635</v>
      </c>
      <c r="C655" t="s">
        <v>2170</v>
      </c>
      <c r="D655" t="s">
        <v>3135</v>
      </c>
      <c r="E655" t="s">
        <v>3672</v>
      </c>
      <c r="F655">
        <v>56</v>
      </c>
      <c r="G655" t="s">
        <v>3673</v>
      </c>
      <c r="H655" t="s">
        <v>3673</v>
      </c>
      <c r="I655" t="s">
        <v>3690</v>
      </c>
      <c r="J655" t="s">
        <v>3693</v>
      </c>
      <c r="K655" t="s">
        <v>3700</v>
      </c>
      <c r="L655">
        <v>3</v>
      </c>
      <c r="M655">
        <v>72000</v>
      </c>
      <c r="N655" t="s">
        <v>3704</v>
      </c>
      <c r="O655" t="s">
        <v>3706</v>
      </c>
    </row>
    <row r="656" spans="1:15" x14ac:dyDescent="0.35">
      <c r="A656" t="s">
        <v>669</v>
      </c>
      <c r="B656" t="s">
        <v>1636</v>
      </c>
      <c r="C656" t="s">
        <v>1879</v>
      </c>
      <c r="D656" t="s">
        <v>3136</v>
      </c>
      <c r="E656" t="s">
        <v>3671</v>
      </c>
      <c r="F656">
        <v>41</v>
      </c>
      <c r="G656" t="s">
        <v>3676</v>
      </c>
      <c r="H656" t="s">
        <v>3682</v>
      </c>
      <c r="I656" t="s">
        <v>3691</v>
      </c>
      <c r="J656" t="s">
        <v>3693</v>
      </c>
      <c r="K656" t="s">
        <v>3696</v>
      </c>
      <c r="L656">
        <v>3</v>
      </c>
      <c r="M656">
        <v>58000</v>
      </c>
      <c r="N656" t="s">
        <v>3701</v>
      </c>
      <c r="O656" t="s">
        <v>3705</v>
      </c>
    </row>
    <row r="657" spans="1:15" x14ac:dyDescent="0.35">
      <c r="A657" t="s">
        <v>670</v>
      </c>
      <c r="B657" t="s">
        <v>1521</v>
      </c>
      <c r="C657" t="s">
        <v>2271</v>
      </c>
      <c r="D657" t="s">
        <v>3137</v>
      </c>
      <c r="E657" t="s">
        <v>3672</v>
      </c>
      <c r="F657">
        <v>21</v>
      </c>
      <c r="G657" t="s">
        <v>3674</v>
      </c>
      <c r="H657" t="s">
        <v>3680</v>
      </c>
      <c r="I657" t="s">
        <v>3686</v>
      </c>
      <c r="J657" t="s">
        <v>3693</v>
      </c>
      <c r="K657" t="s">
        <v>3696</v>
      </c>
      <c r="L657">
        <v>4</v>
      </c>
      <c r="M657">
        <v>65000</v>
      </c>
      <c r="N657" t="s">
        <v>3702</v>
      </c>
      <c r="O657" t="s">
        <v>3705</v>
      </c>
    </row>
    <row r="658" spans="1:15" x14ac:dyDescent="0.35">
      <c r="A658" t="s">
        <v>671</v>
      </c>
      <c r="B658" t="s">
        <v>1619</v>
      </c>
      <c r="C658" t="s">
        <v>1911</v>
      </c>
      <c r="D658" t="s">
        <v>3138</v>
      </c>
      <c r="E658" t="s">
        <v>3671</v>
      </c>
      <c r="F658">
        <v>25</v>
      </c>
      <c r="G658" t="s">
        <v>3677</v>
      </c>
      <c r="H658" t="s">
        <v>3680</v>
      </c>
      <c r="I658" t="s">
        <v>3691</v>
      </c>
      <c r="J658" t="s">
        <v>3693</v>
      </c>
      <c r="K658" t="s">
        <v>3696</v>
      </c>
      <c r="L658">
        <v>1</v>
      </c>
      <c r="M658">
        <v>58000</v>
      </c>
      <c r="N658" t="s">
        <v>3704</v>
      </c>
      <c r="O658" t="s">
        <v>3705</v>
      </c>
    </row>
    <row r="659" spans="1:15" x14ac:dyDescent="0.35">
      <c r="A659" t="s">
        <v>672</v>
      </c>
      <c r="B659" t="s">
        <v>1637</v>
      </c>
      <c r="C659" t="s">
        <v>2173</v>
      </c>
      <c r="D659" t="s">
        <v>3139</v>
      </c>
      <c r="E659" t="s">
        <v>3672</v>
      </c>
      <c r="F659">
        <v>23</v>
      </c>
      <c r="G659" t="s">
        <v>3677</v>
      </c>
      <c r="H659" t="s">
        <v>3680</v>
      </c>
      <c r="I659" t="s">
        <v>3686</v>
      </c>
      <c r="J659" t="s">
        <v>3693</v>
      </c>
      <c r="K659" t="s">
        <v>3696</v>
      </c>
      <c r="L659">
        <v>5</v>
      </c>
      <c r="M659">
        <v>65000</v>
      </c>
      <c r="N659" t="s">
        <v>3703</v>
      </c>
      <c r="O659" t="s">
        <v>3705</v>
      </c>
    </row>
    <row r="660" spans="1:15" x14ac:dyDescent="0.35">
      <c r="A660" t="s">
        <v>673</v>
      </c>
      <c r="B660" t="s">
        <v>1487</v>
      </c>
      <c r="C660" t="s">
        <v>2277</v>
      </c>
      <c r="D660" t="s">
        <v>3140</v>
      </c>
      <c r="E660" t="s">
        <v>3672</v>
      </c>
      <c r="F660">
        <v>56</v>
      </c>
      <c r="G660" t="s">
        <v>3674</v>
      </c>
      <c r="H660" t="s">
        <v>3680</v>
      </c>
      <c r="I660" t="s">
        <v>3685</v>
      </c>
      <c r="J660" t="s">
        <v>3692</v>
      </c>
      <c r="K660" t="s">
        <v>3695</v>
      </c>
      <c r="L660">
        <v>1</v>
      </c>
      <c r="M660">
        <v>12000</v>
      </c>
      <c r="N660" t="s">
        <v>3701</v>
      </c>
      <c r="O660" t="s">
        <v>3707</v>
      </c>
    </row>
    <row r="661" spans="1:15" x14ac:dyDescent="0.35">
      <c r="A661" t="s">
        <v>674</v>
      </c>
      <c r="B661" t="s">
        <v>1638</v>
      </c>
      <c r="C661" t="s">
        <v>1913</v>
      </c>
      <c r="D661" t="s">
        <v>3141</v>
      </c>
      <c r="E661" t="s">
        <v>3672</v>
      </c>
      <c r="F661">
        <v>52</v>
      </c>
      <c r="G661" t="s">
        <v>3673</v>
      </c>
      <c r="H661" t="s">
        <v>3673</v>
      </c>
      <c r="I661" t="s">
        <v>3685</v>
      </c>
      <c r="J661" t="s">
        <v>3692</v>
      </c>
      <c r="K661" t="s">
        <v>3695</v>
      </c>
      <c r="L661">
        <v>4</v>
      </c>
      <c r="M661">
        <v>12000</v>
      </c>
      <c r="N661" t="s">
        <v>3702</v>
      </c>
      <c r="O661" t="s">
        <v>3705</v>
      </c>
    </row>
    <row r="662" spans="1:15" x14ac:dyDescent="0.35">
      <c r="A662" t="s">
        <v>675</v>
      </c>
      <c r="B662" t="s">
        <v>1639</v>
      </c>
      <c r="C662" t="s">
        <v>2049</v>
      </c>
      <c r="D662" t="s">
        <v>3142</v>
      </c>
      <c r="E662" t="s">
        <v>3672</v>
      </c>
      <c r="F662">
        <v>36</v>
      </c>
      <c r="G662" t="s">
        <v>3679</v>
      </c>
      <c r="H662" t="s">
        <v>3684</v>
      </c>
      <c r="I662" t="s">
        <v>3689</v>
      </c>
      <c r="J662" t="s">
        <v>3694</v>
      </c>
      <c r="K662" t="s">
        <v>3699</v>
      </c>
      <c r="L662">
        <v>1</v>
      </c>
      <c r="M662">
        <v>1800</v>
      </c>
      <c r="N662" t="s">
        <v>3702</v>
      </c>
      <c r="O662" t="s">
        <v>3707</v>
      </c>
    </row>
    <row r="663" spans="1:15" x14ac:dyDescent="0.35">
      <c r="A663" t="s">
        <v>676</v>
      </c>
      <c r="B663" t="s">
        <v>1640</v>
      </c>
      <c r="C663" t="s">
        <v>2211</v>
      </c>
      <c r="D663" t="s">
        <v>3143</v>
      </c>
      <c r="E663" t="s">
        <v>3671</v>
      </c>
      <c r="F663">
        <v>42</v>
      </c>
      <c r="G663" t="s">
        <v>3679</v>
      </c>
      <c r="H663" t="s">
        <v>3684</v>
      </c>
      <c r="I663" t="s">
        <v>3691</v>
      </c>
      <c r="J663" t="s">
        <v>3693</v>
      </c>
      <c r="K663" t="s">
        <v>3696</v>
      </c>
      <c r="L663">
        <v>5</v>
      </c>
      <c r="M663">
        <v>58000</v>
      </c>
      <c r="N663" t="s">
        <v>3704</v>
      </c>
      <c r="O663" t="s">
        <v>3707</v>
      </c>
    </row>
    <row r="664" spans="1:15" x14ac:dyDescent="0.35">
      <c r="A664" t="s">
        <v>677</v>
      </c>
      <c r="B664" t="s">
        <v>1641</v>
      </c>
      <c r="C664" t="s">
        <v>2278</v>
      </c>
      <c r="D664" t="s">
        <v>3144</v>
      </c>
      <c r="E664" t="s">
        <v>3671</v>
      </c>
      <c r="F664">
        <v>20</v>
      </c>
      <c r="G664" t="s">
        <v>3673</v>
      </c>
      <c r="H664" t="s">
        <v>3673</v>
      </c>
      <c r="I664" t="s">
        <v>3690</v>
      </c>
      <c r="J664" t="s">
        <v>3693</v>
      </c>
      <c r="K664" t="s">
        <v>3700</v>
      </c>
      <c r="L664">
        <v>1</v>
      </c>
      <c r="M664">
        <v>72000</v>
      </c>
      <c r="N664" t="s">
        <v>3702</v>
      </c>
      <c r="O664" t="s">
        <v>3707</v>
      </c>
    </row>
    <row r="665" spans="1:15" x14ac:dyDescent="0.35">
      <c r="A665" t="s">
        <v>678</v>
      </c>
      <c r="B665" t="s">
        <v>1517</v>
      </c>
      <c r="C665" t="s">
        <v>1823</v>
      </c>
      <c r="D665" t="s">
        <v>3145</v>
      </c>
      <c r="E665" t="s">
        <v>3672</v>
      </c>
      <c r="F665">
        <v>34</v>
      </c>
      <c r="G665" t="s">
        <v>3679</v>
      </c>
      <c r="H665" t="s">
        <v>3684</v>
      </c>
      <c r="I665" t="s">
        <v>3687</v>
      </c>
      <c r="J665" t="s">
        <v>3693</v>
      </c>
      <c r="K665" t="s">
        <v>3697</v>
      </c>
      <c r="L665">
        <v>1</v>
      </c>
      <c r="M665">
        <v>5000</v>
      </c>
      <c r="N665" t="s">
        <v>3703</v>
      </c>
      <c r="O665" t="s">
        <v>3706</v>
      </c>
    </row>
    <row r="666" spans="1:15" x14ac:dyDescent="0.35">
      <c r="A666" t="s">
        <v>679</v>
      </c>
      <c r="B666" t="s">
        <v>1642</v>
      </c>
      <c r="C666" t="s">
        <v>2279</v>
      </c>
      <c r="D666" t="s">
        <v>3146</v>
      </c>
      <c r="E666" t="s">
        <v>3672</v>
      </c>
      <c r="F666">
        <v>36</v>
      </c>
      <c r="G666" t="s">
        <v>3676</v>
      </c>
      <c r="H666" t="s">
        <v>3682</v>
      </c>
      <c r="I666" t="s">
        <v>3686</v>
      </c>
      <c r="J666" t="s">
        <v>3693</v>
      </c>
      <c r="K666" t="s">
        <v>3696</v>
      </c>
      <c r="L666">
        <v>4</v>
      </c>
      <c r="M666">
        <v>65000</v>
      </c>
      <c r="N666" t="s">
        <v>3704</v>
      </c>
      <c r="O666" t="s">
        <v>3705</v>
      </c>
    </row>
    <row r="667" spans="1:15" x14ac:dyDescent="0.35">
      <c r="A667" t="s">
        <v>680</v>
      </c>
      <c r="B667" t="s">
        <v>1643</v>
      </c>
      <c r="C667" t="s">
        <v>1869</v>
      </c>
      <c r="D667" t="s">
        <v>3147</v>
      </c>
      <c r="E667" t="s">
        <v>3672</v>
      </c>
      <c r="F667">
        <v>38</v>
      </c>
      <c r="G667" t="s">
        <v>3675</v>
      </c>
      <c r="H667" t="s">
        <v>3681</v>
      </c>
      <c r="I667" t="s">
        <v>3689</v>
      </c>
      <c r="J667" t="s">
        <v>3694</v>
      </c>
      <c r="K667" t="s">
        <v>3699</v>
      </c>
      <c r="L667">
        <v>4</v>
      </c>
      <c r="M667">
        <v>1800</v>
      </c>
      <c r="N667" t="s">
        <v>3702</v>
      </c>
      <c r="O667" t="s">
        <v>3706</v>
      </c>
    </row>
    <row r="668" spans="1:15" x14ac:dyDescent="0.35">
      <c r="A668" t="s">
        <v>681</v>
      </c>
      <c r="B668" t="s">
        <v>1644</v>
      </c>
      <c r="C668" t="s">
        <v>2280</v>
      </c>
      <c r="D668" t="s">
        <v>3148</v>
      </c>
      <c r="E668" t="s">
        <v>3672</v>
      </c>
      <c r="F668">
        <v>50</v>
      </c>
      <c r="G668" t="s">
        <v>3678</v>
      </c>
      <c r="H668" t="s">
        <v>3683</v>
      </c>
      <c r="I668" t="s">
        <v>3689</v>
      </c>
      <c r="J668" t="s">
        <v>3694</v>
      </c>
      <c r="K668" t="s">
        <v>3699</v>
      </c>
      <c r="L668">
        <v>4</v>
      </c>
      <c r="M668">
        <v>1800</v>
      </c>
      <c r="N668" t="s">
        <v>3703</v>
      </c>
      <c r="O668" t="s">
        <v>3706</v>
      </c>
    </row>
    <row r="669" spans="1:15" x14ac:dyDescent="0.35">
      <c r="A669" t="s">
        <v>682</v>
      </c>
      <c r="B669" t="s">
        <v>1645</v>
      </c>
      <c r="C669" t="s">
        <v>2281</v>
      </c>
      <c r="D669" t="s">
        <v>3149</v>
      </c>
      <c r="E669" t="s">
        <v>3672</v>
      </c>
      <c r="F669">
        <v>36</v>
      </c>
      <c r="G669" t="s">
        <v>3678</v>
      </c>
      <c r="H669" t="s">
        <v>3683</v>
      </c>
      <c r="I669" t="s">
        <v>3687</v>
      </c>
      <c r="J669" t="s">
        <v>3693</v>
      </c>
      <c r="K669" t="s">
        <v>3697</v>
      </c>
      <c r="L669">
        <v>3</v>
      </c>
      <c r="M669">
        <v>5000</v>
      </c>
      <c r="N669" t="s">
        <v>3701</v>
      </c>
      <c r="O669" t="s">
        <v>3705</v>
      </c>
    </row>
    <row r="670" spans="1:15" x14ac:dyDescent="0.35">
      <c r="A670" t="s">
        <v>683</v>
      </c>
      <c r="B670" t="s">
        <v>1232</v>
      </c>
      <c r="C670" t="s">
        <v>2282</v>
      </c>
      <c r="D670" t="s">
        <v>3150</v>
      </c>
      <c r="E670" t="s">
        <v>3672</v>
      </c>
      <c r="F670">
        <v>23</v>
      </c>
      <c r="G670" t="s">
        <v>3677</v>
      </c>
      <c r="H670" t="s">
        <v>3680</v>
      </c>
      <c r="I670" t="s">
        <v>3691</v>
      </c>
      <c r="J670" t="s">
        <v>3693</v>
      </c>
      <c r="K670" t="s">
        <v>3696</v>
      </c>
      <c r="L670">
        <v>3</v>
      </c>
      <c r="M670">
        <v>58000</v>
      </c>
      <c r="N670" t="s">
        <v>3704</v>
      </c>
      <c r="O670" t="s">
        <v>3707</v>
      </c>
    </row>
    <row r="671" spans="1:15" x14ac:dyDescent="0.35">
      <c r="A671" t="s">
        <v>684</v>
      </c>
      <c r="B671" t="s">
        <v>1646</v>
      </c>
      <c r="C671" t="s">
        <v>2160</v>
      </c>
      <c r="D671" t="s">
        <v>3151</v>
      </c>
      <c r="E671" t="s">
        <v>3672</v>
      </c>
      <c r="F671">
        <v>46</v>
      </c>
      <c r="G671" t="s">
        <v>3676</v>
      </c>
      <c r="H671" t="s">
        <v>3682</v>
      </c>
      <c r="I671" t="s">
        <v>3687</v>
      </c>
      <c r="J671" t="s">
        <v>3693</v>
      </c>
      <c r="K671" t="s">
        <v>3697</v>
      </c>
      <c r="L671">
        <v>3</v>
      </c>
      <c r="M671">
        <v>5000</v>
      </c>
      <c r="N671" t="s">
        <v>3704</v>
      </c>
      <c r="O671" t="s">
        <v>3705</v>
      </c>
    </row>
    <row r="672" spans="1:15" x14ac:dyDescent="0.35">
      <c r="A672" t="s">
        <v>685</v>
      </c>
      <c r="B672" t="s">
        <v>1402</v>
      </c>
      <c r="C672" t="s">
        <v>2283</v>
      </c>
      <c r="D672" t="s">
        <v>3152</v>
      </c>
      <c r="E672" t="s">
        <v>3672</v>
      </c>
      <c r="F672">
        <v>32</v>
      </c>
      <c r="G672" t="s">
        <v>3675</v>
      </c>
      <c r="H672" t="s">
        <v>3681</v>
      </c>
      <c r="I672" t="s">
        <v>3691</v>
      </c>
      <c r="J672" t="s">
        <v>3693</v>
      </c>
      <c r="K672" t="s">
        <v>3696</v>
      </c>
      <c r="L672">
        <v>5</v>
      </c>
      <c r="M672">
        <v>58000</v>
      </c>
      <c r="N672" t="s">
        <v>3703</v>
      </c>
      <c r="O672" t="s">
        <v>3705</v>
      </c>
    </row>
    <row r="673" spans="1:15" x14ac:dyDescent="0.35">
      <c r="A673" t="s">
        <v>686</v>
      </c>
      <c r="B673" t="s">
        <v>1434</v>
      </c>
      <c r="C673" t="s">
        <v>2047</v>
      </c>
      <c r="D673" t="s">
        <v>3153</v>
      </c>
      <c r="E673" t="s">
        <v>3671</v>
      </c>
      <c r="F673">
        <v>24</v>
      </c>
      <c r="G673" t="s">
        <v>3678</v>
      </c>
      <c r="H673" t="s">
        <v>3683</v>
      </c>
      <c r="I673" t="s">
        <v>3685</v>
      </c>
      <c r="J673" t="s">
        <v>3692</v>
      </c>
      <c r="K673" t="s">
        <v>3695</v>
      </c>
      <c r="L673">
        <v>2</v>
      </c>
      <c r="M673">
        <v>12000</v>
      </c>
      <c r="N673" t="s">
        <v>3702</v>
      </c>
      <c r="O673" t="s">
        <v>3707</v>
      </c>
    </row>
    <row r="674" spans="1:15" x14ac:dyDescent="0.35">
      <c r="A674" t="s">
        <v>687</v>
      </c>
      <c r="B674" t="s">
        <v>1647</v>
      </c>
      <c r="C674" t="s">
        <v>2284</v>
      </c>
      <c r="D674" t="s">
        <v>3154</v>
      </c>
      <c r="E674" t="s">
        <v>3672</v>
      </c>
      <c r="F674">
        <v>37</v>
      </c>
      <c r="G674" t="s">
        <v>3673</v>
      </c>
      <c r="H674" t="s">
        <v>3673</v>
      </c>
      <c r="I674" t="s">
        <v>3689</v>
      </c>
      <c r="J674" t="s">
        <v>3694</v>
      </c>
      <c r="K674" t="s">
        <v>3699</v>
      </c>
      <c r="L674">
        <v>5</v>
      </c>
      <c r="M674">
        <v>1800</v>
      </c>
      <c r="N674" t="s">
        <v>3701</v>
      </c>
      <c r="O674" t="s">
        <v>3706</v>
      </c>
    </row>
    <row r="675" spans="1:15" x14ac:dyDescent="0.35">
      <c r="A675" t="s">
        <v>688</v>
      </c>
      <c r="B675" t="s">
        <v>1648</v>
      </c>
      <c r="C675" t="s">
        <v>2285</v>
      </c>
      <c r="D675" t="s">
        <v>3155</v>
      </c>
      <c r="E675" t="s">
        <v>3672</v>
      </c>
      <c r="F675">
        <v>29</v>
      </c>
      <c r="G675" t="s">
        <v>3676</v>
      </c>
      <c r="H675" t="s">
        <v>3682</v>
      </c>
      <c r="I675" t="s">
        <v>3688</v>
      </c>
      <c r="J675" t="s">
        <v>3694</v>
      </c>
      <c r="K675" t="s">
        <v>3698</v>
      </c>
      <c r="L675">
        <v>5</v>
      </c>
      <c r="M675">
        <v>4500</v>
      </c>
      <c r="N675" t="s">
        <v>3701</v>
      </c>
      <c r="O675" t="s">
        <v>3707</v>
      </c>
    </row>
    <row r="676" spans="1:15" x14ac:dyDescent="0.35">
      <c r="A676" t="s">
        <v>689</v>
      </c>
      <c r="B676" t="s">
        <v>1630</v>
      </c>
      <c r="C676" t="s">
        <v>1893</v>
      </c>
      <c r="D676" t="s">
        <v>3156</v>
      </c>
      <c r="E676" t="s">
        <v>3671</v>
      </c>
      <c r="F676">
        <v>52</v>
      </c>
      <c r="G676" t="s">
        <v>3674</v>
      </c>
      <c r="H676" t="s">
        <v>3680</v>
      </c>
      <c r="I676" t="s">
        <v>3688</v>
      </c>
      <c r="J676" t="s">
        <v>3694</v>
      </c>
      <c r="K676" t="s">
        <v>3698</v>
      </c>
      <c r="L676">
        <v>5</v>
      </c>
      <c r="M676">
        <v>4500</v>
      </c>
      <c r="N676" t="s">
        <v>3702</v>
      </c>
      <c r="O676" t="s">
        <v>3707</v>
      </c>
    </row>
    <row r="677" spans="1:15" x14ac:dyDescent="0.35">
      <c r="A677" t="s">
        <v>690</v>
      </c>
      <c r="B677" t="s">
        <v>1649</v>
      </c>
      <c r="C677" t="s">
        <v>2218</v>
      </c>
      <c r="D677" t="s">
        <v>3157</v>
      </c>
      <c r="E677" t="s">
        <v>3672</v>
      </c>
      <c r="F677">
        <v>22</v>
      </c>
      <c r="G677" t="s">
        <v>3675</v>
      </c>
      <c r="H677" t="s">
        <v>3681</v>
      </c>
      <c r="I677" t="s">
        <v>3689</v>
      </c>
      <c r="J677" t="s">
        <v>3694</v>
      </c>
      <c r="K677" t="s">
        <v>3699</v>
      </c>
      <c r="L677">
        <v>4</v>
      </c>
      <c r="M677">
        <v>1800</v>
      </c>
      <c r="N677" t="s">
        <v>3704</v>
      </c>
      <c r="O677" t="s">
        <v>3706</v>
      </c>
    </row>
    <row r="678" spans="1:15" x14ac:dyDescent="0.35">
      <c r="A678" t="s">
        <v>691</v>
      </c>
      <c r="B678" t="s">
        <v>1374</v>
      </c>
      <c r="C678" t="s">
        <v>2286</v>
      </c>
      <c r="D678" t="s">
        <v>3158</v>
      </c>
      <c r="E678" t="s">
        <v>3671</v>
      </c>
      <c r="F678">
        <v>32</v>
      </c>
      <c r="G678" t="s">
        <v>3674</v>
      </c>
      <c r="H678" t="s">
        <v>3680</v>
      </c>
      <c r="I678" t="s">
        <v>3689</v>
      </c>
      <c r="J678" t="s">
        <v>3694</v>
      </c>
      <c r="K678" t="s">
        <v>3699</v>
      </c>
      <c r="L678">
        <v>3</v>
      </c>
      <c r="M678">
        <v>1800</v>
      </c>
      <c r="N678" t="s">
        <v>3701</v>
      </c>
      <c r="O678" t="s">
        <v>3707</v>
      </c>
    </row>
    <row r="679" spans="1:15" x14ac:dyDescent="0.35">
      <c r="A679" t="s">
        <v>692</v>
      </c>
      <c r="B679" t="s">
        <v>1339</v>
      </c>
      <c r="C679" t="s">
        <v>1995</v>
      </c>
      <c r="D679" t="s">
        <v>3159</v>
      </c>
      <c r="E679" t="s">
        <v>3671</v>
      </c>
      <c r="F679">
        <v>45</v>
      </c>
      <c r="G679" t="s">
        <v>3674</v>
      </c>
      <c r="H679" t="s">
        <v>3680</v>
      </c>
      <c r="I679" t="s">
        <v>3687</v>
      </c>
      <c r="J679" t="s">
        <v>3693</v>
      </c>
      <c r="K679" t="s">
        <v>3697</v>
      </c>
      <c r="L679">
        <v>2</v>
      </c>
      <c r="M679">
        <v>5000</v>
      </c>
      <c r="N679" t="s">
        <v>3702</v>
      </c>
      <c r="O679" t="s">
        <v>3706</v>
      </c>
    </row>
    <row r="680" spans="1:15" x14ac:dyDescent="0.35">
      <c r="A680" t="s">
        <v>693</v>
      </c>
      <c r="B680" t="s">
        <v>1553</v>
      </c>
      <c r="C680" t="s">
        <v>2287</v>
      </c>
      <c r="D680" t="s">
        <v>2588</v>
      </c>
      <c r="E680" t="s">
        <v>3671</v>
      </c>
      <c r="F680">
        <v>55</v>
      </c>
      <c r="G680" t="s">
        <v>3677</v>
      </c>
      <c r="H680" t="s">
        <v>3680</v>
      </c>
      <c r="I680" t="s">
        <v>3690</v>
      </c>
      <c r="J680" t="s">
        <v>3693</v>
      </c>
      <c r="K680" t="s">
        <v>3700</v>
      </c>
      <c r="L680">
        <v>3</v>
      </c>
      <c r="M680">
        <v>72000</v>
      </c>
      <c r="N680" t="s">
        <v>3701</v>
      </c>
      <c r="O680" t="s">
        <v>3707</v>
      </c>
    </row>
    <row r="681" spans="1:15" x14ac:dyDescent="0.35">
      <c r="A681" t="s">
        <v>694</v>
      </c>
      <c r="B681" t="s">
        <v>1314</v>
      </c>
      <c r="C681" t="s">
        <v>2288</v>
      </c>
      <c r="D681" t="s">
        <v>3160</v>
      </c>
      <c r="E681" t="s">
        <v>3671</v>
      </c>
      <c r="F681">
        <v>57</v>
      </c>
      <c r="G681" t="s">
        <v>3675</v>
      </c>
      <c r="H681" t="s">
        <v>3681</v>
      </c>
      <c r="I681" t="s">
        <v>3689</v>
      </c>
      <c r="J681" t="s">
        <v>3694</v>
      </c>
      <c r="K681" t="s">
        <v>3699</v>
      </c>
      <c r="L681">
        <v>1</v>
      </c>
      <c r="M681">
        <v>1800</v>
      </c>
      <c r="N681" t="s">
        <v>3701</v>
      </c>
      <c r="O681" t="s">
        <v>3705</v>
      </c>
    </row>
    <row r="682" spans="1:15" x14ac:dyDescent="0.35">
      <c r="A682" t="s">
        <v>695</v>
      </c>
      <c r="B682" t="s">
        <v>1289</v>
      </c>
      <c r="C682" t="s">
        <v>2289</v>
      </c>
      <c r="D682" t="s">
        <v>3161</v>
      </c>
      <c r="E682" t="s">
        <v>3672</v>
      </c>
      <c r="F682">
        <v>21</v>
      </c>
      <c r="G682" t="s">
        <v>3675</v>
      </c>
      <c r="H682" t="s">
        <v>3681</v>
      </c>
      <c r="I682" t="s">
        <v>3687</v>
      </c>
      <c r="J682" t="s">
        <v>3693</v>
      </c>
      <c r="K682" t="s">
        <v>3697</v>
      </c>
      <c r="L682">
        <v>3</v>
      </c>
      <c r="M682">
        <v>5000</v>
      </c>
      <c r="N682" t="s">
        <v>3703</v>
      </c>
      <c r="O682" t="s">
        <v>3706</v>
      </c>
    </row>
    <row r="683" spans="1:15" x14ac:dyDescent="0.35">
      <c r="A683" t="s">
        <v>696</v>
      </c>
      <c r="B683" t="s">
        <v>1318</v>
      </c>
      <c r="C683" t="s">
        <v>2290</v>
      </c>
      <c r="D683" t="s">
        <v>3162</v>
      </c>
      <c r="E683" t="s">
        <v>3672</v>
      </c>
      <c r="F683">
        <v>40</v>
      </c>
      <c r="G683" t="s">
        <v>3674</v>
      </c>
      <c r="H683" t="s">
        <v>3680</v>
      </c>
      <c r="I683" t="s">
        <v>3689</v>
      </c>
      <c r="J683" t="s">
        <v>3694</v>
      </c>
      <c r="K683" t="s">
        <v>3699</v>
      </c>
      <c r="L683">
        <v>3</v>
      </c>
      <c r="M683">
        <v>1800</v>
      </c>
      <c r="N683" t="s">
        <v>3702</v>
      </c>
      <c r="O683" t="s">
        <v>3705</v>
      </c>
    </row>
    <row r="684" spans="1:15" x14ac:dyDescent="0.35">
      <c r="A684" t="s">
        <v>697</v>
      </c>
      <c r="B684" t="s">
        <v>1650</v>
      </c>
      <c r="C684" t="s">
        <v>2291</v>
      </c>
      <c r="D684" t="s">
        <v>3163</v>
      </c>
      <c r="E684" t="s">
        <v>3671</v>
      </c>
      <c r="F684">
        <v>26</v>
      </c>
      <c r="G684" t="s">
        <v>3677</v>
      </c>
      <c r="H684" t="s">
        <v>3680</v>
      </c>
      <c r="I684" t="s">
        <v>3687</v>
      </c>
      <c r="J684" t="s">
        <v>3693</v>
      </c>
      <c r="K684" t="s">
        <v>3697</v>
      </c>
      <c r="L684">
        <v>4</v>
      </c>
      <c r="M684">
        <v>5000</v>
      </c>
      <c r="N684" t="s">
        <v>3702</v>
      </c>
      <c r="O684" t="s">
        <v>3707</v>
      </c>
    </row>
    <row r="685" spans="1:15" x14ac:dyDescent="0.35">
      <c r="A685" t="s">
        <v>698</v>
      </c>
      <c r="B685" t="s">
        <v>1651</v>
      </c>
      <c r="C685" t="s">
        <v>2292</v>
      </c>
      <c r="D685" t="s">
        <v>2956</v>
      </c>
      <c r="E685" t="s">
        <v>3671</v>
      </c>
      <c r="F685">
        <v>56</v>
      </c>
      <c r="G685" t="s">
        <v>3676</v>
      </c>
      <c r="H685" t="s">
        <v>3682</v>
      </c>
      <c r="I685" t="s">
        <v>3687</v>
      </c>
      <c r="J685" t="s">
        <v>3693</v>
      </c>
      <c r="K685" t="s">
        <v>3697</v>
      </c>
      <c r="L685">
        <v>2</v>
      </c>
      <c r="M685">
        <v>5000</v>
      </c>
      <c r="N685" t="s">
        <v>3702</v>
      </c>
      <c r="O685" t="s">
        <v>3705</v>
      </c>
    </row>
    <row r="686" spans="1:15" x14ac:dyDescent="0.35">
      <c r="A686" t="s">
        <v>699</v>
      </c>
      <c r="B686" t="s">
        <v>1523</v>
      </c>
      <c r="C686" t="s">
        <v>1880</v>
      </c>
      <c r="D686" t="s">
        <v>3164</v>
      </c>
      <c r="E686" t="s">
        <v>3671</v>
      </c>
      <c r="F686">
        <v>36</v>
      </c>
      <c r="G686" t="s">
        <v>3674</v>
      </c>
      <c r="H686" t="s">
        <v>3680</v>
      </c>
      <c r="I686" t="s">
        <v>3687</v>
      </c>
      <c r="J686" t="s">
        <v>3693</v>
      </c>
      <c r="K686" t="s">
        <v>3697</v>
      </c>
      <c r="L686">
        <v>3</v>
      </c>
      <c r="M686">
        <v>5000</v>
      </c>
      <c r="N686" t="s">
        <v>3704</v>
      </c>
      <c r="O686" t="s">
        <v>3707</v>
      </c>
    </row>
    <row r="687" spans="1:15" x14ac:dyDescent="0.35">
      <c r="A687" t="s">
        <v>700</v>
      </c>
      <c r="B687" t="s">
        <v>1481</v>
      </c>
      <c r="C687" t="s">
        <v>2269</v>
      </c>
      <c r="D687" t="s">
        <v>3165</v>
      </c>
      <c r="E687" t="s">
        <v>3672</v>
      </c>
      <c r="F687">
        <v>50</v>
      </c>
      <c r="G687" t="s">
        <v>3674</v>
      </c>
      <c r="H687" t="s">
        <v>3680</v>
      </c>
      <c r="I687" t="s">
        <v>3690</v>
      </c>
      <c r="J687" t="s">
        <v>3693</v>
      </c>
      <c r="K687" t="s">
        <v>3700</v>
      </c>
      <c r="L687">
        <v>4</v>
      </c>
      <c r="M687">
        <v>72000</v>
      </c>
      <c r="N687" t="s">
        <v>3701</v>
      </c>
      <c r="O687" t="s">
        <v>3707</v>
      </c>
    </row>
    <row r="688" spans="1:15" x14ac:dyDescent="0.35">
      <c r="A688" t="s">
        <v>701</v>
      </c>
      <c r="B688" t="s">
        <v>1652</v>
      </c>
      <c r="C688" t="s">
        <v>2293</v>
      </c>
      <c r="D688" t="s">
        <v>3166</v>
      </c>
      <c r="E688" t="s">
        <v>3671</v>
      </c>
      <c r="F688">
        <v>35</v>
      </c>
      <c r="G688" t="s">
        <v>3674</v>
      </c>
      <c r="H688" t="s">
        <v>3680</v>
      </c>
      <c r="I688" t="s">
        <v>3686</v>
      </c>
      <c r="J688" t="s">
        <v>3693</v>
      </c>
      <c r="K688" t="s">
        <v>3696</v>
      </c>
      <c r="L688">
        <v>3</v>
      </c>
      <c r="M688">
        <v>65000</v>
      </c>
      <c r="N688" t="s">
        <v>3701</v>
      </c>
      <c r="O688" t="s">
        <v>3705</v>
      </c>
    </row>
    <row r="689" spans="1:15" x14ac:dyDescent="0.35">
      <c r="A689" t="s">
        <v>702</v>
      </c>
      <c r="B689" t="s">
        <v>1653</v>
      </c>
      <c r="C689" t="s">
        <v>2246</v>
      </c>
      <c r="D689" t="s">
        <v>3167</v>
      </c>
      <c r="E689" t="s">
        <v>3671</v>
      </c>
      <c r="F689">
        <v>52</v>
      </c>
      <c r="G689" t="s">
        <v>3677</v>
      </c>
      <c r="H689" t="s">
        <v>3680</v>
      </c>
      <c r="I689" t="s">
        <v>3690</v>
      </c>
      <c r="J689" t="s">
        <v>3693</v>
      </c>
      <c r="K689" t="s">
        <v>3700</v>
      </c>
      <c r="L689">
        <v>2</v>
      </c>
      <c r="M689">
        <v>72000</v>
      </c>
      <c r="N689" t="s">
        <v>3703</v>
      </c>
      <c r="O689" t="s">
        <v>3706</v>
      </c>
    </row>
    <row r="690" spans="1:15" x14ac:dyDescent="0.35">
      <c r="A690" t="s">
        <v>703</v>
      </c>
      <c r="B690" t="s">
        <v>1452</v>
      </c>
      <c r="C690" t="s">
        <v>1877</v>
      </c>
      <c r="D690" t="s">
        <v>3168</v>
      </c>
      <c r="E690" t="s">
        <v>3672</v>
      </c>
      <c r="F690">
        <v>56</v>
      </c>
      <c r="G690" t="s">
        <v>3676</v>
      </c>
      <c r="H690" t="s">
        <v>3682</v>
      </c>
      <c r="I690" t="s">
        <v>3686</v>
      </c>
      <c r="J690" t="s">
        <v>3693</v>
      </c>
      <c r="K690" t="s">
        <v>3696</v>
      </c>
      <c r="L690">
        <v>2</v>
      </c>
      <c r="M690">
        <v>65000</v>
      </c>
      <c r="N690" t="s">
        <v>3703</v>
      </c>
      <c r="O690" t="s">
        <v>3707</v>
      </c>
    </row>
    <row r="691" spans="1:15" x14ac:dyDescent="0.35">
      <c r="A691" t="s">
        <v>704</v>
      </c>
      <c r="B691" t="s">
        <v>1426</v>
      </c>
      <c r="C691" t="s">
        <v>1835</v>
      </c>
      <c r="D691" t="s">
        <v>3169</v>
      </c>
      <c r="E691" t="s">
        <v>3672</v>
      </c>
      <c r="F691">
        <v>48</v>
      </c>
      <c r="G691" t="s">
        <v>3679</v>
      </c>
      <c r="H691" t="s">
        <v>3684</v>
      </c>
      <c r="I691" t="s">
        <v>3691</v>
      </c>
      <c r="J691" t="s">
        <v>3693</v>
      </c>
      <c r="K691" t="s">
        <v>3696</v>
      </c>
      <c r="L691">
        <v>1</v>
      </c>
      <c r="M691">
        <v>58000</v>
      </c>
      <c r="N691" t="s">
        <v>3703</v>
      </c>
      <c r="O691" t="s">
        <v>3705</v>
      </c>
    </row>
    <row r="692" spans="1:15" x14ac:dyDescent="0.35">
      <c r="A692" t="s">
        <v>705</v>
      </c>
      <c r="B692" t="s">
        <v>1654</v>
      </c>
      <c r="C692" t="s">
        <v>1812</v>
      </c>
      <c r="D692" t="s">
        <v>3170</v>
      </c>
      <c r="E692" t="s">
        <v>3671</v>
      </c>
      <c r="F692">
        <v>28</v>
      </c>
      <c r="G692" t="s">
        <v>3677</v>
      </c>
      <c r="H692" t="s">
        <v>3680</v>
      </c>
      <c r="I692" t="s">
        <v>3690</v>
      </c>
      <c r="J692" t="s">
        <v>3693</v>
      </c>
      <c r="K692" t="s">
        <v>3700</v>
      </c>
      <c r="L692">
        <v>1</v>
      </c>
      <c r="M692">
        <v>72000</v>
      </c>
      <c r="N692" t="s">
        <v>3702</v>
      </c>
      <c r="O692" t="s">
        <v>3707</v>
      </c>
    </row>
    <row r="693" spans="1:15" x14ac:dyDescent="0.35">
      <c r="A693" t="s">
        <v>706</v>
      </c>
      <c r="B693" t="s">
        <v>1655</v>
      </c>
      <c r="C693" t="s">
        <v>2176</v>
      </c>
      <c r="D693" t="s">
        <v>3171</v>
      </c>
      <c r="E693" t="s">
        <v>3671</v>
      </c>
      <c r="F693">
        <v>23</v>
      </c>
      <c r="G693" t="s">
        <v>3674</v>
      </c>
      <c r="H693" t="s">
        <v>3680</v>
      </c>
      <c r="I693" t="s">
        <v>3685</v>
      </c>
      <c r="J693" t="s">
        <v>3692</v>
      </c>
      <c r="K693" t="s">
        <v>3695</v>
      </c>
      <c r="L693">
        <v>1</v>
      </c>
      <c r="M693">
        <v>12000</v>
      </c>
      <c r="N693" t="s">
        <v>3703</v>
      </c>
      <c r="O693" t="s">
        <v>3707</v>
      </c>
    </row>
    <row r="694" spans="1:15" x14ac:dyDescent="0.35">
      <c r="A694" t="s">
        <v>707</v>
      </c>
      <c r="B694" t="s">
        <v>1656</v>
      </c>
      <c r="C694" t="s">
        <v>2294</v>
      </c>
      <c r="D694" t="s">
        <v>3172</v>
      </c>
      <c r="E694" t="s">
        <v>3671</v>
      </c>
      <c r="F694">
        <v>45</v>
      </c>
      <c r="G694" t="s">
        <v>3675</v>
      </c>
      <c r="H694" t="s">
        <v>3681</v>
      </c>
      <c r="I694" t="s">
        <v>3687</v>
      </c>
      <c r="J694" t="s">
        <v>3693</v>
      </c>
      <c r="K694" t="s">
        <v>3697</v>
      </c>
      <c r="L694">
        <v>1</v>
      </c>
      <c r="M694">
        <v>5000</v>
      </c>
      <c r="N694" t="s">
        <v>3704</v>
      </c>
      <c r="O694" t="s">
        <v>3707</v>
      </c>
    </row>
    <row r="695" spans="1:15" x14ac:dyDescent="0.35">
      <c r="A695" t="s">
        <v>708</v>
      </c>
      <c r="B695" t="s">
        <v>1612</v>
      </c>
      <c r="C695" t="s">
        <v>1803</v>
      </c>
      <c r="D695" t="s">
        <v>3173</v>
      </c>
      <c r="E695" t="s">
        <v>3671</v>
      </c>
      <c r="F695">
        <v>34</v>
      </c>
      <c r="G695" t="s">
        <v>3673</v>
      </c>
      <c r="H695" t="s">
        <v>3673</v>
      </c>
      <c r="I695" t="s">
        <v>3686</v>
      </c>
      <c r="J695" t="s">
        <v>3693</v>
      </c>
      <c r="K695" t="s">
        <v>3696</v>
      </c>
      <c r="L695">
        <v>3</v>
      </c>
      <c r="M695">
        <v>65000</v>
      </c>
      <c r="N695" t="s">
        <v>3703</v>
      </c>
      <c r="O695" t="s">
        <v>3707</v>
      </c>
    </row>
    <row r="696" spans="1:15" x14ac:dyDescent="0.35">
      <c r="A696" t="s">
        <v>709</v>
      </c>
      <c r="B696" t="s">
        <v>1362</v>
      </c>
      <c r="C696" t="s">
        <v>1890</v>
      </c>
      <c r="D696" t="s">
        <v>3174</v>
      </c>
      <c r="E696" t="s">
        <v>3671</v>
      </c>
      <c r="F696">
        <v>22</v>
      </c>
      <c r="G696" t="s">
        <v>3675</v>
      </c>
      <c r="H696" t="s">
        <v>3681</v>
      </c>
      <c r="I696" t="s">
        <v>3686</v>
      </c>
      <c r="J696" t="s">
        <v>3693</v>
      </c>
      <c r="K696" t="s">
        <v>3696</v>
      </c>
      <c r="L696">
        <v>4</v>
      </c>
      <c r="M696">
        <v>65000</v>
      </c>
      <c r="N696" t="s">
        <v>3702</v>
      </c>
      <c r="O696" t="s">
        <v>3705</v>
      </c>
    </row>
    <row r="697" spans="1:15" x14ac:dyDescent="0.35">
      <c r="A697" t="s">
        <v>710</v>
      </c>
      <c r="B697" t="s">
        <v>1528</v>
      </c>
      <c r="C697" t="s">
        <v>2295</v>
      </c>
      <c r="D697" t="s">
        <v>3175</v>
      </c>
      <c r="E697" t="s">
        <v>3671</v>
      </c>
      <c r="F697">
        <v>48</v>
      </c>
      <c r="G697" t="s">
        <v>3677</v>
      </c>
      <c r="H697" t="s">
        <v>3680</v>
      </c>
      <c r="I697" t="s">
        <v>3688</v>
      </c>
      <c r="J697" t="s">
        <v>3694</v>
      </c>
      <c r="K697" t="s">
        <v>3698</v>
      </c>
      <c r="L697">
        <v>1</v>
      </c>
      <c r="M697">
        <v>4500</v>
      </c>
      <c r="N697" t="s">
        <v>3704</v>
      </c>
      <c r="O697" t="s">
        <v>3706</v>
      </c>
    </row>
    <row r="698" spans="1:15" x14ac:dyDescent="0.35">
      <c r="A698" t="s">
        <v>711</v>
      </c>
      <c r="B698" t="s">
        <v>1584</v>
      </c>
      <c r="C698" t="s">
        <v>1869</v>
      </c>
      <c r="D698" t="s">
        <v>3176</v>
      </c>
      <c r="E698" t="s">
        <v>3671</v>
      </c>
      <c r="F698">
        <v>33</v>
      </c>
      <c r="G698" t="s">
        <v>3673</v>
      </c>
      <c r="H698" t="s">
        <v>3673</v>
      </c>
      <c r="I698" t="s">
        <v>3691</v>
      </c>
      <c r="J698" t="s">
        <v>3693</v>
      </c>
      <c r="K698" t="s">
        <v>3696</v>
      </c>
      <c r="L698">
        <v>3</v>
      </c>
      <c r="M698">
        <v>58000</v>
      </c>
      <c r="N698" t="s">
        <v>3704</v>
      </c>
      <c r="O698" t="s">
        <v>3707</v>
      </c>
    </row>
    <row r="699" spans="1:15" x14ac:dyDescent="0.35">
      <c r="A699" t="s">
        <v>712</v>
      </c>
      <c r="B699" t="s">
        <v>1621</v>
      </c>
      <c r="C699" t="s">
        <v>1931</v>
      </c>
      <c r="D699" t="s">
        <v>3177</v>
      </c>
      <c r="E699" t="s">
        <v>3672</v>
      </c>
      <c r="F699">
        <v>22</v>
      </c>
      <c r="G699" t="s">
        <v>3673</v>
      </c>
      <c r="H699" t="s">
        <v>3673</v>
      </c>
      <c r="I699" t="s">
        <v>3689</v>
      </c>
      <c r="J699" t="s">
        <v>3694</v>
      </c>
      <c r="K699" t="s">
        <v>3699</v>
      </c>
      <c r="L699">
        <v>4</v>
      </c>
      <c r="M699">
        <v>1800</v>
      </c>
      <c r="N699" t="s">
        <v>3702</v>
      </c>
      <c r="O699" t="s">
        <v>3707</v>
      </c>
    </row>
    <row r="700" spans="1:15" x14ac:dyDescent="0.35">
      <c r="A700" t="s">
        <v>713</v>
      </c>
      <c r="B700" t="s">
        <v>1575</v>
      </c>
      <c r="C700" t="s">
        <v>2296</v>
      </c>
      <c r="D700" t="s">
        <v>3178</v>
      </c>
      <c r="E700" t="s">
        <v>3672</v>
      </c>
      <c r="F700">
        <v>51</v>
      </c>
      <c r="G700" t="s">
        <v>3676</v>
      </c>
      <c r="H700" t="s">
        <v>3682</v>
      </c>
      <c r="I700" t="s">
        <v>3685</v>
      </c>
      <c r="J700" t="s">
        <v>3692</v>
      </c>
      <c r="K700" t="s">
        <v>3695</v>
      </c>
      <c r="L700">
        <v>4</v>
      </c>
      <c r="M700">
        <v>12000</v>
      </c>
      <c r="N700" t="s">
        <v>3704</v>
      </c>
      <c r="O700" t="s">
        <v>3706</v>
      </c>
    </row>
    <row r="701" spans="1:15" x14ac:dyDescent="0.35">
      <c r="A701" t="s">
        <v>714</v>
      </c>
      <c r="B701" t="s">
        <v>1421</v>
      </c>
      <c r="C701" t="s">
        <v>1937</v>
      </c>
      <c r="D701" t="s">
        <v>3179</v>
      </c>
      <c r="E701" t="s">
        <v>3671</v>
      </c>
      <c r="F701">
        <v>55</v>
      </c>
      <c r="G701" t="s">
        <v>3679</v>
      </c>
      <c r="H701" t="s">
        <v>3684</v>
      </c>
      <c r="I701" t="s">
        <v>3685</v>
      </c>
      <c r="J701" t="s">
        <v>3692</v>
      </c>
      <c r="K701" t="s">
        <v>3695</v>
      </c>
      <c r="L701">
        <v>5</v>
      </c>
      <c r="M701">
        <v>12000</v>
      </c>
      <c r="N701" t="s">
        <v>3702</v>
      </c>
      <c r="O701" t="s">
        <v>3707</v>
      </c>
    </row>
    <row r="702" spans="1:15" x14ac:dyDescent="0.35">
      <c r="A702" t="s">
        <v>715</v>
      </c>
      <c r="B702" t="s">
        <v>1361</v>
      </c>
      <c r="C702" t="s">
        <v>2297</v>
      </c>
      <c r="D702" t="s">
        <v>3180</v>
      </c>
      <c r="E702" t="s">
        <v>3672</v>
      </c>
      <c r="F702">
        <v>28</v>
      </c>
      <c r="G702" t="s">
        <v>3678</v>
      </c>
      <c r="H702" t="s">
        <v>3683</v>
      </c>
      <c r="I702" t="s">
        <v>3691</v>
      </c>
      <c r="J702" t="s">
        <v>3693</v>
      </c>
      <c r="K702" t="s">
        <v>3696</v>
      </c>
      <c r="L702">
        <v>1</v>
      </c>
      <c r="M702">
        <v>58000</v>
      </c>
      <c r="N702" t="s">
        <v>3702</v>
      </c>
      <c r="O702" t="s">
        <v>3707</v>
      </c>
    </row>
    <row r="703" spans="1:15" x14ac:dyDescent="0.35">
      <c r="A703" t="s">
        <v>716</v>
      </c>
      <c r="B703" t="s">
        <v>1657</v>
      </c>
      <c r="C703" t="s">
        <v>1882</v>
      </c>
      <c r="D703" t="s">
        <v>3181</v>
      </c>
      <c r="E703" t="s">
        <v>3672</v>
      </c>
      <c r="F703">
        <v>33</v>
      </c>
      <c r="G703" t="s">
        <v>3677</v>
      </c>
      <c r="H703" t="s">
        <v>3680</v>
      </c>
      <c r="I703" t="s">
        <v>3686</v>
      </c>
      <c r="J703" t="s">
        <v>3693</v>
      </c>
      <c r="K703" t="s">
        <v>3696</v>
      </c>
      <c r="L703">
        <v>2</v>
      </c>
      <c r="M703">
        <v>65000</v>
      </c>
      <c r="N703" t="s">
        <v>3702</v>
      </c>
      <c r="O703" t="s">
        <v>3707</v>
      </c>
    </row>
    <row r="704" spans="1:15" x14ac:dyDescent="0.35">
      <c r="A704" t="s">
        <v>717</v>
      </c>
      <c r="B704" t="s">
        <v>1482</v>
      </c>
      <c r="C704" t="s">
        <v>1858</v>
      </c>
      <c r="D704" t="s">
        <v>3182</v>
      </c>
      <c r="E704" t="s">
        <v>3672</v>
      </c>
      <c r="F704">
        <v>49</v>
      </c>
      <c r="G704" t="s">
        <v>3674</v>
      </c>
      <c r="H704" t="s">
        <v>3680</v>
      </c>
      <c r="I704" t="s">
        <v>3689</v>
      </c>
      <c r="J704" t="s">
        <v>3694</v>
      </c>
      <c r="K704" t="s">
        <v>3699</v>
      </c>
      <c r="L704">
        <v>5</v>
      </c>
      <c r="M704">
        <v>1800</v>
      </c>
      <c r="N704" t="s">
        <v>3701</v>
      </c>
      <c r="O704" t="s">
        <v>3705</v>
      </c>
    </row>
    <row r="705" spans="1:15" x14ac:dyDescent="0.35">
      <c r="A705" t="s">
        <v>718</v>
      </c>
      <c r="B705" t="s">
        <v>1658</v>
      </c>
      <c r="C705" t="s">
        <v>1936</v>
      </c>
      <c r="D705" t="s">
        <v>3183</v>
      </c>
      <c r="E705" t="s">
        <v>3672</v>
      </c>
      <c r="F705">
        <v>60</v>
      </c>
      <c r="G705" t="s">
        <v>3675</v>
      </c>
      <c r="H705" t="s">
        <v>3681</v>
      </c>
      <c r="I705" t="s">
        <v>3689</v>
      </c>
      <c r="J705" t="s">
        <v>3694</v>
      </c>
      <c r="K705" t="s">
        <v>3699</v>
      </c>
      <c r="L705">
        <v>4</v>
      </c>
      <c r="M705">
        <v>1800</v>
      </c>
      <c r="N705" t="s">
        <v>3704</v>
      </c>
      <c r="O705" t="s">
        <v>3705</v>
      </c>
    </row>
    <row r="706" spans="1:15" x14ac:dyDescent="0.35">
      <c r="A706" t="s">
        <v>719</v>
      </c>
      <c r="B706" t="s">
        <v>1496</v>
      </c>
      <c r="C706" t="s">
        <v>2210</v>
      </c>
      <c r="D706" t="s">
        <v>3184</v>
      </c>
      <c r="E706" t="s">
        <v>3672</v>
      </c>
      <c r="F706">
        <v>60</v>
      </c>
      <c r="G706" t="s">
        <v>3679</v>
      </c>
      <c r="H706" t="s">
        <v>3684</v>
      </c>
      <c r="I706" t="s">
        <v>3691</v>
      </c>
      <c r="J706" t="s">
        <v>3693</v>
      </c>
      <c r="K706" t="s">
        <v>3696</v>
      </c>
      <c r="L706">
        <v>1</v>
      </c>
      <c r="M706">
        <v>58000</v>
      </c>
      <c r="N706" t="s">
        <v>3704</v>
      </c>
      <c r="O706" t="s">
        <v>3707</v>
      </c>
    </row>
    <row r="707" spans="1:15" x14ac:dyDescent="0.35">
      <c r="A707" t="s">
        <v>720</v>
      </c>
      <c r="B707" t="s">
        <v>1342</v>
      </c>
      <c r="C707" t="s">
        <v>2298</v>
      </c>
      <c r="D707" t="s">
        <v>3185</v>
      </c>
      <c r="E707" t="s">
        <v>3671</v>
      </c>
      <c r="F707">
        <v>38</v>
      </c>
      <c r="G707" t="s">
        <v>3676</v>
      </c>
      <c r="H707" t="s">
        <v>3682</v>
      </c>
      <c r="I707" t="s">
        <v>3689</v>
      </c>
      <c r="J707" t="s">
        <v>3694</v>
      </c>
      <c r="K707" t="s">
        <v>3699</v>
      </c>
      <c r="L707">
        <v>4</v>
      </c>
      <c r="M707">
        <v>1800</v>
      </c>
      <c r="N707" t="s">
        <v>3701</v>
      </c>
      <c r="O707" t="s">
        <v>3705</v>
      </c>
    </row>
    <row r="708" spans="1:15" x14ac:dyDescent="0.35">
      <c r="A708" t="s">
        <v>721</v>
      </c>
      <c r="B708" t="s">
        <v>1646</v>
      </c>
      <c r="C708" t="s">
        <v>2299</v>
      </c>
      <c r="D708" t="s">
        <v>3186</v>
      </c>
      <c r="E708" t="s">
        <v>3672</v>
      </c>
      <c r="F708">
        <v>46</v>
      </c>
      <c r="G708" t="s">
        <v>3676</v>
      </c>
      <c r="H708" t="s">
        <v>3682</v>
      </c>
      <c r="I708" t="s">
        <v>3686</v>
      </c>
      <c r="J708" t="s">
        <v>3693</v>
      </c>
      <c r="K708" t="s">
        <v>3696</v>
      </c>
      <c r="L708">
        <v>5</v>
      </c>
      <c r="M708">
        <v>65000</v>
      </c>
      <c r="N708" t="s">
        <v>3703</v>
      </c>
      <c r="O708" t="s">
        <v>3707</v>
      </c>
    </row>
    <row r="709" spans="1:15" x14ac:dyDescent="0.35">
      <c r="A709" t="s">
        <v>722</v>
      </c>
      <c r="B709" t="s">
        <v>1659</v>
      </c>
      <c r="C709" t="s">
        <v>2300</v>
      </c>
      <c r="D709" t="s">
        <v>3187</v>
      </c>
      <c r="E709" t="s">
        <v>3672</v>
      </c>
      <c r="F709">
        <v>19</v>
      </c>
      <c r="G709" t="s">
        <v>3675</v>
      </c>
      <c r="H709" t="s">
        <v>3681</v>
      </c>
      <c r="I709" t="s">
        <v>3688</v>
      </c>
      <c r="J709" t="s">
        <v>3694</v>
      </c>
      <c r="K709" t="s">
        <v>3698</v>
      </c>
      <c r="L709">
        <v>3</v>
      </c>
      <c r="M709">
        <v>4500</v>
      </c>
      <c r="N709" t="s">
        <v>3703</v>
      </c>
      <c r="O709" t="s">
        <v>3705</v>
      </c>
    </row>
    <row r="710" spans="1:15" x14ac:dyDescent="0.35">
      <c r="A710" t="s">
        <v>723</v>
      </c>
      <c r="B710" t="s">
        <v>1335</v>
      </c>
      <c r="C710" t="s">
        <v>1993</v>
      </c>
      <c r="D710" t="s">
        <v>3188</v>
      </c>
      <c r="E710" t="s">
        <v>3671</v>
      </c>
      <c r="F710">
        <v>29</v>
      </c>
      <c r="G710" t="s">
        <v>3674</v>
      </c>
      <c r="H710" t="s">
        <v>3680</v>
      </c>
      <c r="I710" t="s">
        <v>3689</v>
      </c>
      <c r="J710" t="s">
        <v>3694</v>
      </c>
      <c r="K710" t="s">
        <v>3699</v>
      </c>
      <c r="L710">
        <v>2</v>
      </c>
      <c r="M710">
        <v>1800</v>
      </c>
      <c r="N710" t="s">
        <v>3702</v>
      </c>
      <c r="O710" t="s">
        <v>3706</v>
      </c>
    </row>
    <row r="711" spans="1:15" x14ac:dyDescent="0.35">
      <c r="A711" t="s">
        <v>724</v>
      </c>
      <c r="B711" t="s">
        <v>1660</v>
      </c>
      <c r="C711" t="s">
        <v>1946</v>
      </c>
      <c r="D711" t="s">
        <v>3156</v>
      </c>
      <c r="E711" t="s">
        <v>3672</v>
      </c>
      <c r="F711">
        <v>52</v>
      </c>
      <c r="G711" t="s">
        <v>3677</v>
      </c>
      <c r="H711" t="s">
        <v>3680</v>
      </c>
      <c r="I711" t="s">
        <v>3690</v>
      </c>
      <c r="J711" t="s">
        <v>3693</v>
      </c>
      <c r="K711" t="s">
        <v>3700</v>
      </c>
      <c r="L711">
        <v>1</v>
      </c>
      <c r="M711">
        <v>72000</v>
      </c>
      <c r="N711" t="s">
        <v>3701</v>
      </c>
      <c r="O711" t="s">
        <v>3707</v>
      </c>
    </row>
    <row r="712" spans="1:15" x14ac:dyDescent="0.35">
      <c r="A712" t="s">
        <v>725</v>
      </c>
      <c r="B712" t="s">
        <v>1542</v>
      </c>
      <c r="C712" t="s">
        <v>1895</v>
      </c>
      <c r="D712" t="s">
        <v>3189</v>
      </c>
      <c r="E712" t="s">
        <v>3671</v>
      </c>
      <c r="F712">
        <v>51</v>
      </c>
      <c r="G712" t="s">
        <v>3673</v>
      </c>
      <c r="H712" t="s">
        <v>3673</v>
      </c>
      <c r="I712" t="s">
        <v>3687</v>
      </c>
      <c r="J712" t="s">
        <v>3693</v>
      </c>
      <c r="K712" t="s">
        <v>3697</v>
      </c>
      <c r="L712">
        <v>4</v>
      </c>
      <c r="M712">
        <v>5000</v>
      </c>
      <c r="N712" t="s">
        <v>3702</v>
      </c>
      <c r="O712" t="s">
        <v>3707</v>
      </c>
    </row>
    <row r="713" spans="1:15" x14ac:dyDescent="0.35">
      <c r="A713" t="s">
        <v>726</v>
      </c>
      <c r="B713" t="s">
        <v>1433</v>
      </c>
      <c r="C713" t="s">
        <v>2301</v>
      </c>
      <c r="D713" t="s">
        <v>3190</v>
      </c>
      <c r="E713" t="s">
        <v>3672</v>
      </c>
      <c r="F713">
        <v>28</v>
      </c>
      <c r="G713" t="s">
        <v>3677</v>
      </c>
      <c r="H713" t="s">
        <v>3680</v>
      </c>
      <c r="I713" t="s">
        <v>3688</v>
      </c>
      <c r="J713" t="s">
        <v>3694</v>
      </c>
      <c r="K713" t="s">
        <v>3698</v>
      </c>
      <c r="L713">
        <v>5</v>
      </c>
      <c r="M713">
        <v>4500</v>
      </c>
      <c r="N713" t="s">
        <v>3701</v>
      </c>
      <c r="O713" t="s">
        <v>3706</v>
      </c>
    </row>
    <row r="714" spans="1:15" x14ac:dyDescent="0.35">
      <c r="A714" t="s">
        <v>727</v>
      </c>
      <c r="B714" t="s">
        <v>1654</v>
      </c>
      <c r="C714" t="s">
        <v>2302</v>
      </c>
      <c r="D714" t="s">
        <v>3191</v>
      </c>
      <c r="E714" t="s">
        <v>3671</v>
      </c>
      <c r="F714">
        <v>51</v>
      </c>
      <c r="G714" t="s">
        <v>3676</v>
      </c>
      <c r="H714" t="s">
        <v>3682</v>
      </c>
      <c r="I714" t="s">
        <v>3691</v>
      </c>
      <c r="J714" t="s">
        <v>3693</v>
      </c>
      <c r="K714" t="s">
        <v>3696</v>
      </c>
      <c r="L714">
        <v>1</v>
      </c>
      <c r="M714">
        <v>58000</v>
      </c>
      <c r="N714" t="s">
        <v>3704</v>
      </c>
      <c r="O714" t="s">
        <v>3706</v>
      </c>
    </row>
    <row r="715" spans="1:15" x14ac:dyDescent="0.35">
      <c r="A715" t="s">
        <v>728</v>
      </c>
      <c r="B715" t="s">
        <v>1421</v>
      </c>
      <c r="C715" t="s">
        <v>2220</v>
      </c>
      <c r="D715" t="s">
        <v>3192</v>
      </c>
      <c r="E715" t="s">
        <v>3672</v>
      </c>
      <c r="F715">
        <v>49</v>
      </c>
      <c r="G715" t="s">
        <v>3673</v>
      </c>
      <c r="H715" t="s">
        <v>3673</v>
      </c>
      <c r="I715" t="s">
        <v>3688</v>
      </c>
      <c r="J715" t="s">
        <v>3694</v>
      </c>
      <c r="K715" t="s">
        <v>3698</v>
      </c>
      <c r="L715">
        <v>4</v>
      </c>
      <c r="M715">
        <v>4500</v>
      </c>
      <c r="N715" t="s">
        <v>3702</v>
      </c>
      <c r="O715" t="s">
        <v>3707</v>
      </c>
    </row>
    <row r="716" spans="1:15" x14ac:dyDescent="0.35">
      <c r="A716" t="s">
        <v>729</v>
      </c>
      <c r="B716" t="s">
        <v>1223</v>
      </c>
      <c r="C716" t="s">
        <v>2303</v>
      </c>
      <c r="D716" t="s">
        <v>3193</v>
      </c>
      <c r="E716" t="s">
        <v>3671</v>
      </c>
      <c r="F716">
        <v>45</v>
      </c>
      <c r="G716" t="s">
        <v>3674</v>
      </c>
      <c r="H716" t="s">
        <v>3680</v>
      </c>
      <c r="I716" t="s">
        <v>3685</v>
      </c>
      <c r="J716" t="s">
        <v>3692</v>
      </c>
      <c r="K716" t="s">
        <v>3695</v>
      </c>
      <c r="L716">
        <v>2</v>
      </c>
      <c r="M716">
        <v>12000</v>
      </c>
      <c r="N716" t="s">
        <v>3704</v>
      </c>
      <c r="O716" t="s">
        <v>3706</v>
      </c>
    </row>
    <row r="717" spans="1:15" x14ac:dyDescent="0.35">
      <c r="A717" t="s">
        <v>730</v>
      </c>
      <c r="B717" t="s">
        <v>1593</v>
      </c>
      <c r="C717" t="s">
        <v>2304</v>
      </c>
      <c r="D717" t="s">
        <v>3194</v>
      </c>
      <c r="E717" t="s">
        <v>3671</v>
      </c>
      <c r="F717">
        <v>44</v>
      </c>
      <c r="G717" t="s">
        <v>3677</v>
      </c>
      <c r="H717" t="s">
        <v>3680</v>
      </c>
      <c r="I717" t="s">
        <v>3689</v>
      </c>
      <c r="J717" t="s">
        <v>3694</v>
      </c>
      <c r="K717" t="s">
        <v>3699</v>
      </c>
      <c r="L717">
        <v>5</v>
      </c>
      <c r="M717">
        <v>1800</v>
      </c>
      <c r="N717" t="s">
        <v>3702</v>
      </c>
      <c r="O717" t="s">
        <v>3707</v>
      </c>
    </row>
    <row r="718" spans="1:15" x14ac:dyDescent="0.35">
      <c r="A718" t="s">
        <v>731</v>
      </c>
      <c r="B718" t="s">
        <v>1453</v>
      </c>
      <c r="C718" t="s">
        <v>1835</v>
      </c>
      <c r="D718" t="s">
        <v>3195</v>
      </c>
      <c r="E718" t="s">
        <v>3672</v>
      </c>
      <c r="F718">
        <v>20</v>
      </c>
      <c r="G718" t="s">
        <v>3677</v>
      </c>
      <c r="H718" t="s">
        <v>3680</v>
      </c>
      <c r="I718" t="s">
        <v>3688</v>
      </c>
      <c r="J718" t="s">
        <v>3694</v>
      </c>
      <c r="K718" t="s">
        <v>3698</v>
      </c>
      <c r="L718">
        <v>5</v>
      </c>
      <c r="M718">
        <v>4500</v>
      </c>
      <c r="N718" t="s">
        <v>3703</v>
      </c>
      <c r="O718" t="s">
        <v>3707</v>
      </c>
    </row>
    <row r="719" spans="1:15" x14ac:dyDescent="0.35">
      <c r="A719" t="s">
        <v>732</v>
      </c>
      <c r="B719" t="s">
        <v>1661</v>
      </c>
      <c r="C719" t="s">
        <v>2305</v>
      </c>
      <c r="D719" t="s">
        <v>2876</v>
      </c>
      <c r="E719" t="s">
        <v>3671</v>
      </c>
      <c r="F719">
        <v>23</v>
      </c>
      <c r="G719" t="s">
        <v>3679</v>
      </c>
      <c r="H719" t="s">
        <v>3684</v>
      </c>
      <c r="I719" t="s">
        <v>3686</v>
      </c>
      <c r="J719" t="s">
        <v>3693</v>
      </c>
      <c r="K719" t="s">
        <v>3696</v>
      </c>
      <c r="L719">
        <v>2</v>
      </c>
      <c r="M719">
        <v>65000</v>
      </c>
      <c r="N719" t="s">
        <v>3704</v>
      </c>
      <c r="O719" t="s">
        <v>3706</v>
      </c>
    </row>
    <row r="720" spans="1:15" x14ac:dyDescent="0.35">
      <c r="A720" t="s">
        <v>733</v>
      </c>
      <c r="B720" t="s">
        <v>1476</v>
      </c>
      <c r="C720" t="s">
        <v>2306</v>
      </c>
      <c r="D720" t="s">
        <v>3196</v>
      </c>
      <c r="E720" t="s">
        <v>3672</v>
      </c>
      <c r="F720">
        <v>19</v>
      </c>
      <c r="G720" t="s">
        <v>3679</v>
      </c>
      <c r="H720" t="s">
        <v>3684</v>
      </c>
      <c r="I720" t="s">
        <v>3686</v>
      </c>
      <c r="J720" t="s">
        <v>3693</v>
      </c>
      <c r="K720" t="s">
        <v>3696</v>
      </c>
      <c r="L720">
        <v>5</v>
      </c>
      <c r="M720">
        <v>65000</v>
      </c>
      <c r="N720" t="s">
        <v>3701</v>
      </c>
      <c r="O720" t="s">
        <v>3705</v>
      </c>
    </row>
    <row r="721" spans="1:15" x14ac:dyDescent="0.35">
      <c r="A721" t="s">
        <v>734</v>
      </c>
      <c r="B721" t="s">
        <v>1384</v>
      </c>
      <c r="C721" t="s">
        <v>2307</v>
      </c>
      <c r="D721" t="s">
        <v>3197</v>
      </c>
      <c r="E721" t="s">
        <v>3671</v>
      </c>
      <c r="F721">
        <v>53</v>
      </c>
      <c r="G721" t="s">
        <v>3679</v>
      </c>
      <c r="H721" t="s">
        <v>3684</v>
      </c>
      <c r="I721" t="s">
        <v>3689</v>
      </c>
      <c r="J721" t="s">
        <v>3694</v>
      </c>
      <c r="K721" t="s">
        <v>3699</v>
      </c>
      <c r="L721">
        <v>2</v>
      </c>
      <c r="M721">
        <v>1800</v>
      </c>
      <c r="N721" t="s">
        <v>3703</v>
      </c>
      <c r="O721" t="s">
        <v>3707</v>
      </c>
    </row>
    <row r="722" spans="1:15" x14ac:dyDescent="0.35">
      <c r="A722" t="s">
        <v>735</v>
      </c>
      <c r="B722" t="s">
        <v>1661</v>
      </c>
      <c r="C722" t="s">
        <v>2308</v>
      </c>
      <c r="D722" t="s">
        <v>3198</v>
      </c>
      <c r="E722" t="s">
        <v>3671</v>
      </c>
      <c r="F722">
        <v>33</v>
      </c>
      <c r="G722" t="s">
        <v>3674</v>
      </c>
      <c r="H722" t="s">
        <v>3680</v>
      </c>
      <c r="I722" t="s">
        <v>3685</v>
      </c>
      <c r="J722" t="s">
        <v>3692</v>
      </c>
      <c r="K722" t="s">
        <v>3695</v>
      </c>
      <c r="L722">
        <v>1</v>
      </c>
      <c r="M722">
        <v>12000</v>
      </c>
      <c r="N722" t="s">
        <v>3703</v>
      </c>
      <c r="O722" t="s">
        <v>3707</v>
      </c>
    </row>
    <row r="723" spans="1:15" x14ac:dyDescent="0.35">
      <c r="A723" t="s">
        <v>736</v>
      </c>
      <c r="B723" t="s">
        <v>1398</v>
      </c>
      <c r="C723" t="s">
        <v>2267</v>
      </c>
      <c r="D723" t="s">
        <v>3199</v>
      </c>
      <c r="E723" t="s">
        <v>3671</v>
      </c>
      <c r="F723">
        <v>49</v>
      </c>
      <c r="G723" t="s">
        <v>3678</v>
      </c>
      <c r="H723" t="s">
        <v>3683</v>
      </c>
      <c r="I723" t="s">
        <v>3687</v>
      </c>
      <c r="J723" t="s">
        <v>3693</v>
      </c>
      <c r="K723" t="s">
        <v>3697</v>
      </c>
      <c r="L723">
        <v>3</v>
      </c>
      <c r="M723">
        <v>5000</v>
      </c>
      <c r="N723" t="s">
        <v>3702</v>
      </c>
      <c r="O723" t="s">
        <v>3706</v>
      </c>
    </row>
    <row r="724" spans="1:15" x14ac:dyDescent="0.35">
      <c r="A724" t="s">
        <v>737</v>
      </c>
      <c r="B724" t="s">
        <v>1489</v>
      </c>
      <c r="C724" t="s">
        <v>2303</v>
      </c>
      <c r="D724" t="s">
        <v>3200</v>
      </c>
      <c r="E724" t="s">
        <v>3672</v>
      </c>
      <c r="F724">
        <v>44</v>
      </c>
      <c r="G724" t="s">
        <v>3673</v>
      </c>
      <c r="H724" t="s">
        <v>3673</v>
      </c>
      <c r="I724" t="s">
        <v>3689</v>
      </c>
      <c r="J724" t="s">
        <v>3694</v>
      </c>
      <c r="K724" t="s">
        <v>3699</v>
      </c>
      <c r="L724">
        <v>5</v>
      </c>
      <c r="M724">
        <v>1800</v>
      </c>
      <c r="N724" t="s">
        <v>3701</v>
      </c>
      <c r="O724" t="s">
        <v>3706</v>
      </c>
    </row>
    <row r="725" spans="1:15" x14ac:dyDescent="0.35">
      <c r="A725" t="s">
        <v>738</v>
      </c>
      <c r="B725" t="s">
        <v>1318</v>
      </c>
      <c r="C725" t="s">
        <v>2309</v>
      </c>
      <c r="D725" t="s">
        <v>3201</v>
      </c>
      <c r="E725" t="s">
        <v>3672</v>
      </c>
      <c r="F725">
        <v>52</v>
      </c>
      <c r="G725" t="s">
        <v>3675</v>
      </c>
      <c r="H725" t="s">
        <v>3681</v>
      </c>
      <c r="I725" t="s">
        <v>3688</v>
      </c>
      <c r="J725" t="s">
        <v>3694</v>
      </c>
      <c r="K725" t="s">
        <v>3698</v>
      </c>
      <c r="L725">
        <v>4</v>
      </c>
      <c r="M725">
        <v>4500</v>
      </c>
      <c r="N725" t="s">
        <v>3703</v>
      </c>
      <c r="O725" t="s">
        <v>3706</v>
      </c>
    </row>
    <row r="726" spans="1:15" x14ac:dyDescent="0.35">
      <c r="A726" t="s">
        <v>739</v>
      </c>
      <c r="B726" t="s">
        <v>1596</v>
      </c>
      <c r="C726" t="s">
        <v>2259</v>
      </c>
      <c r="D726" t="s">
        <v>3202</v>
      </c>
      <c r="E726" t="s">
        <v>3671</v>
      </c>
      <c r="F726">
        <v>52</v>
      </c>
      <c r="G726" t="s">
        <v>3675</v>
      </c>
      <c r="H726" t="s">
        <v>3681</v>
      </c>
      <c r="I726" t="s">
        <v>3687</v>
      </c>
      <c r="J726" t="s">
        <v>3693</v>
      </c>
      <c r="K726" t="s">
        <v>3697</v>
      </c>
      <c r="L726">
        <v>5</v>
      </c>
      <c r="M726">
        <v>5000</v>
      </c>
      <c r="N726" t="s">
        <v>3701</v>
      </c>
      <c r="O726" t="s">
        <v>3706</v>
      </c>
    </row>
    <row r="727" spans="1:15" x14ac:dyDescent="0.35">
      <c r="A727" t="s">
        <v>740</v>
      </c>
      <c r="B727" t="s">
        <v>1662</v>
      </c>
      <c r="C727" t="s">
        <v>1827</v>
      </c>
      <c r="D727" t="s">
        <v>3203</v>
      </c>
      <c r="E727" t="s">
        <v>3672</v>
      </c>
      <c r="F727">
        <v>37</v>
      </c>
      <c r="G727" t="s">
        <v>3676</v>
      </c>
      <c r="H727" t="s">
        <v>3682</v>
      </c>
      <c r="I727" t="s">
        <v>3688</v>
      </c>
      <c r="J727" t="s">
        <v>3694</v>
      </c>
      <c r="K727" t="s">
        <v>3698</v>
      </c>
      <c r="L727">
        <v>4</v>
      </c>
      <c r="M727">
        <v>4500</v>
      </c>
      <c r="N727" t="s">
        <v>3702</v>
      </c>
      <c r="O727" t="s">
        <v>3706</v>
      </c>
    </row>
    <row r="728" spans="1:15" x14ac:dyDescent="0.35">
      <c r="A728" t="s">
        <v>741</v>
      </c>
      <c r="B728" t="s">
        <v>1434</v>
      </c>
      <c r="C728" t="s">
        <v>2310</v>
      </c>
      <c r="D728" t="s">
        <v>3204</v>
      </c>
      <c r="E728" t="s">
        <v>3672</v>
      </c>
      <c r="F728">
        <v>31</v>
      </c>
      <c r="G728" t="s">
        <v>3677</v>
      </c>
      <c r="H728" t="s">
        <v>3680</v>
      </c>
      <c r="I728" t="s">
        <v>3687</v>
      </c>
      <c r="J728" t="s">
        <v>3693</v>
      </c>
      <c r="K728" t="s">
        <v>3697</v>
      </c>
      <c r="L728">
        <v>2</v>
      </c>
      <c r="M728">
        <v>5000</v>
      </c>
      <c r="N728" t="s">
        <v>3701</v>
      </c>
      <c r="O728" t="s">
        <v>3706</v>
      </c>
    </row>
    <row r="729" spans="1:15" x14ac:dyDescent="0.35">
      <c r="A729" t="s">
        <v>742</v>
      </c>
      <c r="B729" t="s">
        <v>1663</v>
      </c>
      <c r="C729" t="s">
        <v>2311</v>
      </c>
      <c r="D729" t="s">
        <v>3205</v>
      </c>
      <c r="E729" t="s">
        <v>3671</v>
      </c>
      <c r="F729">
        <v>21</v>
      </c>
      <c r="G729" t="s">
        <v>3679</v>
      </c>
      <c r="H729" t="s">
        <v>3684</v>
      </c>
      <c r="I729" t="s">
        <v>3691</v>
      </c>
      <c r="J729" t="s">
        <v>3693</v>
      </c>
      <c r="K729" t="s">
        <v>3696</v>
      </c>
      <c r="L729">
        <v>2</v>
      </c>
      <c r="M729">
        <v>58000</v>
      </c>
      <c r="N729" t="s">
        <v>3701</v>
      </c>
      <c r="O729" t="s">
        <v>3707</v>
      </c>
    </row>
    <row r="730" spans="1:15" x14ac:dyDescent="0.35">
      <c r="A730" t="s">
        <v>743</v>
      </c>
      <c r="B730" t="s">
        <v>1664</v>
      </c>
      <c r="C730" t="s">
        <v>2312</v>
      </c>
      <c r="D730" t="s">
        <v>3206</v>
      </c>
      <c r="E730" t="s">
        <v>3671</v>
      </c>
      <c r="F730">
        <v>52</v>
      </c>
      <c r="G730" t="s">
        <v>3679</v>
      </c>
      <c r="H730" t="s">
        <v>3684</v>
      </c>
      <c r="I730" t="s">
        <v>3690</v>
      </c>
      <c r="J730" t="s">
        <v>3693</v>
      </c>
      <c r="K730" t="s">
        <v>3700</v>
      </c>
      <c r="L730">
        <v>1</v>
      </c>
      <c r="M730">
        <v>72000</v>
      </c>
      <c r="N730" t="s">
        <v>3703</v>
      </c>
      <c r="O730" t="s">
        <v>3705</v>
      </c>
    </row>
    <row r="731" spans="1:15" x14ac:dyDescent="0.35">
      <c r="A731" t="s">
        <v>744</v>
      </c>
      <c r="B731" t="s">
        <v>1569</v>
      </c>
      <c r="C731" t="s">
        <v>2070</v>
      </c>
      <c r="D731" t="s">
        <v>3207</v>
      </c>
      <c r="E731" t="s">
        <v>3672</v>
      </c>
      <c r="F731">
        <v>31</v>
      </c>
      <c r="G731" t="s">
        <v>3677</v>
      </c>
      <c r="H731" t="s">
        <v>3680</v>
      </c>
      <c r="I731" t="s">
        <v>3686</v>
      </c>
      <c r="J731" t="s">
        <v>3693</v>
      </c>
      <c r="K731" t="s">
        <v>3696</v>
      </c>
      <c r="L731">
        <v>5</v>
      </c>
      <c r="M731">
        <v>65000</v>
      </c>
      <c r="N731" t="s">
        <v>3702</v>
      </c>
      <c r="O731" t="s">
        <v>3707</v>
      </c>
    </row>
    <row r="732" spans="1:15" x14ac:dyDescent="0.35">
      <c r="A732" t="s">
        <v>745</v>
      </c>
      <c r="B732" t="s">
        <v>1665</v>
      </c>
      <c r="C732" t="s">
        <v>2011</v>
      </c>
      <c r="D732" t="s">
        <v>3208</v>
      </c>
      <c r="E732" t="s">
        <v>3672</v>
      </c>
      <c r="F732">
        <v>57</v>
      </c>
      <c r="G732" t="s">
        <v>3673</v>
      </c>
      <c r="H732" t="s">
        <v>3673</v>
      </c>
      <c r="I732" t="s">
        <v>3691</v>
      </c>
      <c r="J732" t="s">
        <v>3693</v>
      </c>
      <c r="K732" t="s">
        <v>3696</v>
      </c>
      <c r="L732">
        <v>2</v>
      </c>
      <c r="M732">
        <v>58000</v>
      </c>
      <c r="N732" t="s">
        <v>3701</v>
      </c>
      <c r="O732" t="s">
        <v>3706</v>
      </c>
    </row>
    <row r="733" spans="1:15" x14ac:dyDescent="0.35">
      <c r="A733" t="s">
        <v>746</v>
      </c>
      <c r="B733" t="s">
        <v>1666</v>
      </c>
      <c r="C733" t="s">
        <v>2313</v>
      </c>
      <c r="D733" t="s">
        <v>3209</v>
      </c>
      <c r="E733" t="s">
        <v>3671</v>
      </c>
      <c r="F733">
        <v>60</v>
      </c>
      <c r="G733" t="s">
        <v>3673</v>
      </c>
      <c r="H733" t="s">
        <v>3673</v>
      </c>
      <c r="I733" t="s">
        <v>3688</v>
      </c>
      <c r="J733" t="s">
        <v>3694</v>
      </c>
      <c r="K733" t="s">
        <v>3698</v>
      </c>
      <c r="L733">
        <v>3</v>
      </c>
      <c r="M733">
        <v>4500</v>
      </c>
      <c r="N733" t="s">
        <v>3704</v>
      </c>
      <c r="O733" t="s">
        <v>3707</v>
      </c>
    </row>
    <row r="734" spans="1:15" x14ac:dyDescent="0.35">
      <c r="A734" t="s">
        <v>747</v>
      </c>
      <c r="B734" t="s">
        <v>1667</v>
      </c>
      <c r="C734" t="s">
        <v>2314</v>
      </c>
      <c r="D734" t="s">
        <v>3210</v>
      </c>
      <c r="E734" t="s">
        <v>3672</v>
      </c>
      <c r="F734">
        <v>28</v>
      </c>
      <c r="G734" t="s">
        <v>3673</v>
      </c>
      <c r="H734" t="s">
        <v>3673</v>
      </c>
      <c r="I734" t="s">
        <v>3687</v>
      </c>
      <c r="J734" t="s">
        <v>3693</v>
      </c>
      <c r="K734" t="s">
        <v>3697</v>
      </c>
      <c r="L734">
        <v>2</v>
      </c>
      <c r="M734">
        <v>5000</v>
      </c>
      <c r="N734" t="s">
        <v>3704</v>
      </c>
      <c r="O734" t="s">
        <v>3707</v>
      </c>
    </row>
    <row r="735" spans="1:15" x14ac:dyDescent="0.35">
      <c r="A735" t="s">
        <v>748</v>
      </c>
      <c r="B735" t="s">
        <v>1455</v>
      </c>
      <c r="C735" t="s">
        <v>2315</v>
      </c>
      <c r="D735" t="s">
        <v>3211</v>
      </c>
      <c r="E735" t="s">
        <v>3672</v>
      </c>
      <c r="F735">
        <v>33</v>
      </c>
      <c r="G735" t="s">
        <v>3673</v>
      </c>
      <c r="H735" t="s">
        <v>3673</v>
      </c>
      <c r="I735" t="s">
        <v>3686</v>
      </c>
      <c r="J735" t="s">
        <v>3693</v>
      </c>
      <c r="K735" t="s">
        <v>3696</v>
      </c>
      <c r="L735">
        <v>5</v>
      </c>
      <c r="M735">
        <v>65000</v>
      </c>
      <c r="N735" t="s">
        <v>3702</v>
      </c>
      <c r="O735" t="s">
        <v>3706</v>
      </c>
    </row>
    <row r="736" spans="1:15" x14ac:dyDescent="0.35">
      <c r="A736" t="s">
        <v>749</v>
      </c>
      <c r="B736" t="s">
        <v>1354</v>
      </c>
      <c r="C736" t="s">
        <v>2192</v>
      </c>
      <c r="D736" t="s">
        <v>3212</v>
      </c>
      <c r="E736" t="s">
        <v>3671</v>
      </c>
      <c r="F736">
        <v>22</v>
      </c>
      <c r="G736" t="s">
        <v>3678</v>
      </c>
      <c r="H736" t="s">
        <v>3683</v>
      </c>
      <c r="I736" t="s">
        <v>3686</v>
      </c>
      <c r="J736" t="s">
        <v>3693</v>
      </c>
      <c r="K736" t="s">
        <v>3696</v>
      </c>
      <c r="L736">
        <v>2</v>
      </c>
      <c r="M736">
        <v>65000</v>
      </c>
      <c r="N736" t="s">
        <v>3704</v>
      </c>
      <c r="O736" t="s">
        <v>3705</v>
      </c>
    </row>
    <row r="737" spans="1:15" x14ac:dyDescent="0.35">
      <c r="A737" t="s">
        <v>750</v>
      </c>
      <c r="B737" t="s">
        <v>1668</v>
      </c>
      <c r="C737" t="s">
        <v>2316</v>
      </c>
      <c r="D737" t="s">
        <v>3213</v>
      </c>
      <c r="E737" t="s">
        <v>3671</v>
      </c>
      <c r="F737">
        <v>27</v>
      </c>
      <c r="G737" t="s">
        <v>3675</v>
      </c>
      <c r="H737" t="s">
        <v>3681</v>
      </c>
      <c r="I737" t="s">
        <v>3687</v>
      </c>
      <c r="J737" t="s">
        <v>3693</v>
      </c>
      <c r="K737" t="s">
        <v>3697</v>
      </c>
      <c r="L737">
        <v>3</v>
      </c>
      <c r="M737">
        <v>5000</v>
      </c>
      <c r="N737" t="s">
        <v>3701</v>
      </c>
      <c r="O737" t="s">
        <v>3705</v>
      </c>
    </row>
    <row r="738" spans="1:15" x14ac:dyDescent="0.35">
      <c r="A738" t="s">
        <v>751</v>
      </c>
      <c r="B738" t="s">
        <v>1556</v>
      </c>
      <c r="C738" t="s">
        <v>2317</v>
      </c>
      <c r="D738" t="s">
        <v>3214</v>
      </c>
      <c r="E738" t="s">
        <v>3672</v>
      </c>
      <c r="F738">
        <v>41</v>
      </c>
      <c r="G738" t="s">
        <v>3678</v>
      </c>
      <c r="H738" t="s">
        <v>3683</v>
      </c>
      <c r="I738" t="s">
        <v>3691</v>
      </c>
      <c r="J738" t="s">
        <v>3693</v>
      </c>
      <c r="K738" t="s">
        <v>3696</v>
      </c>
      <c r="L738">
        <v>4</v>
      </c>
      <c r="M738">
        <v>58000</v>
      </c>
      <c r="N738" t="s">
        <v>3702</v>
      </c>
      <c r="O738" t="s">
        <v>3706</v>
      </c>
    </row>
    <row r="739" spans="1:15" x14ac:dyDescent="0.35">
      <c r="A739" t="s">
        <v>752</v>
      </c>
      <c r="B739" t="s">
        <v>1566</v>
      </c>
      <c r="C739" t="s">
        <v>2318</v>
      </c>
      <c r="D739" t="s">
        <v>3215</v>
      </c>
      <c r="E739" t="s">
        <v>3672</v>
      </c>
      <c r="F739">
        <v>59</v>
      </c>
      <c r="G739" t="s">
        <v>3675</v>
      </c>
      <c r="H739" t="s">
        <v>3681</v>
      </c>
      <c r="I739" t="s">
        <v>3691</v>
      </c>
      <c r="J739" t="s">
        <v>3693</v>
      </c>
      <c r="K739" t="s">
        <v>3696</v>
      </c>
      <c r="L739">
        <v>2</v>
      </c>
      <c r="M739">
        <v>58000</v>
      </c>
      <c r="N739" t="s">
        <v>3702</v>
      </c>
      <c r="O739" t="s">
        <v>3707</v>
      </c>
    </row>
    <row r="740" spans="1:15" x14ac:dyDescent="0.35">
      <c r="A740" t="s">
        <v>753</v>
      </c>
      <c r="B740" t="s">
        <v>1669</v>
      </c>
      <c r="C740" t="s">
        <v>1948</v>
      </c>
      <c r="D740" t="s">
        <v>3216</v>
      </c>
      <c r="E740" t="s">
        <v>3672</v>
      </c>
      <c r="F740">
        <v>30</v>
      </c>
      <c r="G740" t="s">
        <v>3674</v>
      </c>
      <c r="H740" t="s">
        <v>3680</v>
      </c>
      <c r="I740" t="s">
        <v>3688</v>
      </c>
      <c r="J740" t="s">
        <v>3694</v>
      </c>
      <c r="K740" t="s">
        <v>3698</v>
      </c>
      <c r="L740">
        <v>1</v>
      </c>
      <c r="M740">
        <v>4500</v>
      </c>
      <c r="N740" t="s">
        <v>3703</v>
      </c>
      <c r="O740" t="s">
        <v>3707</v>
      </c>
    </row>
    <row r="741" spans="1:15" x14ac:dyDescent="0.35">
      <c r="A741" t="s">
        <v>754</v>
      </c>
      <c r="B741" t="s">
        <v>1460</v>
      </c>
      <c r="C741" t="s">
        <v>2127</v>
      </c>
      <c r="D741" t="s">
        <v>3217</v>
      </c>
      <c r="E741" t="s">
        <v>3671</v>
      </c>
      <c r="F741">
        <v>33</v>
      </c>
      <c r="G741" t="s">
        <v>3675</v>
      </c>
      <c r="H741" t="s">
        <v>3681</v>
      </c>
      <c r="I741" t="s">
        <v>3686</v>
      </c>
      <c r="J741" t="s">
        <v>3693</v>
      </c>
      <c r="K741" t="s">
        <v>3696</v>
      </c>
      <c r="L741">
        <v>5</v>
      </c>
      <c r="M741">
        <v>65000</v>
      </c>
      <c r="N741" t="s">
        <v>3704</v>
      </c>
      <c r="O741" t="s">
        <v>3706</v>
      </c>
    </row>
    <row r="742" spans="1:15" x14ac:dyDescent="0.35">
      <c r="A742" t="s">
        <v>755</v>
      </c>
      <c r="B742" t="s">
        <v>1628</v>
      </c>
      <c r="C742" t="s">
        <v>2319</v>
      </c>
      <c r="D742" t="s">
        <v>3218</v>
      </c>
      <c r="E742" t="s">
        <v>3671</v>
      </c>
      <c r="F742">
        <v>18</v>
      </c>
      <c r="G742" t="s">
        <v>3678</v>
      </c>
      <c r="H742" t="s">
        <v>3683</v>
      </c>
      <c r="I742" t="s">
        <v>3690</v>
      </c>
      <c r="J742" t="s">
        <v>3693</v>
      </c>
      <c r="K742" t="s">
        <v>3700</v>
      </c>
      <c r="L742">
        <v>3</v>
      </c>
      <c r="M742">
        <v>72000</v>
      </c>
      <c r="N742" t="s">
        <v>3701</v>
      </c>
      <c r="O742" t="s">
        <v>3705</v>
      </c>
    </row>
    <row r="743" spans="1:15" x14ac:dyDescent="0.35">
      <c r="A743" t="s">
        <v>756</v>
      </c>
      <c r="B743" t="s">
        <v>1668</v>
      </c>
      <c r="C743" t="s">
        <v>2320</v>
      </c>
      <c r="D743" t="s">
        <v>3219</v>
      </c>
      <c r="E743" t="s">
        <v>3672</v>
      </c>
      <c r="F743">
        <v>51</v>
      </c>
      <c r="G743" t="s">
        <v>3676</v>
      </c>
      <c r="H743" t="s">
        <v>3682</v>
      </c>
      <c r="I743" t="s">
        <v>3689</v>
      </c>
      <c r="J743" t="s">
        <v>3694</v>
      </c>
      <c r="K743" t="s">
        <v>3699</v>
      </c>
      <c r="L743">
        <v>4</v>
      </c>
      <c r="M743">
        <v>1800</v>
      </c>
      <c r="N743" t="s">
        <v>3703</v>
      </c>
      <c r="O743" t="s">
        <v>3705</v>
      </c>
    </row>
    <row r="744" spans="1:15" x14ac:dyDescent="0.35">
      <c r="A744" t="s">
        <v>757</v>
      </c>
      <c r="B744" t="s">
        <v>1578</v>
      </c>
      <c r="C744" t="s">
        <v>2321</v>
      </c>
      <c r="D744" t="s">
        <v>3220</v>
      </c>
      <c r="E744" t="s">
        <v>3671</v>
      </c>
      <c r="F744">
        <v>20</v>
      </c>
      <c r="G744" t="s">
        <v>3674</v>
      </c>
      <c r="H744" t="s">
        <v>3680</v>
      </c>
      <c r="I744" t="s">
        <v>3685</v>
      </c>
      <c r="J744" t="s">
        <v>3692</v>
      </c>
      <c r="K744" t="s">
        <v>3695</v>
      </c>
      <c r="L744">
        <v>2</v>
      </c>
      <c r="M744">
        <v>12000</v>
      </c>
      <c r="N744" t="s">
        <v>3704</v>
      </c>
      <c r="O744" t="s">
        <v>3706</v>
      </c>
    </row>
    <row r="745" spans="1:15" x14ac:dyDescent="0.35">
      <c r="A745" t="s">
        <v>758</v>
      </c>
      <c r="B745" t="s">
        <v>1670</v>
      </c>
      <c r="C745" t="s">
        <v>2322</v>
      </c>
      <c r="D745" t="s">
        <v>3221</v>
      </c>
      <c r="E745" t="s">
        <v>3672</v>
      </c>
      <c r="F745">
        <v>51</v>
      </c>
      <c r="G745" t="s">
        <v>3678</v>
      </c>
      <c r="H745" t="s">
        <v>3683</v>
      </c>
      <c r="I745" t="s">
        <v>3689</v>
      </c>
      <c r="J745" t="s">
        <v>3694</v>
      </c>
      <c r="K745" t="s">
        <v>3699</v>
      </c>
      <c r="L745">
        <v>1</v>
      </c>
      <c r="M745">
        <v>1800</v>
      </c>
      <c r="N745" t="s">
        <v>3704</v>
      </c>
      <c r="O745" t="s">
        <v>3705</v>
      </c>
    </row>
    <row r="746" spans="1:15" x14ac:dyDescent="0.35">
      <c r="A746" t="s">
        <v>759</v>
      </c>
      <c r="B746" t="s">
        <v>1232</v>
      </c>
      <c r="C746" t="s">
        <v>1819</v>
      </c>
      <c r="D746" t="s">
        <v>3222</v>
      </c>
      <c r="E746" t="s">
        <v>3671</v>
      </c>
      <c r="F746">
        <v>47</v>
      </c>
      <c r="G746" t="s">
        <v>3679</v>
      </c>
      <c r="H746" t="s">
        <v>3684</v>
      </c>
      <c r="I746" t="s">
        <v>3685</v>
      </c>
      <c r="J746" t="s">
        <v>3692</v>
      </c>
      <c r="K746" t="s">
        <v>3695</v>
      </c>
      <c r="L746">
        <v>5</v>
      </c>
      <c r="M746">
        <v>12000</v>
      </c>
      <c r="N746" t="s">
        <v>3702</v>
      </c>
      <c r="O746" t="s">
        <v>3706</v>
      </c>
    </row>
    <row r="747" spans="1:15" x14ac:dyDescent="0.35">
      <c r="A747" t="s">
        <v>760</v>
      </c>
      <c r="B747" t="s">
        <v>1234</v>
      </c>
      <c r="C747" t="s">
        <v>2013</v>
      </c>
      <c r="D747" t="s">
        <v>3223</v>
      </c>
      <c r="E747" t="s">
        <v>3672</v>
      </c>
      <c r="F747">
        <v>20</v>
      </c>
      <c r="G747" t="s">
        <v>3673</v>
      </c>
      <c r="H747" t="s">
        <v>3673</v>
      </c>
      <c r="I747" t="s">
        <v>3690</v>
      </c>
      <c r="J747" t="s">
        <v>3693</v>
      </c>
      <c r="K747" t="s">
        <v>3700</v>
      </c>
      <c r="L747">
        <v>1</v>
      </c>
      <c r="M747">
        <v>72000</v>
      </c>
      <c r="N747" t="s">
        <v>3704</v>
      </c>
      <c r="O747" t="s">
        <v>3705</v>
      </c>
    </row>
    <row r="748" spans="1:15" x14ac:dyDescent="0.35">
      <c r="A748" t="s">
        <v>761</v>
      </c>
      <c r="B748" t="s">
        <v>1671</v>
      </c>
      <c r="C748" t="s">
        <v>2145</v>
      </c>
      <c r="D748" t="s">
        <v>3224</v>
      </c>
      <c r="E748" t="s">
        <v>3671</v>
      </c>
      <c r="F748">
        <v>38</v>
      </c>
      <c r="G748" t="s">
        <v>3679</v>
      </c>
      <c r="H748" t="s">
        <v>3684</v>
      </c>
      <c r="I748" t="s">
        <v>3686</v>
      </c>
      <c r="J748" t="s">
        <v>3693</v>
      </c>
      <c r="K748" t="s">
        <v>3696</v>
      </c>
      <c r="L748">
        <v>5</v>
      </c>
      <c r="M748">
        <v>65000</v>
      </c>
      <c r="N748" t="s">
        <v>3701</v>
      </c>
      <c r="O748" t="s">
        <v>3707</v>
      </c>
    </row>
    <row r="749" spans="1:15" x14ac:dyDescent="0.35">
      <c r="A749" t="s">
        <v>762</v>
      </c>
      <c r="B749" t="s">
        <v>1672</v>
      </c>
      <c r="C749" t="s">
        <v>2133</v>
      </c>
      <c r="D749" t="s">
        <v>3225</v>
      </c>
      <c r="E749" t="s">
        <v>3672</v>
      </c>
      <c r="F749">
        <v>46</v>
      </c>
      <c r="G749" t="s">
        <v>3674</v>
      </c>
      <c r="H749" t="s">
        <v>3680</v>
      </c>
      <c r="I749" t="s">
        <v>3691</v>
      </c>
      <c r="J749" t="s">
        <v>3693</v>
      </c>
      <c r="K749" t="s">
        <v>3696</v>
      </c>
      <c r="L749">
        <v>2</v>
      </c>
      <c r="M749">
        <v>58000</v>
      </c>
      <c r="N749" t="s">
        <v>3703</v>
      </c>
      <c r="O749" t="s">
        <v>3707</v>
      </c>
    </row>
    <row r="750" spans="1:15" x14ac:dyDescent="0.35">
      <c r="A750" t="s">
        <v>763</v>
      </c>
      <c r="B750" t="s">
        <v>1245</v>
      </c>
      <c r="C750" t="s">
        <v>2323</v>
      </c>
      <c r="D750" t="s">
        <v>3226</v>
      </c>
      <c r="E750" t="s">
        <v>3671</v>
      </c>
      <c r="F750">
        <v>29</v>
      </c>
      <c r="G750" t="s">
        <v>3677</v>
      </c>
      <c r="H750" t="s">
        <v>3680</v>
      </c>
      <c r="I750" t="s">
        <v>3691</v>
      </c>
      <c r="J750" t="s">
        <v>3693</v>
      </c>
      <c r="K750" t="s">
        <v>3696</v>
      </c>
      <c r="L750">
        <v>3</v>
      </c>
      <c r="M750">
        <v>58000</v>
      </c>
      <c r="N750" t="s">
        <v>3702</v>
      </c>
      <c r="O750" t="s">
        <v>3706</v>
      </c>
    </row>
    <row r="751" spans="1:15" x14ac:dyDescent="0.35">
      <c r="A751" t="s">
        <v>764</v>
      </c>
      <c r="B751" t="s">
        <v>1493</v>
      </c>
      <c r="C751" t="s">
        <v>2324</v>
      </c>
      <c r="D751" t="s">
        <v>3227</v>
      </c>
      <c r="E751" t="s">
        <v>3672</v>
      </c>
      <c r="F751">
        <v>19</v>
      </c>
      <c r="G751" t="s">
        <v>3678</v>
      </c>
      <c r="H751" t="s">
        <v>3683</v>
      </c>
      <c r="I751" t="s">
        <v>3687</v>
      </c>
      <c r="J751" t="s">
        <v>3693</v>
      </c>
      <c r="K751" t="s">
        <v>3697</v>
      </c>
      <c r="L751">
        <v>2</v>
      </c>
      <c r="M751">
        <v>5000</v>
      </c>
      <c r="N751" t="s">
        <v>3701</v>
      </c>
      <c r="O751" t="s">
        <v>3706</v>
      </c>
    </row>
    <row r="752" spans="1:15" x14ac:dyDescent="0.35">
      <c r="A752" t="s">
        <v>765</v>
      </c>
      <c r="B752" t="s">
        <v>1673</v>
      </c>
      <c r="C752" t="s">
        <v>2325</v>
      </c>
      <c r="D752" t="s">
        <v>3228</v>
      </c>
      <c r="E752" t="s">
        <v>3672</v>
      </c>
      <c r="F752">
        <v>46</v>
      </c>
      <c r="G752" t="s">
        <v>3679</v>
      </c>
      <c r="H752" t="s">
        <v>3684</v>
      </c>
      <c r="I752" t="s">
        <v>3688</v>
      </c>
      <c r="J752" t="s">
        <v>3694</v>
      </c>
      <c r="K752" t="s">
        <v>3698</v>
      </c>
      <c r="L752">
        <v>1</v>
      </c>
      <c r="M752">
        <v>4500</v>
      </c>
      <c r="N752" t="s">
        <v>3704</v>
      </c>
      <c r="O752" t="s">
        <v>3705</v>
      </c>
    </row>
    <row r="753" spans="1:15" x14ac:dyDescent="0.35">
      <c r="A753" t="s">
        <v>766</v>
      </c>
      <c r="B753" t="s">
        <v>1358</v>
      </c>
      <c r="C753" t="s">
        <v>2326</v>
      </c>
      <c r="D753" t="s">
        <v>3229</v>
      </c>
      <c r="E753" t="s">
        <v>3671</v>
      </c>
      <c r="F753">
        <v>32</v>
      </c>
      <c r="G753" t="s">
        <v>3678</v>
      </c>
      <c r="H753" t="s">
        <v>3683</v>
      </c>
      <c r="I753" t="s">
        <v>3686</v>
      </c>
      <c r="J753" t="s">
        <v>3693</v>
      </c>
      <c r="K753" t="s">
        <v>3696</v>
      </c>
      <c r="L753">
        <v>5</v>
      </c>
      <c r="M753">
        <v>65000</v>
      </c>
      <c r="N753" t="s">
        <v>3702</v>
      </c>
      <c r="O753" t="s">
        <v>3707</v>
      </c>
    </row>
    <row r="754" spans="1:15" x14ac:dyDescent="0.35">
      <c r="A754" t="s">
        <v>767</v>
      </c>
      <c r="B754" t="s">
        <v>1674</v>
      </c>
      <c r="C754" t="s">
        <v>2062</v>
      </c>
      <c r="D754" t="s">
        <v>3230</v>
      </c>
      <c r="E754" t="s">
        <v>3671</v>
      </c>
      <c r="F754">
        <v>28</v>
      </c>
      <c r="G754" t="s">
        <v>3676</v>
      </c>
      <c r="H754" t="s">
        <v>3682</v>
      </c>
      <c r="I754" t="s">
        <v>3686</v>
      </c>
      <c r="J754" t="s">
        <v>3693</v>
      </c>
      <c r="K754" t="s">
        <v>3696</v>
      </c>
      <c r="L754">
        <v>3</v>
      </c>
      <c r="M754">
        <v>65000</v>
      </c>
      <c r="N754" t="s">
        <v>3703</v>
      </c>
      <c r="O754" t="s">
        <v>3707</v>
      </c>
    </row>
    <row r="755" spans="1:15" x14ac:dyDescent="0.35">
      <c r="A755" t="s">
        <v>768</v>
      </c>
      <c r="B755" t="s">
        <v>1320</v>
      </c>
      <c r="C755" t="s">
        <v>2072</v>
      </c>
      <c r="D755" t="s">
        <v>3231</v>
      </c>
      <c r="E755" t="s">
        <v>3671</v>
      </c>
      <c r="F755">
        <v>19</v>
      </c>
      <c r="G755" t="s">
        <v>3673</v>
      </c>
      <c r="H755" t="s">
        <v>3673</v>
      </c>
      <c r="I755" t="s">
        <v>3685</v>
      </c>
      <c r="J755" t="s">
        <v>3692</v>
      </c>
      <c r="K755" t="s">
        <v>3695</v>
      </c>
      <c r="L755">
        <v>4</v>
      </c>
      <c r="M755">
        <v>12000</v>
      </c>
      <c r="N755" t="s">
        <v>3702</v>
      </c>
      <c r="O755" t="s">
        <v>3706</v>
      </c>
    </row>
    <row r="756" spans="1:15" x14ac:dyDescent="0.35">
      <c r="A756" t="s">
        <v>769</v>
      </c>
      <c r="B756" t="s">
        <v>1675</v>
      </c>
      <c r="C756" t="s">
        <v>2327</v>
      </c>
      <c r="D756" t="s">
        <v>3232</v>
      </c>
      <c r="E756" t="s">
        <v>3672</v>
      </c>
      <c r="F756">
        <v>44</v>
      </c>
      <c r="G756" t="s">
        <v>3674</v>
      </c>
      <c r="H756" t="s">
        <v>3680</v>
      </c>
      <c r="I756" t="s">
        <v>3689</v>
      </c>
      <c r="J756" t="s">
        <v>3694</v>
      </c>
      <c r="K756" t="s">
        <v>3699</v>
      </c>
      <c r="L756">
        <v>4</v>
      </c>
      <c r="M756">
        <v>1800</v>
      </c>
      <c r="N756" t="s">
        <v>3703</v>
      </c>
      <c r="O756" t="s">
        <v>3705</v>
      </c>
    </row>
    <row r="757" spans="1:15" x14ac:dyDescent="0.35">
      <c r="A757" t="s">
        <v>770</v>
      </c>
      <c r="B757" t="s">
        <v>1482</v>
      </c>
      <c r="C757" t="s">
        <v>2328</v>
      </c>
      <c r="D757" t="s">
        <v>3233</v>
      </c>
      <c r="E757" t="s">
        <v>3671</v>
      </c>
      <c r="F757">
        <v>42</v>
      </c>
      <c r="G757" t="s">
        <v>3675</v>
      </c>
      <c r="H757" t="s">
        <v>3681</v>
      </c>
      <c r="I757" t="s">
        <v>3688</v>
      </c>
      <c r="J757" t="s">
        <v>3694</v>
      </c>
      <c r="K757" t="s">
        <v>3698</v>
      </c>
      <c r="L757">
        <v>1</v>
      </c>
      <c r="M757">
        <v>4500</v>
      </c>
      <c r="N757" t="s">
        <v>3702</v>
      </c>
      <c r="O757" t="s">
        <v>3706</v>
      </c>
    </row>
    <row r="758" spans="1:15" x14ac:dyDescent="0.35">
      <c r="A758" t="s">
        <v>771</v>
      </c>
      <c r="B758" t="s">
        <v>1676</v>
      </c>
      <c r="C758" t="s">
        <v>2329</v>
      </c>
      <c r="D758" t="s">
        <v>3234</v>
      </c>
      <c r="E758" t="s">
        <v>3671</v>
      </c>
      <c r="F758">
        <v>58</v>
      </c>
      <c r="G758" t="s">
        <v>3673</v>
      </c>
      <c r="H758" t="s">
        <v>3673</v>
      </c>
      <c r="I758" t="s">
        <v>3685</v>
      </c>
      <c r="J758" t="s">
        <v>3692</v>
      </c>
      <c r="K758" t="s">
        <v>3695</v>
      </c>
      <c r="L758">
        <v>4</v>
      </c>
      <c r="M758">
        <v>12000</v>
      </c>
      <c r="N758" t="s">
        <v>3702</v>
      </c>
      <c r="O758" t="s">
        <v>3706</v>
      </c>
    </row>
    <row r="759" spans="1:15" x14ac:dyDescent="0.35">
      <c r="A759" t="s">
        <v>772</v>
      </c>
      <c r="B759" t="s">
        <v>1677</v>
      </c>
      <c r="C759" t="s">
        <v>2330</v>
      </c>
      <c r="D759" t="s">
        <v>3235</v>
      </c>
      <c r="E759" t="s">
        <v>3672</v>
      </c>
      <c r="F759">
        <v>48</v>
      </c>
      <c r="G759" t="s">
        <v>3677</v>
      </c>
      <c r="H759" t="s">
        <v>3680</v>
      </c>
      <c r="I759" t="s">
        <v>3688</v>
      </c>
      <c r="J759" t="s">
        <v>3694</v>
      </c>
      <c r="K759" t="s">
        <v>3698</v>
      </c>
      <c r="L759">
        <v>1</v>
      </c>
      <c r="M759">
        <v>4500</v>
      </c>
      <c r="N759" t="s">
        <v>3703</v>
      </c>
      <c r="O759" t="s">
        <v>3706</v>
      </c>
    </row>
    <row r="760" spans="1:15" x14ac:dyDescent="0.35">
      <c r="A760" t="s">
        <v>773</v>
      </c>
      <c r="B760" t="s">
        <v>1579</v>
      </c>
      <c r="C760" t="s">
        <v>2291</v>
      </c>
      <c r="D760" t="s">
        <v>3236</v>
      </c>
      <c r="E760" t="s">
        <v>3672</v>
      </c>
      <c r="F760">
        <v>29</v>
      </c>
      <c r="G760" t="s">
        <v>3676</v>
      </c>
      <c r="H760" t="s">
        <v>3682</v>
      </c>
      <c r="I760" t="s">
        <v>3688</v>
      </c>
      <c r="J760" t="s">
        <v>3694</v>
      </c>
      <c r="K760" t="s">
        <v>3698</v>
      </c>
      <c r="L760">
        <v>5</v>
      </c>
      <c r="M760">
        <v>4500</v>
      </c>
      <c r="N760" t="s">
        <v>3702</v>
      </c>
      <c r="O760" t="s">
        <v>3705</v>
      </c>
    </row>
    <row r="761" spans="1:15" x14ac:dyDescent="0.35">
      <c r="A761" t="s">
        <v>774</v>
      </c>
      <c r="B761" t="s">
        <v>1615</v>
      </c>
      <c r="C761" t="s">
        <v>2331</v>
      </c>
      <c r="D761" t="s">
        <v>3237</v>
      </c>
      <c r="E761" t="s">
        <v>3671</v>
      </c>
      <c r="F761">
        <v>33</v>
      </c>
      <c r="G761" t="s">
        <v>3678</v>
      </c>
      <c r="H761" t="s">
        <v>3683</v>
      </c>
      <c r="I761" t="s">
        <v>3686</v>
      </c>
      <c r="J761" t="s">
        <v>3693</v>
      </c>
      <c r="K761" t="s">
        <v>3696</v>
      </c>
      <c r="L761">
        <v>4</v>
      </c>
      <c r="M761">
        <v>65000</v>
      </c>
      <c r="N761" t="s">
        <v>3702</v>
      </c>
      <c r="O761" t="s">
        <v>3707</v>
      </c>
    </row>
    <row r="762" spans="1:15" x14ac:dyDescent="0.35">
      <c r="A762" t="s">
        <v>775</v>
      </c>
      <c r="B762" t="s">
        <v>1678</v>
      </c>
      <c r="C762" t="s">
        <v>2332</v>
      </c>
      <c r="D762" t="s">
        <v>3238</v>
      </c>
      <c r="E762" t="s">
        <v>3672</v>
      </c>
      <c r="F762">
        <v>57</v>
      </c>
      <c r="G762" t="s">
        <v>3676</v>
      </c>
      <c r="H762" t="s">
        <v>3682</v>
      </c>
      <c r="I762" t="s">
        <v>3689</v>
      </c>
      <c r="J762" t="s">
        <v>3694</v>
      </c>
      <c r="K762" t="s">
        <v>3699</v>
      </c>
      <c r="L762">
        <v>3</v>
      </c>
      <c r="M762">
        <v>1800</v>
      </c>
      <c r="N762" t="s">
        <v>3703</v>
      </c>
      <c r="O762" t="s">
        <v>3707</v>
      </c>
    </row>
    <row r="763" spans="1:15" x14ac:dyDescent="0.35">
      <c r="A763" t="s">
        <v>776</v>
      </c>
      <c r="B763" t="s">
        <v>1400</v>
      </c>
      <c r="C763" t="s">
        <v>2317</v>
      </c>
      <c r="D763" t="s">
        <v>3024</v>
      </c>
      <c r="E763" t="s">
        <v>3671</v>
      </c>
      <c r="F763">
        <v>37</v>
      </c>
      <c r="G763" t="s">
        <v>3676</v>
      </c>
      <c r="H763" t="s">
        <v>3682</v>
      </c>
      <c r="I763" t="s">
        <v>3688</v>
      </c>
      <c r="J763" t="s">
        <v>3694</v>
      </c>
      <c r="K763" t="s">
        <v>3698</v>
      </c>
      <c r="L763">
        <v>3</v>
      </c>
      <c r="M763">
        <v>4500</v>
      </c>
      <c r="N763" t="s">
        <v>3702</v>
      </c>
      <c r="O763" t="s">
        <v>3706</v>
      </c>
    </row>
    <row r="764" spans="1:15" x14ac:dyDescent="0.35">
      <c r="A764" t="s">
        <v>777</v>
      </c>
      <c r="B764" t="s">
        <v>1444</v>
      </c>
      <c r="C764" t="s">
        <v>1885</v>
      </c>
      <c r="D764" t="s">
        <v>3239</v>
      </c>
      <c r="E764" t="s">
        <v>3672</v>
      </c>
      <c r="F764">
        <v>52</v>
      </c>
      <c r="G764" t="s">
        <v>3675</v>
      </c>
      <c r="H764" t="s">
        <v>3681</v>
      </c>
      <c r="I764" t="s">
        <v>3691</v>
      </c>
      <c r="J764" t="s">
        <v>3693</v>
      </c>
      <c r="K764" t="s">
        <v>3696</v>
      </c>
      <c r="L764">
        <v>4</v>
      </c>
      <c r="M764">
        <v>58000</v>
      </c>
      <c r="N764" t="s">
        <v>3703</v>
      </c>
      <c r="O764" t="s">
        <v>3705</v>
      </c>
    </row>
    <row r="765" spans="1:15" x14ac:dyDescent="0.35">
      <c r="A765" t="s">
        <v>778</v>
      </c>
      <c r="B765" t="s">
        <v>1260</v>
      </c>
      <c r="C765" t="s">
        <v>1838</v>
      </c>
      <c r="D765" t="s">
        <v>3240</v>
      </c>
      <c r="E765" t="s">
        <v>3671</v>
      </c>
      <c r="F765">
        <v>34</v>
      </c>
      <c r="G765" t="s">
        <v>3677</v>
      </c>
      <c r="H765" t="s">
        <v>3680</v>
      </c>
      <c r="I765" t="s">
        <v>3688</v>
      </c>
      <c r="J765" t="s">
        <v>3694</v>
      </c>
      <c r="K765" t="s">
        <v>3698</v>
      </c>
      <c r="L765">
        <v>2</v>
      </c>
      <c r="M765">
        <v>4500</v>
      </c>
      <c r="N765" t="s">
        <v>3703</v>
      </c>
      <c r="O765" t="s">
        <v>3707</v>
      </c>
    </row>
    <row r="766" spans="1:15" x14ac:dyDescent="0.35">
      <c r="A766" t="s">
        <v>779</v>
      </c>
      <c r="B766" t="s">
        <v>1505</v>
      </c>
      <c r="C766" t="s">
        <v>2020</v>
      </c>
      <c r="D766" t="s">
        <v>3241</v>
      </c>
      <c r="E766" t="s">
        <v>3671</v>
      </c>
      <c r="F766">
        <v>58</v>
      </c>
      <c r="G766" t="s">
        <v>3679</v>
      </c>
      <c r="H766" t="s">
        <v>3684</v>
      </c>
      <c r="I766" t="s">
        <v>3686</v>
      </c>
      <c r="J766" t="s">
        <v>3693</v>
      </c>
      <c r="K766" t="s">
        <v>3696</v>
      </c>
      <c r="L766">
        <v>1</v>
      </c>
      <c r="M766">
        <v>65000</v>
      </c>
      <c r="N766" t="s">
        <v>3703</v>
      </c>
      <c r="O766" t="s">
        <v>3706</v>
      </c>
    </row>
    <row r="767" spans="1:15" x14ac:dyDescent="0.35">
      <c r="A767" t="s">
        <v>780</v>
      </c>
      <c r="B767" t="s">
        <v>1328</v>
      </c>
      <c r="C767" t="s">
        <v>2298</v>
      </c>
      <c r="D767" t="s">
        <v>3242</v>
      </c>
      <c r="E767" t="s">
        <v>3672</v>
      </c>
      <c r="F767">
        <v>25</v>
      </c>
      <c r="G767" t="s">
        <v>3674</v>
      </c>
      <c r="H767" t="s">
        <v>3680</v>
      </c>
      <c r="I767" t="s">
        <v>3685</v>
      </c>
      <c r="J767" t="s">
        <v>3692</v>
      </c>
      <c r="K767" t="s">
        <v>3695</v>
      </c>
      <c r="L767">
        <v>1</v>
      </c>
      <c r="M767">
        <v>12000</v>
      </c>
      <c r="N767" t="s">
        <v>3701</v>
      </c>
      <c r="O767" t="s">
        <v>3705</v>
      </c>
    </row>
    <row r="768" spans="1:15" x14ac:dyDescent="0.35">
      <c r="A768" t="s">
        <v>781</v>
      </c>
      <c r="B768" t="s">
        <v>1291</v>
      </c>
      <c r="C768" t="s">
        <v>2333</v>
      </c>
      <c r="D768" t="s">
        <v>3243</v>
      </c>
      <c r="E768" t="s">
        <v>3672</v>
      </c>
      <c r="F768">
        <v>25</v>
      </c>
      <c r="G768" t="s">
        <v>3678</v>
      </c>
      <c r="H768" t="s">
        <v>3683</v>
      </c>
      <c r="I768" t="s">
        <v>3689</v>
      </c>
      <c r="J768" t="s">
        <v>3694</v>
      </c>
      <c r="K768" t="s">
        <v>3699</v>
      </c>
      <c r="L768">
        <v>3</v>
      </c>
      <c r="M768">
        <v>1800</v>
      </c>
      <c r="N768" t="s">
        <v>3702</v>
      </c>
      <c r="O768" t="s">
        <v>3707</v>
      </c>
    </row>
    <row r="769" spans="1:15" x14ac:dyDescent="0.35">
      <c r="A769" t="s">
        <v>782</v>
      </c>
      <c r="B769" t="s">
        <v>1679</v>
      </c>
      <c r="C769" t="s">
        <v>2334</v>
      </c>
      <c r="D769" t="s">
        <v>3244</v>
      </c>
      <c r="E769" t="s">
        <v>3671</v>
      </c>
      <c r="F769">
        <v>23</v>
      </c>
      <c r="G769" t="s">
        <v>3679</v>
      </c>
      <c r="H769" t="s">
        <v>3684</v>
      </c>
      <c r="I769" t="s">
        <v>3685</v>
      </c>
      <c r="J769" t="s">
        <v>3692</v>
      </c>
      <c r="K769" t="s">
        <v>3695</v>
      </c>
      <c r="L769">
        <v>4</v>
      </c>
      <c r="M769">
        <v>12000</v>
      </c>
      <c r="N769" t="s">
        <v>3701</v>
      </c>
      <c r="O769" t="s">
        <v>3707</v>
      </c>
    </row>
    <row r="770" spans="1:15" x14ac:dyDescent="0.35">
      <c r="A770" t="s">
        <v>783</v>
      </c>
      <c r="B770" t="s">
        <v>1416</v>
      </c>
      <c r="C770" t="s">
        <v>2302</v>
      </c>
      <c r="D770" t="s">
        <v>3245</v>
      </c>
      <c r="E770" t="s">
        <v>3671</v>
      </c>
      <c r="F770">
        <v>21</v>
      </c>
      <c r="G770" t="s">
        <v>3676</v>
      </c>
      <c r="H770" t="s">
        <v>3682</v>
      </c>
      <c r="I770" t="s">
        <v>3690</v>
      </c>
      <c r="J770" t="s">
        <v>3693</v>
      </c>
      <c r="K770" t="s">
        <v>3700</v>
      </c>
      <c r="L770">
        <v>4</v>
      </c>
      <c r="M770">
        <v>72000</v>
      </c>
      <c r="N770" t="s">
        <v>3704</v>
      </c>
      <c r="O770" t="s">
        <v>3705</v>
      </c>
    </row>
    <row r="771" spans="1:15" x14ac:dyDescent="0.35">
      <c r="A771" t="s">
        <v>784</v>
      </c>
      <c r="B771" t="s">
        <v>1680</v>
      </c>
      <c r="C771" t="s">
        <v>2245</v>
      </c>
      <c r="D771" t="s">
        <v>3246</v>
      </c>
      <c r="E771" t="s">
        <v>3672</v>
      </c>
      <c r="F771">
        <v>24</v>
      </c>
      <c r="G771" t="s">
        <v>3678</v>
      </c>
      <c r="H771" t="s">
        <v>3683</v>
      </c>
      <c r="I771" t="s">
        <v>3689</v>
      </c>
      <c r="J771" t="s">
        <v>3694</v>
      </c>
      <c r="K771" t="s">
        <v>3699</v>
      </c>
      <c r="L771">
        <v>3</v>
      </c>
      <c r="M771">
        <v>1800</v>
      </c>
      <c r="N771" t="s">
        <v>3704</v>
      </c>
      <c r="O771" t="s">
        <v>3707</v>
      </c>
    </row>
    <row r="772" spans="1:15" x14ac:dyDescent="0.35">
      <c r="A772" t="s">
        <v>785</v>
      </c>
      <c r="B772" t="s">
        <v>1408</v>
      </c>
      <c r="C772" t="s">
        <v>1930</v>
      </c>
      <c r="D772" t="s">
        <v>3247</v>
      </c>
      <c r="E772" t="s">
        <v>3672</v>
      </c>
      <c r="F772">
        <v>47</v>
      </c>
      <c r="G772" t="s">
        <v>3674</v>
      </c>
      <c r="H772" t="s">
        <v>3680</v>
      </c>
      <c r="I772" t="s">
        <v>3689</v>
      </c>
      <c r="J772" t="s">
        <v>3694</v>
      </c>
      <c r="K772" t="s">
        <v>3699</v>
      </c>
      <c r="L772">
        <v>3</v>
      </c>
      <c r="M772">
        <v>1800</v>
      </c>
      <c r="N772" t="s">
        <v>3701</v>
      </c>
      <c r="O772" t="s">
        <v>3707</v>
      </c>
    </row>
    <row r="773" spans="1:15" x14ac:dyDescent="0.35">
      <c r="A773" t="s">
        <v>786</v>
      </c>
      <c r="B773" t="s">
        <v>1584</v>
      </c>
      <c r="C773" t="s">
        <v>2335</v>
      </c>
      <c r="D773" t="s">
        <v>3248</v>
      </c>
      <c r="E773" t="s">
        <v>3671</v>
      </c>
      <c r="F773">
        <v>39</v>
      </c>
      <c r="G773" t="s">
        <v>3677</v>
      </c>
      <c r="H773" t="s">
        <v>3680</v>
      </c>
      <c r="I773" t="s">
        <v>3691</v>
      </c>
      <c r="J773" t="s">
        <v>3693</v>
      </c>
      <c r="K773" t="s">
        <v>3696</v>
      </c>
      <c r="L773">
        <v>1</v>
      </c>
      <c r="M773">
        <v>58000</v>
      </c>
      <c r="N773" t="s">
        <v>3701</v>
      </c>
      <c r="O773" t="s">
        <v>3707</v>
      </c>
    </row>
    <row r="774" spans="1:15" x14ac:dyDescent="0.35">
      <c r="A774" t="s">
        <v>787</v>
      </c>
      <c r="B774" t="s">
        <v>1681</v>
      </c>
      <c r="C774" t="s">
        <v>2336</v>
      </c>
      <c r="D774" t="s">
        <v>3249</v>
      </c>
      <c r="E774" t="s">
        <v>3672</v>
      </c>
      <c r="F774">
        <v>24</v>
      </c>
      <c r="G774" t="s">
        <v>3678</v>
      </c>
      <c r="H774" t="s">
        <v>3683</v>
      </c>
      <c r="I774" t="s">
        <v>3689</v>
      </c>
      <c r="J774" t="s">
        <v>3694</v>
      </c>
      <c r="K774" t="s">
        <v>3699</v>
      </c>
      <c r="L774">
        <v>4</v>
      </c>
      <c r="M774">
        <v>1800</v>
      </c>
      <c r="N774" t="s">
        <v>3704</v>
      </c>
      <c r="O774" t="s">
        <v>3707</v>
      </c>
    </row>
    <row r="775" spans="1:15" x14ac:dyDescent="0.35">
      <c r="A775" t="s">
        <v>788</v>
      </c>
      <c r="B775" t="s">
        <v>1682</v>
      </c>
      <c r="C775" t="s">
        <v>2337</v>
      </c>
      <c r="D775" t="s">
        <v>3250</v>
      </c>
      <c r="E775" t="s">
        <v>3671</v>
      </c>
      <c r="F775">
        <v>32</v>
      </c>
      <c r="G775" t="s">
        <v>3673</v>
      </c>
      <c r="H775" t="s">
        <v>3673</v>
      </c>
      <c r="I775" t="s">
        <v>3691</v>
      </c>
      <c r="J775" t="s">
        <v>3693</v>
      </c>
      <c r="K775" t="s">
        <v>3696</v>
      </c>
      <c r="L775">
        <v>4</v>
      </c>
      <c r="M775">
        <v>58000</v>
      </c>
      <c r="N775" t="s">
        <v>3702</v>
      </c>
      <c r="O775" t="s">
        <v>3705</v>
      </c>
    </row>
    <row r="776" spans="1:15" x14ac:dyDescent="0.35">
      <c r="A776" t="s">
        <v>789</v>
      </c>
      <c r="B776" t="s">
        <v>1683</v>
      </c>
      <c r="C776" t="s">
        <v>2338</v>
      </c>
      <c r="D776" t="s">
        <v>3251</v>
      </c>
      <c r="E776" t="s">
        <v>3671</v>
      </c>
      <c r="F776">
        <v>25</v>
      </c>
      <c r="G776" t="s">
        <v>3679</v>
      </c>
      <c r="H776" t="s">
        <v>3684</v>
      </c>
      <c r="I776" t="s">
        <v>3688</v>
      </c>
      <c r="J776" t="s">
        <v>3694</v>
      </c>
      <c r="K776" t="s">
        <v>3698</v>
      </c>
      <c r="L776">
        <v>1</v>
      </c>
      <c r="M776">
        <v>4500</v>
      </c>
      <c r="N776" t="s">
        <v>3702</v>
      </c>
      <c r="O776" t="s">
        <v>3705</v>
      </c>
    </row>
    <row r="777" spans="1:15" x14ac:dyDescent="0.35">
      <c r="A777" t="s">
        <v>790</v>
      </c>
      <c r="B777" t="s">
        <v>1684</v>
      </c>
      <c r="C777" t="s">
        <v>1874</v>
      </c>
      <c r="D777" t="s">
        <v>3252</v>
      </c>
      <c r="E777" t="s">
        <v>3672</v>
      </c>
      <c r="F777">
        <v>21</v>
      </c>
      <c r="G777" t="s">
        <v>3679</v>
      </c>
      <c r="H777" t="s">
        <v>3684</v>
      </c>
      <c r="I777" t="s">
        <v>3689</v>
      </c>
      <c r="J777" t="s">
        <v>3694</v>
      </c>
      <c r="K777" t="s">
        <v>3699</v>
      </c>
      <c r="L777">
        <v>3</v>
      </c>
      <c r="M777">
        <v>1800</v>
      </c>
      <c r="N777" t="s">
        <v>3702</v>
      </c>
      <c r="O777" t="s">
        <v>3707</v>
      </c>
    </row>
    <row r="778" spans="1:15" x14ac:dyDescent="0.35">
      <c r="A778" t="s">
        <v>791</v>
      </c>
      <c r="B778" t="s">
        <v>1404</v>
      </c>
      <c r="C778" t="s">
        <v>2339</v>
      </c>
      <c r="D778" t="s">
        <v>3253</v>
      </c>
      <c r="E778" t="s">
        <v>3671</v>
      </c>
      <c r="F778">
        <v>23</v>
      </c>
      <c r="G778" t="s">
        <v>3678</v>
      </c>
      <c r="H778" t="s">
        <v>3683</v>
      </c>
      <c r="I778" t="s">
        <v>3686</v>
      </c>
      <c r="J778" t="s">
        <v>3693</v>
      </c>
      <c r="K778" t="s">
        <v>3696</v>
      </c>
      <c r="L778">
        <v>4</v>
      </c>
      <c r="M778">
        <v>65000</v>
      </c>
      <c r="N778" t="s">
        <v>3703</v>
      </c>
      <c r="O778" t="s">
        <v>3705</v>
      </c>
    </row>
    <row r="779" spans="1:15" x14ac:dyDescent="0.35">
      <c r="A779" t="s">
        <v>792</v>
      </c>
      <c r="B779" t="s">
        <v>1685</v>
      </c>
      <c r="C779" t="s">
        <v>2340</v>
      </c>
      <c r="D779" t="s">
        <v>3254</v>
      </c>
      <c r="E779" t="s">
        <v>3672</v>
      </c>
      <c r="F779">
        <v>29</v>
      </c>
      <c r="G779" t="s">
        <v>3677</v>
      </c>
      <c r="H779" t="s">
        <v>3680</v>
      </c>
      <c r="I779" t="s">
        <v>3689</v>
      </c>
      <c r="J779" t="s">
        <v>3694</v>
      </c>
      <c r="K779" t="s">
        <v>3699</v>
      </c>
      <c r="L779">
        <v>5</v>
      </c>
      <c r="M779">
        <v>1800</v>
      </c>
      <c r="N779" t="s">
        <v>3701</v>
      </c>
      <c r="O779" t="s">
        <v>3705</v>
      </c>
    </row>
    <row r="780" spans="1:15" x14ac:dyDescent="0.35">
      <c r="A780" t="s">
        <v>793</v>
      </c>
      <c r="B780" t="s">
        <v>1686</v>
      </c>
      <c r="C780" t="s">
        <v>2341</v>
      </c>
      <c r="D780" t="s">
        <v>3255</v>
      </c>
      <c r="E780" t="s">
        <v>3672</v>
      </c>
      <c r="F780">
        <v>38</v>
      </c>
      <c r="G780" t="s">
        <v>3674</v>
      </c>
      <c r="H780" t="s">
        <v>3680</v>
      </c>
      <c r="I780" t="s">
        <v>3685</v>
      </c>
      <c r="J780" t="s">
        <v>3692</v>
      </c>
      <c r="K780" t="s">
        <v>3695</v>
      </c>
      <c r="L780">
        <v>4</v>
      </c>
      <c r="M780">
        <v>12000</v>
      </c>
      <c r="N780" t="s">
        <v>3701</v>
      </c>
      <c r="O780" t="s">
        <v>3707</v>
      </c>
    </row>
    <row r="781" spans="1:15" x14ac:dyDescent="0.35">
      <c r="A781" t="s">
        <v>794</v>
      </c>
      <c r="B781" t="s">
        <v>1646</v>
      </c>
      <c r="C781" t="s">
        <v>2072</v>
      </c>
      <c r="D781" t="s">
        <v>3256</v>
      </c>
      <c r="E781" t="s">
        <v>3672</v>
      </c>
      <c r="F781">
        <v>30</v>
      </c>
      <c r="G781" t="s">
        <v>3675</v>
      </c>
      <c r="H781" t="s">
        <v>3681</v>
      </c>
      <c r="I781" t="s">
        <v>3687</v>
      </c>
      <c r="J781" t="s">
        <v>3693</v>
      </c>
      <c r="K781" t="s">
        <v>3697</v>
      </c>
      <c r="L781">
        <v>5</v>
      </c>
      <c r="M781">
        <v>5000</v>
      </c>
      <c r="N781" t="s">
        <v>3703</v>
      </c>
      <c r="O781" t="s">
        <v>3705</v>
      </c>
    </row>
    <row r="782" spans="1:15" x14ac:dyDescent="0.35">
      <c r="A782" t="s">
        <v>795</v>
      </c>
      <c r="B782" t="s">
        <v>1546</v>
      </c>
      <c r="C782" t="s">
        <v>2342</v>
      </c>
      <c r="D782" t="s">
        <v>3257</v>
      </c>
      <c r="E782" t="s">
        <v>3671</v>
      </c>
      <c r="F782">
        <v>43</v>
      </c>
      <c r="G782" t="s">
        <v>3676</v>
      </c>
      <c r="H782" t="s">
        <v>3682</v>
      </c>
      <c r="I782" t="s">
        <v>3687</v>
      </c>
      <c r="J782" t="s">
        <v>3693</v>
      </c>
      <c r="K782" t="s">
        <v>3697</v>
      </c>
      <c r="L782">
        <v>1</v>
      </c>
      <c r="M782">
        <v>5000</v>
      </c>
      <c r="N782" t="s">
        <v>3703</v>
      </c>
      <c r="O782" t="s">
        <v>3705</v>
      </c>
    </row>
    <row r="783" spans="1:15" x14ac:dyDescent="0.35">
      <c r="A783" t="s">
        <v>796</v>
      </c>
      <c r="B783" t="s">
        <v>1687</v>
      </c>
      <c r="C783" t="s">
        <v>1817</v>
      </c>
      <c r="D783" t="s">
        <v>3258</v>
      </c>
      <c r="E783" t="s">
        <v>3671</v>
      </c>
      <c r="F783">
        <v>37</v>
      </c>
      <c r="G783" t="s">
        <v>3679</v>
      </c>
      <c r="H783" t="s">
        <v>3684</v>
      </c>
      <c r="I783" t="s">
        <v>3691</v>
      </c>
      <c r="J783" t="s">
        <v>3693</v>
      </c>
      <c r="K783" t="s">
        <v>3696</v>
      </c>
      <c r="L783">
        <v>2</v>
      </c>
      <c r="M783">
        <v>58000</v>
      </c>
      <c r="N783" t="s">
        <v>3704</v>
      </c>
      <c r="O783" t="s">
        <v>3707</v>
      </c>
    </row>
    <row r="784" spans="1:15" x14ac:dyDescent="0.35">
      <c r="A784" t="s">
        <v>797</v>
      </c>
      <c r="B784" t="s">
        <v>1320</v>
      </c>
      <c r="C784" t="s">
        <v>2208</v>
      </c>
      <c r="D784" t="s">
        <v>3259</v>
      </c>
      <c r="E784" t="s">
        <v>3671</v>
      </c>
      <c r="F784">
        <v>50</v>
      </c>
      <c r="G784" t="s">
        <v>3673</v>
      </c>
      <c r="H784" t="s">
        <v>3673</v>
      </c>
      <c r="I784" t="s">
        <v>3687</v>
      </c>
      <c r="J784" t="s">
        <v>3693</v>
      </c>
      <c r="K784" t="s">
        <v>3697</v>
      </c>
      <c r="L784">
        <v>1</v>
      </c>
      <c r="M784">
        <v>5000</v>
      </c>
      <c r="N784" t="s">
        <v>3703</v>
      </c>
      <c r="O784" t="s">
        <v>3706</v>
      </c>
    </row>
    <row r="785" spans="1:15" x14ac:dyDescent="0.35">
      <c r="A785" t="s">
        <v>798</v>
      </c>
      <c r="B785" t="s">
        <v>1662</v>
      </c>
      <c r="C785" t="s">
        <v>2050</v>
      </c>
      <c r="D785" t="s">
        <v>3260</v>
      </c>
      <c r="E785" t="s">
        <v>3672</v>
      </c>
      <c r="F785">
        <v>31</v>
      </c>
      <c r="G785" t="s">
        <v>3675</v>
      </c>
      <c r="H785" t="s">
        <v>3681</v>
      </c>
      <c r="I785" t="s">
        <v>3688</v>
      </c>
      <c r="J785" t="s">
        <v>3694</v>
      </c>
      <c r="K785" t="s">
        <v>3698</v>
      </c>
      <c r="L785">
        <v>5</v>
      </c>
      <c r="M785">
        <v>4500</v>
      </c>
      <c r="N785" t="s">
        <v>3702</v>
      </c>
      <c r="O785" t="s">
        <v>3707</v>
      </c>
    </row>
    <row r="786" spans="1:15" x14ac:dyDescent="0.35">
      <c r="A786" t="s">
        <v>799</v>
      </c>
      <c r="B786" t="s">
        <v>1596</v>
      </c>
      <c r="C786" t="s">
        <v>2343</v>
      </c>
      <c r="D786" t="s">
        <v>3261</v>
      </c>
      <c r="E786" t="s">
        <v>3671</v>
      </c>
      <c r="F786">
        <v>31</v>
      </c>
      <c r="G786" t="s">
        <v>3676</v>
      </c>
      <c r="H786" t="s">
        <v>3682</v>
      </c>
      <c r="I786" t="s">
        <v>3686</v>
      </c>
      <c r="J786" t="s">
        <v>3693</v>
      </c>
      <c r="K786" t="s">
        <v>3696</v>
      </c>
      <c r="L786">
        <v>4</v>
      </c>
      <c r="M786">
        <v>65000</v>
      </c>
      <c r="N786" t="s">
        <v>3701</v>
      </c>
      <c r="O786" t="s">
        <v>3706</v>
      </c>
    </row>
    <row r="787" spans="1:15" x14ac:dyDescent="0.35">
      <c r="A787" t="s">
        <v>800</v>
      </c>
      <c r="B787" t="s">
        <v>1417</v>
      </c>
      <c r="C787" t="s">
        <v>2344</v>
      </c>
      <c r="D787" t="s">
        <v>3262</v>
      </c>
      <c r="E787" t="s">
        <v>3672</v>
      </c>
      <c r="F787">
        <v>33</v>
      </c>
      <c r="G787" t="s">
        <v>3676</v>
      </c>
      <c r="H787" t="s">
        <v>3682</v>
      </c>
      <c r="I787" t="s">
        <v>3685</v>
      </c>
      <c r="J787" t="s">
        <v>3692</v>
      </c>
      <c r="K787" t="s">
        <v>3695</v>
      </c>
      <c r="L787">
        <v>3</v>
      </c>
      <c r="M787">
        <v>12000</v>
      </c>
      <c r="N787" t="s">
        <v>3703</v>
      </c>
      <c r="O787" t="s">
        <v>3706</v>
      </c>
    </row>
    <row r="788" spans="1:15" x14ac:dyDescent="0.35">
      <c r="A788" t="s">
        <v>801</v>
      </c>
      <c r="B788" t="s">
        <v>1616</v>
      </c>
      <c r="C788" t="s">
        <v>2345</v>
      </c>
      <c r="D788" t="s">
        <v>3263</v>
      </c>
      <c r="E788" t="s">
        <v>3671</v>
      </c>
      <c r="F788">
        <v>49</v>
      </c>
      <c r="G788" t="s">
        <v>3675</v>
      </c>
      <c r="H788" t="s">
        <v>3681</v>
      </c>
      <c r="I788" t="s">
        <v>3688</v>
      </c>
      <c r="J788" t="s">
        <v>3694</v>
      </c>
      <c r="K788" t="s">
        <v>3698</v>
      </c>
      <c r="L788">
        <v>2</v>
      </c>
      <c r="M788">
        <v>4500</v>
      </c>
      <c r="N788" t="s">
        <v>3701</v>
      </c>
      <c r="O788" t="s">
        <v>3705</v>
      </c>
    </row>
    <row r="789" spans="1:15" x14ac:dyDescent="0.35">
      <c r="A789" t="s">
        <v>802</v>
      </c>
      <c r="B789" t="s">
        <v>1398</v>
      </c>
      <c r="C789" t="s">
        <v>1878</v>
      </c>
      <c r="D789" t="s">
        <v>3264</v>
      </c>
      <c r="E789" t="s">
        <v>3671</v>
      </c>
      <c r="F789">
        <v>54</v>
      </c>
      <c r="G789" t="s">
        <v>3674</v>
      </c>
      <c r="H789" t="s">
        <v>3680</v>
      </c>
      <c r="I789" t="s">
        <v>3690</v>
      </c>
      <c r="J789" t="s">
        <v>3693</v>
      </c>
      <c r="K789" t="s">
        <v>3700</v>
      </c>
      <c r="L789">
        <v>2</v>
      </c>
      <c r="M789">
        <v>72000</v>
      </c>
      <c r="N789" t="s">
        <v>3704</v>
      </c>
      <c r="O789" t="s">
        <v>3707</v>
      </c>
    </row>
    <row r="790" spans="1:15" x14ac:dyDescent="0.35">
      <c r="A790" t="s">
        <v>803</v>
      </c>
      <c r="B790" t="s">
        <v>1688</v>
      </c>
      <c r="C790" t="s">
        <v>2346</v>
      </c>
      <c r="D790" t="s">
        <v>3265</v>
      </c>
      <c r="E790" t="s">
        <v>3672</v>
      </c>
      <c r="F790">
        <v>32</v>
      </c>
      <c r="G790" t="s">
        <v>3673</v>
      </c>
      <c r="H790" t="s">
        <v>3673</v>
      </c>
      <c r="I790" t="s">
        <v>3686</v>
      </c>
      <c r="J790" t="s">
        <v>3693</v>
      </c>
      <c r="K790" t="s">
        <v>3696</v>
      </c>
      <c r="L790">
        <v>1</v>
      </c>
      <c r="M790">
        <v>65000</v>
      </c>
      <c r="N790" t="s">
        <v>3702</v>
      </c>
      <c r="O790" t="s">
        <v>3707</v>
      </c>
    </row>
    <row r="791" spans="1:15" x14ac:dyDescent="0.35">
      <c r="A791" t="s">
        <v>804</v>
      </c>
      <c r="B791" t="s">
        <v>1689</v>
      </c>
      <c r="C791" t="s">
        <v>2012</v>
      </c>
      <c r="D791" t="s">
        <v>3266</v>
      </c>
      <c r="E791" t="s">
        <v>3671</v>
      </c>
      <c r="F791">
        <v>58</v>
      </c>
      <c r="G791" t="s">
        <v>3679</v>
      </c>
      <c r="H791" t="s">
        <v>3684</v>
      </c>
      <c r="I791" t="s">
        <v>3691</v>
      </c>
      <c r="J791" t="s">
        <v>3693</v>
      </c>
      <c r="K791" t="s">
        <v>3696</v>
      </c>
      <c r="L791">
        <v>1</v>
      </c>
      <c r="M791">
        <v>58000</v>
      </c>
      <c r="N791" t="s">
        <v>3702</v>
      </c>
      <c r="O791" t="s">
        <v>3706</v>
      </c>
    </row>
    <row r="792" spans="1:15" x14ac:dyDescent="0.35">
      <c r="A792" t="s">
        <v>805</v>
      </c>
      <c r="B792" t="s">
        <v>1649</v>
      </c>
      <c r="C792" t="s">
        <v>2347</v>
      </c>
      <c r="D792" t="s">
        <v>3267</v>
      </c>
      <c r="E792" t="s">
        <v>3671</v>
      </c>
      <c r="F792">
        <v>34</v>
      </c>
      <c r="G792" t="s">
        <v>3677</v>
      </c>
      <c r="H792" t="s">
        <v>3680</v>
      </c>
      <c r="I792" t="s">
        <v>3687</v>
      </c>
      <c r="J792" t="s">
        <v>3693</v>
      </c>
      <c r="K792" t="s">
        <v>3697</v>
      </c>
      <c r="L792">
        <v>2</v>
      </c>
      <c r="M792">
        <v>5000</v>
      </c>
      <c r="N792" t="s">
        <v>3701</v>
      </c>
      <c r="O792" t="s">
        <v>3707</v>
      </c>
    </row>
    <row r="793" spans="1:15" x14ac:dyDescent="0.35">
      <c r="A793" t="s">
        <v>806</v>
      </c>
      <c r="B793" t="s">
        <v>1481</v>
      </c>
      <c r="C793" t="s">
        <v>2348</v>
      </c>
      <c r="D793" t="s">
        <v>3268</v>
      </c>
      <c r="E793" t="s">
        <v>3672</v>
      </c>
      <c r="F793">
        <v>28</v>
      </c>
      <c r="G793" t="s">
        <v>3675</v>
      </c>
      <c r="H793" t="s">
        <v>3681</v>
      </c>
      <c r="I793" t="s">
        <v>3686</v>
      </c>
      <c r="J793" t="s">
        <v>3693</v>
      </c>
      <c r="K793" t="s">
        <v>3696</v>
      </c>
      <c r="L793">
        <v>2</v>
      </c>
      <c r="M793">
        <v>65000</v>
      </c>
      <c r="N793" t="s">
        <v>3704</v>
      </c>
      <c r="O793" t="s">
        <v>3707</v>
      </c>
    </row>
    <row r="794" spans="1:15" x14ac:dyDescent="0.35">
      <c r="A794" t="s">
        <v>807</v>
      </c>
      <c r="B794" t="s">
        <v>1403</v>
      </c>
      <c r="C794" t="s">
        <v>1998</v>
      </c>
      <c r="D794" t="s">
        <v>3269</v>
      </c>
      <c r="E794" t="s">
        <v>3672</v>
      </c>
      <c r="F794">
        <v>39</v>
      </c>
      <c r="G794" t="s">
        <v>3676</v>
      </c>
      <c r="H794" t="s">
        <v>3682</v>
      </c>
      <c r="I794" t="s">
        <v>3689</v>
      </c>
      <c r="J794" t="s">
        <v>3694</v>
      </c>
      <c r="K794" t="s">
        <v>3699</v>
      </c>
      <c r="L794">
        <v>1</v>
      </c>
      <c r="M794">
        <v>1800</v>
      </c>
      <c r="N794" t="s">
        <v>3702</v>
      </c>
      <c r="O794" t="s">
        <v>3706</v>
      </c>
    </row>
    <row r="795" spans="1:15" x14ac:dyDescent="0.35">
      <c r="A795" t="s">
        <v>808</v>
      </c>
      <c r="B795" t="s">
        <v>1690</v>
      </c>
      <c r="C795" t="s">
        <v>2056</v>
      </c>
      <c r="D795" t="s">
        <v>3270</v>
      </c>
      <c r="E795" t="s">
        <v>3671</v>
      </c>
      <c r="F795">
        <v>58</v>
      </c>
      <c r="G795" t="s">
        <v>3678</v>
      </c>
      <c r="H795" t="s">
        <v>3683</v>
      </c>
      <c r="I795" t="s">
        <v>3691</v>
      </c>
      <c r="J795" t="s">
        <v>3693</v>
      </c>
      <c r="K795" t="s">
        <v>3696</v>
      </c>
      <c r="L795">
        <v>1</v>
      </c>
      <c r="M795">
        <v>58000</v>
      </c>
      <c r="N795" t="s">
        <v>3702</v>
      </c>
      <c r="O795" t="s">
        <v>3707</v>
      </c>
    </row>
    <row r="796" spans="1:15" x14ac:dyDescent="0.35">
      <c r="A796" t="s">
        <v>809</v>
      </c>
      <c r="B796" t="s">
        <v>1580</v>
      </c>
      <c r="C796" t="s">
        <v>2196</v>
      </c>
      <c r="D796" t="s">
        <v>3271</v>
      </c>
      <c r="E796" t="s">
        <v>3672</v>
      </c>
      <c r="F796">
        <v>46</v>
      </c>
      <c r="G796" t="s">
        <v>3678</v>
      </c>
      <c r="H796" t="s">
        <v>3683</v>
      </c>
      <c r="I796" t="s">
        <v>3685</v>
      </c>
      <c r="J796" t="s">
        <v>3692</v>
      </c>
      <c r="K796" t="s">
        <v>3695</v>
      </c>
      <c r="L796">
        <v>3</v>
      </c>
      <c r="M796">
        <v>12000</v>
      </c>
      <c r="N796" t="s">
        <v>3701</v>
      </c>
      <c r="O796" t="s">
        <v>3707</v>
      </c>
    </row>
    <row r="797" spans="1:15" x14ac:dyDescent="0.35">
      <c r="A797" t="s">
        <v>810</v>
      </c>
      <c r="B797" t="s">
        <v>1691</v>
      </c>
      <c r="C797" t="s">
        <v>2349</v>
      </c>
      <c r="D797" t="s">
        <v>3272</v>
      </c>
      <c r="E797" t="s">
        <v>3672</v>
      </c>
      <c r="F797">
        <v>36</v>
      </c>
      <c r="G797" t="s">
        <v>3674</v>
      </c>
      <c r="H797" t="s">
        <v>3680</v>
      </c>
      <c r="I797" t="s">
        <v>3688</v>
      </c>
      <c r="J797" t="s">
        <v>3694</v>
      </c>
      <c r="K797" t="s">
        <v>3698</v>
      </c>
      <c r="L797">
        <v>1</v>
      </c>
      <c r="M797">
        <v>4500</v>
      </c>
      <c r="N797" t="s">
        <v>3702</v>
      </c>
      <c r="O797" t="s">
        <v>3707</v>
      </c>
    </row>
    <row r="798" spans="1:15" x14ac:dyDescent="0.35">
      <c r="A798" t="s">
        <v>811</v>
      </c>
      <c r="B798" t="s">
        <v>1652</v>
      </c>
      <c r="C798" t="s">
        <v>2350</v>
      </c>
      <c r="D798" t="s">
        <v>3273</v>
      </c>
      <c r="E798" t="s">
        <v>3671</v>
      </c>
      <c r="F798">
        <v>30</v>
      </c>
      <c r="G798" t="s">
        <v>3674</v>
      </c>
      <c r="H798" t="s">
        <v>3680</v>
      </c>
      <c r="I798" t="s">
        <v>3685</v>
      </c>
      <c r="J798" t="s">
        <v>3692</v>
      </c>
      <c r="K798" t="s">
        <v>3695</v>
      </c>
      <c r="L798">
        <v>5</v>
      </c>
      <c r="M798">
        <v>12000</v>
      </c>
      <c r="N798" t="s">
        <v>3702</v>
      </c>
      <c r="O798" t="s">
        <v>3705</v>
      </c>
    </row>
    <row r="799" spans="1:15" x14ac:dyDescent="0.35">
      <c r="A799" t="s">
        <v>812</v>
      </c>
      <c r="B799" t="s">
        <v>1625</v>
      </c>
      <c r="C799" t="s">
        <v>2351</v>
      </c>
      <c r="D799" t="s">
        <v>3274</v>
      </c>
      <c r="E799" t="s">
        <v>3671</v>
      </c>
      <c r="F799">
        <v>35</v>
      </c>
      <c r="G799" t="s">
        <v>3674</v>
      </c>
      <c r="H799" t="s">
        <v>3680</v>
      </c>
      <c r="I799" t="s">
        <v>3691</v>
      </c>
      <c r="J799" t="s">
        <v>3693</v>
      </c>
      <c r="K799" t="s">
        <v>3696</v>
      </c>
      <c r="L799">
        <v>3</v>
      </c>
      <c r="M799">
        <v>58000</v>
      </c>
      <c r="N799" t="s">
        <v>3704</v>
      </c>
      <c r="O799" t="s">
        <v>3707</v>
      </c>
    </row>
    <row r="800" spans="1:15" x14ac:dyDescent="0.35">
      <c r="A800" t="s">
        <v>813</v>
      </c>
      <c r="B800" t="s">
        <v>1645</v>
      </c>
      <c r="C800" t="s">
        <v>2265</v>
      </c>
      <c r="D800" t="s">
        <v>3275</v>
      </c>
      <c r="E800" t="s">
        <v>3672</v>
      </c>
      <c r="F800">
        <v>58</v>
      </c>
      <c r="G800" t="s">
        <v>3673</v>
      </c>
      <c r="H800" t="s">
        <v>3673</v>
      </c>
      <c r="I800" t="s">
        <v>3690</v>
      </c>
      <c r="J800" t="s">
        <v>3693</v>
      </c>
      <c r="K800" t="s">
        <v>3700</v>
      </c>
      <c r="L800">
        <v>3</v>
      </c>
      <c r="M800">
        <v>72000</v>
      </c>
      <c r="N800" t="s">
        <v>3704</v>
      </c>
      <c r="O800" t="s">
        <v>3707</v>
      </c>
    </row>
    <row r="801" spans="1:15" x14ac:dyDescent="0.35">
      <c r="A801" t="s">
        <v>814</v>
      </c>
      <c r="B801" t="s">
        <v>1692</v>
      </c>
      <c r="C801" t="s">
        <v>2210</v>
      </c>
      <c r="D801" t="s">
        <v>3276</v>
      </c>
      <c r="E801" t="s">
        <v>3671</v>
      </c>
      <c r="F801">
        <v>27</v>
      </c>
      <c r="G801" t="s">
        <v>3673</v>
      </c>
      <c r="H801" t="s">
        <v>3673</v>
      </c>
      <c r="I801" t="s">
        <v>3691</v>
      </c>
      <c r="J801" t="s">
        <v>3693</v>
      </c>
      <c r="K801" t="s">
        <v>3696</v>
      </c>
      <c r="L801">
        <v>5</v>
      </c>
      <c r="M801">
        <v>58000</v>
      </c>
      <c r="N801" t="s">
        <v>3701</v>
      </c>
      <c r="O801" t="s">
        <v>3705</v>
      </c>
    </row>
    <row r="802" spans="1:15" x14ac:dyDescent="0.35">
      <c r="A802" t="s">
        <v>815</v>
      </c>
      <c r="B802" t="s">
        <v>1653</v>
      </c>
      <c r="C802" t="s">
        <v>2352</v>
      </c>
      <c r="D802" t="s">
        <v>3277</v>
      </c>
      <c r="E802" t="s">
        <v>3671</v>
      </c>
      <c r="F802">
        <v>51</v>
      </c>
      <c r="G802" t="s">
        <v>3675</v>
      </c>
      <c r="H802" t="s">
        <v>3681</v>
      </c>
      <c r="I802" t="s">
        <v>3686</v>
      </c>
      <c r="J802" t="s">
        <v>3693</v>
      </c>
      <c r="K802" t="s">
        <v>3696</v>
      </c>
      <c r="L802">
        <v>3</v>
      </c>
      <c r="M802">
        <v>65000</v>
      </c>
      <c r="N802" t="s">
        <v>3702</v>
      </c>
      <c r="O802" t="s">
        <v>3705</v>
      </c>
    </row>
    <row r="803" spans="1:15" x14ac:dyDescent="0.35">
      <c r="A803" t="s">
        <v>816</v>
      </c>
      <c r="B803" t="s">
        <v>1435</v>
      </c>
      <c r="C803" t="s">
        <v>2160</v>
      </c>
      <c r="D803" t="s">
        <v>3278</v>
      </c>
      <c r="E803" t="s">
        <v>3672</v>
      </c>
      <c r="F803">
        <v>19</v>
      </c>
      <c r="G803" t="s">
        <v>3677</v>
      </c>
      <c r="H803" t="s">
        <v>3680</v>
      </c>
      <c r="I803" t="s">
        <v>3688</v>
      </c>
      <c r="J803" t="s">
        <v>3694</v>
      </c>
      <c r="K803" t="s">
        <v>3698</v>
      </c>
      <c r="L803">
        <v>1</v>
      </c>
      <c r="M803">
        <v>4500</v>
      </c>
      <c r="N803" t="s">
        <v>3704</v>
      </c>
      <c r="O803" t="s">
        <v>3707</v>
      </c>
    </row>
    <row r="804" spans="1:15" x14ac:dyDescent="0.35">
      <c r="A804" t="s">
        <v>817</v>
      </c>
      <c r="B804" t="s">
        <v>1421</v>
      </c>
      <c r="C804" t="s">
        <v>2353</v>
      </c>
      <c r="D804" t="s">
        <v>3279</v>
      </c>
      <c r="E804" t="s">
        <v>3671</v>
      </c>
      <c r="F804">
        <v>35</v>
      </c>
      <c r="G804" t="s">
        <v>3676</v>
      </c>
      <c r="H804" t="s">
        <v>3682</v>
      </c>
      <c r="I804" t="s">
        <v>3688</v>
      </c>
      <c r="J804" t="s">
        <v>3694</v>
      </c>
      <c r="K804" t="s">
        <v>3698</v>
      </c>
      <c r="L804">
        <v>5</v>
      </c>
      <c r="M804">
        <v>4500</v>
      </c>
      <c r="N804" t="s">
        <v>3702</v>
      </c>
      <c r="O804" t="s">
        <v>3705</v>
      </c>
    </row>
    <row r="805" spans="1:15" x14ac:dyDescent="0.35">
      <c r="A805" t="s">
        <v>818</v>
      </c>
      <c r="B805" t="s">
        <v>1400</v>
      </c>
      <c r="C805" t="s">
        <v>1943</v>
      </c>
      <c r="D805" t="s">
        <v>3280</v>
      </c>
      <c r="E805" t="s">
        <v>3671</v>
      </c>
      <c r="F805">
        <v>47</v>
      </c>
      <c r="G805" t="s">
        <v>3678</v>
      </c>
      <c r="H805" t="s">
        <v>3683</v>
      </c>
      <c r="I805" t="s">
        <v>3686</v>
      </c>
      <c r="J805" t="s">
        <v>3693</v>
      </c>
      <c r="K805" t="s">
        <v>3696</v>
      </c>
      <c r="L805">
        <v>2</v>
      </c>
      <c r="M805">
        <v>65000</v>
      </c>
      <c r="N805" t="s">
        <v>3702</v>
      </c>
      <c r="O805" t="s">
        <v>3705</v>
      </c>
    </row>
    <row r="806" spans="1:15" x14ac:dyDescent="0.35">
      <c r="A806" t="s">
        <v>819</v>
      </c>
      <c r="B806" t="s">
        <v>1373</v>
      </c>
      <c r="C806" t="s">
        <v>2097</v>
      </c>
      <c r="D806" t="s">
        <v>3281</v>
      </c>
      <c r="E806" t="s">
        <v>3672</v>
      </c>
      <c r="F806">
        <v>26</v>
      </c>
      <c r="G806" t="s">
        <v>3679</v>
      </c>
      <c r="H806" t="s">
        <v>3684</v>
      </c>
      <c r="I806" t="s">
        <v>3691</v>
      </c>
      <c r="J806" t="s">
        <v>3693</v>
      </c>
      <c r="K806" t="s">
        <v>3696</v>
      </c>
      <c r="L806">
        <v>1</v>
      </c>
      <c r="M806">
        <v>58000</v>
      </c>
      <c r="N806" t="s">
        <v>3704</v>
      </c>
      <c r="O806" t="s">
        <v>3706</v>
      </c>
    </row>
    <row r="807" spans="1:15" x14ac:dyDescent="0.35">
      <c r="A807" t="s">
        <v>820</v>
      </c>
      <c r="B807" t="s">
        <v>1289</v>
      </c>
      <c r="C807" t="s">
        <v>2034</v>
      </c>
      <c r="D807" t="s">
        <v>3282</v>
      </c>
      <c r="E807" t="s">
        <v>3672</v>
      </c>
      <c r="F807">
        <v>28</v>
      </c>
      <c r="G807" t="s">
        <v>3676</v>
      </c>
      <c r="H807" t="s">
        <v>3682</v>
      </c>
      <c r="I807" t="s">
        <v>3685</v>
      </c>
      <c r="J807" t="s">
        <v>3692</v>
      </c>
      <c r="K807" t="s">
        <v>3695</v>
      </c>
      <c r="L807">
        <v>5</v>
      </c>
      <c r="M807">
        <v>12000</v>
      </c>
      <c r="N807" t="s">
        <v>3701</v>
      </c>
      <c r="O807" t="s">
        <v>3706</v>
      </c>
    </row>
    <row r="808" spans="1:15" x14ac:dyDescent="0.35">
      <c r="A808" t="s">
        <v>821</v>
      </c>
      <c r="B808" t="s">
        <v>1469</v>
      </c>
      <c r="C808" t="s">
        <v>2354</v>
      </c>
      <c r="D808" t="s">
        <v>3283</v>
      </c>
      <c r="E808" t="s">
        <v>3672</v>
      </c>
      <c r="F808">
        <v>39</v>
      </c>
      <c r="G808" t="s">
        <v>3677</v>
      </c>
      <c r="H808" t="s">
        <v>3680</v>
      </c>
      <c r="I808" t="s">
        <v>3690</v>
      </c>
      <c r="J808" t="s">
        <v>3693</v>
      </c>
      <c r="K808" t="s">
        <v>3700</v>
      </c>
      <c r="L808">
        <v>2</v>
      </c>
      <c r="M808">
        <v>72000</v>
      </c>
      <c r="N808" t="s">
        <v>3703</v>
      </c>
      <c r="O808" t="s">
        <v>3707</v>
      </c>
    </row>
    <row r="809" spans="1:15" x14ac:dyDescent="0.35">
      <c r="A809" t="s">
        <v>822</v>
      </c>
      <c r="B809" t="s">
        <v>1693</v>
      </c>
      <c r="C809" t="s">
        <v>2355</v>
      </c>
      <c r="D809" t="s">
        <v>3284</v>
      </c>
      <c r="E809" t="s">
        <v>3671</v>
      </c>
      <c r="F809">
        <v>40</v>
      </c>
      <c r="G809" t="s">
        <v>3673</v>
      </c>
      <c r="H809" t="s">
        <v>3673</v>
      </c>
      <c r="I809" t="s">
        <v>3685</v>
      </c>
      <c r="J809" t="s">
        <v>3692</v>
      </c>
      <c r="K809" t="s">
        <v>3695</v>
      </c>
      <c r="L809">
        <v>5</v>
      </c>
      <c r="M809">
        <v>12000</v>
      </c>
      <c r="N809" t="s">
        <v>3702</v>
      </c>
      <c r="O809" t="s">
        <v>3706</v>
      </c>
    </row>
    <row r="810" spans="1:15" x14ac:dyDescent="0.35">
      <c r="A810" t="s">
        <v>823</v>
      </c>
      <c r="B810" t="s">
        <v>1297</v>
      </c>
      <c r="C810" t="s">
        <v>2356</v>
      </c>
      <c r="D810" t="s">
        <v>3285</v>
      </c>
      <c r="E810" t="s">
        <v>3671</v>
      </c>
      <c r="F810">
        <v>30</v>
      </c>
      <c r="G810" t="s">
        <v>3675</v>
      </c>
      <c r="H810" t="s">
        <v>3681</v>
      </c>
      <c r="I810" t="s">
        <v>3688</v>
      </c>
      <c r="J810" t="s">
        <v>3694</v>
      </c>
      <c r="K810" t="s">
        <v>3698</v>
      </c>
      <c r="L810">
        <v>2</v>
      </c>
      <c r="M810">
        <v>4500</v>
      </c>
      <c r="N810" t="s">
        <v>3704</v>
      </c>
      <c r="O810" t="s">
        <v>3705</v>
      </c>
    </row>
    <row r="811" spans="1:15" x14ac:dyDescent="0.35">
      <c r="A811" t="s">
        <v>824</v>
      </c>
      <c r="B811" t="s">
        <v>1406</v>
      </c>
      <c r="C811" t="s">
        <v>1887</v>
      </c>
      <c r="D811" t="s">
        <v>3286</v>
      </c>
      <c r="E811" t="s">
        <v>3671</v>
      </c>
      <c r="F811">
        <v>43</v>
      </c>
      <c r="G811" t="s">
        <v>3677</v>
      </c>
      <c r="H811" t="s">
        <v>3680</v>
      </c>
      <c r="I811" t="s">
        <v>3685</v>
      </c>
      <c r="J811" t="s">
        <v>3692</v>
      </c>
      <c r="K811" t="s">
        <v>3695</v>
      </c>
      <c r="L811">
        <v>1</v>
      </c>
      <c r="M811">
        <v>12000</v>
      </c>
      <c r="N811" t="s">
        <v>3704</v>
      </c>
      <c r="O811" t="s">
        <v>3707</v>
      </c>
    </row>
    <row r="812" spans="1:15" x14ac:dyDescent="0.35">
      <c r="A812" t="s">
        <v>825</v>
      </c>
      <c r="B812" t="s">
        <v>1220</v>
      </c>
      <c r="C812" t="s">
        <v>1957</v>
      </c>
      <c r="D812" t="s">
        <v>3287</v>
      </c>
      <c r="E812" t="s">
        <v>3671</v>
      </c>
      <c r="F812">
        <v>29</v>
      </c>
      <c r="G812" t="s">
        <v>3677</v>
      </c>
      <c r="H812" t="s">
        <v>3680</v>
      </c>
      <c r="I812" t="s">
        <v>3687</v>
      </c>
      <c r="J812" t="s">
        <v>3693</v>
      </c>
      <c r="K812" t="s">
        <v>3697</v>
      </c>
      <c r="L812">
        <v>1</v>
      </c>
      <c r="M812">
        <v>5000</v>
      </c>
      <c r="N812" t="s">
        <v>3701</v>
      </c>
      <c r="O812" t="s">
        <v>3706</v>
      </c>
    </row>
    <row r="813" spans="1:15" x14ac:dyDescent="0.35">
      <c r="A813" t="s">
        <v>826</v>
      </c>
      <c r="B813" t="s">
        <v>1515</v>
      </c>
      <c r="C813" t="s">
        <v>2201</v>
      </c>
      <c r="D813" t="s">
        <v>3288</v>
      </c>
      <c r="E813" t="s">
        <v>3671</v>
      </c>
      <c r="F813">
        <v>60</v>
      </c>
      <c r="G813" t="s">
        <v>3677</v>
      </c>
      <c r="H813" t="s">
        <v>3680</v>
      </c>
      <c r="I813" t="s">
        <v>3687</v>
      </c>
      <c r="J813" t="s">
        <v>3693</v>
      </c>
      <c r="K813" t="s">
        <v>3697</v>
      </c>
      <c r="L813">
        <v>4</v>
      </c>
      <c r="M813">
        <v>5000</v>
      </c>
      <c r="N813" t="s">
        <v>3701</v>
      </c>
      <c r="O813" t="s">
        <v>3706</v>
      </c>
    </row>
    <row r="814" spans="1:15" x14ac:dyDescent="0.35">
      <c r="A814" t="s">
        <v>827</v>
      </c>
      <c r="B814" t="s">
        <v>1694</v>
      </c>
      <c r="C814" t="s">
        <v>1994</v>
      </c>
      <c r="D814" t="s">
        <v>3289</v>
      </c>
      <c r="E814" t="s">
        <v>3671</v>
      </c>
      <c r="F814">
        <v>52</v>
      </c>
      <c r="G814" t="s">
        <v>3676</v>
      </c>
      <c r="H814" t="s">
        <v>3682</v>
      </c>
      <c r="I814" t="s">
        <v>3687</v>
      </c>
      <c r="J814" t="s">
        <v>3693</v>
      </c>
      <c r="K814" t="s">
        <v>3697</v>
      </c>
      <c r="L814">
        <v>5</v>
      </c>
      <c r="M814">
        <v>5000</v>
      </c>
      <c r="N814" t="s">
        <v>3704</v>
      </c>
      <c r="O814" t="s">
        <v>3707</v>
      </c>
    </row>
    <row r="815" spans="1:15" x14ac:dyDescent="0.35">
      <c r="A815" t="s">
        <v>828</v>
      </c>
      <c r="B815" t="s">
        <v>1368</v>
      </c>
      <c r="C815" t="s">
        <v>2357</v>
      </c>
      <c r="D815" t="s">
        <v>3290</v>
      </c>
      <c r="E815" t="s">
        <v>3672</v>
      </c>
      <c r="F815">
        <v>47</v>
      </c>
      <c r="G815" t="s">
        <v>3675</v>
      </c>
      <c r="H815" t="s">
        <v>3681</v>
      </c>
      <c r="I815" t="s">
        <v>3688</v>
      </c>
      <c r="J815" t="s">
        <v>3694</v>
      </c>
      <c r="K815" t="s">
        <v>3698</v>
      </c>
      <c r="L815">
        <v>1</v>
      </c>
      <c r="M815">
        <v>4500</v>
      </c>
      <c r="N815" t="s">
        <v>3701</v>
      </c>
      <c r="O815" t="s">
        <v>3707</v>
      </c>
    </row>
    <row r="816" spans="1:15" x14ac:dyDescent="0.35">
      <c r="A816" t="s">
        <v>829</v>
      </c>
      <c r="B816" t="s">
        <v>1695</v>
      </c>
      <c r="C816" t="s">
        <v>2055</v>
      </c>
      <c r="D816" t="s">
        <v>3291</v>
      </c>
      <c r="E816" t="s">
        <v>3671</v>
      </c>
      <c r="F816">
        <v>18</v>
      </c>
      <c r="G816" t="s">
        <v>3678</v>
      </c>
      <c r="H816" t="s">
        <v>3683</v>
      </c>
      <c r="I816" t="s">
        <v>3690</v>
      </c>
      <c r="J816" t="s">
        <v>3693</v>
      </c>
      <c r="K816" t="s">
        <v>3700</v>
      </c>
      <c r="L816">
        <v>2</v>
      </c>
      <c r="M816">
        <v>72000</v>
      </c>
      <c r="N816" t="s">
        <v>3704</v>
      </c>
      <c r="O816" t="s">
        <v>3705</v>
      </c>
    </row>
    <row r="817" spans="1:15" x14ac:dyDescent="0.35">
      <c r="A817" t="s">
        <v>830</v>
      </c>
      <c r="B817" t="s">
        <v>1440</v>
      </c>
      <c r="C817" t="s">
        <v>2176</v>
      </c>
      <c r="D817" t="s">
        <v>3292</v>
      </c>
      <c r="E817" t="s">
        <v>3672</v>
      </c>
      <c r="F817">
        <v>51</v>
      </c>
      <c r="G817" t="s">
        <v>3679</v>
      </c>
      <c r="H817" t="s">
        <v>3684</v>
      </c>
      <c r="I817" t="s">
        <v>3691</v>
      </c>
      <c r="J817" t="s">
        <v>3693</v>
      </c>
      <c r="K817" t="s">
        <v>3696</v>
      </c>
      <c r="L817">
        <v>5</v>
      </c>
      <c r="M817">
        <v>58000</v>
      </c>
      <c r="N817" t="s">
        <v>3704</v>
      </c>
      <c r="O817" t="s">
        <v>3705</v>
      </c>
    </row>
    <row r="818" spans="1:15" x14ac:dyDescent="0.35">
      <c r="A818" t="s">
        <v>831</v>
      </c>
      <c r="B818" t="s">
        <v>1581</v>
      </c>
      <c r="C818" t="s">
        <v>2029</v>
      </c>
      <c r="D818" t="s">
        <v>3293</v>
      </c>
      <c r="E818" t="s">
        <v>3671</v>
      </c>
      <c r="F818">
        <v>52</v>
      </c>
      <c r="G818" t="s">
        <v>3674</v>
      </c>
      <c r="H818" t="s">
        <v>3680</v>
      </c>
      <c r="I818" t="s">
        <v>3691</v>
      </c>
      <c r="J818" t="s">
        <v>3693</v>
      </c>
      <c r="K818" t="s">
        <v>3696</v>
      </c>
      <c r="L818">
        <v>3</v>
      </c>
      <c r="M818">
        <v>58000</v>
      </c>
      <c r="N818" t="s">
        <v>3703</v>
      </c>
      <c r="O818" t="s">
        <v>3706</v>
      </c>
    </row>
    <row r="819" spans="1:15" x14ac:dyDescent="0.35">
      <c r="A819" t="s">
        <v>832</v>
      </c>
      <c r="B819" t="s">
        <v>1542</v>
      </c>
      <c r="C819" t="s">
        <v>2358</v>
      </c>
      <c r="D819" t="s">
        <v>3294</v>
      </c>
      <c r="E819" t="s">
        <v>3671</v>
      </c>
      <c r="F819">
        <v>46</v>
      </c>
      <c r="G819" t="s">
        <v>3679</v>
      </c>
      <c r="H819" t="s">
        <v>3684</v>
      </c>
      <c r="I819" t="s">
        <v>3691</v>
      </c>
      <c r="J819" t="s">
        <v>3693</v>
      </c>
      <c r="K819" t="s">
        <v>3696</v>
      </c>
      <c r="L819">
        <v>2</v>
      </c>
      <c r="M819">
        <v>58000</v>
      </c>
      <c r="N819" t="s">
        <v>3704</v>
      </c>
      <c r="O819" t="s">
        <v>3707</v>
      </c>
    </row>
    <row r="820" spans="1:15" x14ac:dyDescent="0.35">
      <c r="A820" t="s">
        <v>833</v>
      </c>
      <c r="B820" t="s">
        <v>1356</v>
      </c>
      <c r="C820" t="s">
        <v>2076</v>
      </c>
      <c r="D820" t="s">
        <v>3295</v>
      </c>
      <c r="E820" t="s">
        <v>3671</v>
      </c>
      <c r="F820">
        <v>25</v>
      </c>
      <c r="G820" t="s">
        <v>3677</v>
      </c>
      <c r="H820" t="s">
        <v>3680</v>
      </c>
      <c r="I820" t="s">
        <v>3687</v>
      </c>
      <c r="J820" t="s">
        <v>3693</v>
      </c>
      <c r="K820" t="s">
        <v>3697</v>
      </c>
      <c r="L820">
        <v>5</v>
      </c>
      <c r="M820">
        <v>5000</v>
      </c>
      <c r="N820" t="s">
        <v>3702</v>
      </c>
      <c r="O820" t="s">
        <v>3705</v>
      </c>
    </row>
    <row r="821" spans="1:15" x14ac:dyDescent="0.35">
      <c r="A821" t="s">
        <v>834</v>
      </c>
      <c r="B821" t="s">
        <v>1696</v>
      </c>
      <c r="C821" t="s">
        <v>2033</v>
      </c>
      <c r="D821" t="s">
        <v>3296</v>
      </c>
      <c r="E821" t="s">
        <v>3672</v>
      </c>
      <c r="F821">
        <v>38</v>
      </c>
      <c r="G821" t="s">
        <v>3678</v>
      </c>
      <c r="H821" t="s">
        <v>3683</v>
      </c>
      <c r="I821" t="s">
        <v>3686</v>
      </c>
      <c r="J821" t="s">
        <v>3693</v>
      </c>
      <c r="K821" t="s">
        <v>3696</v>
      </c>
      <c r="L821">
        <v>5</v>
      </c>
      <c r="M821">
        <v>65000</v>
      </c>
      <c r="N821" t="s">
        <v>3703</v>
      </c>
      <c r="O821" t="s">
        <v>3706</v>
      </c>
    </row>
    <row r="822" spans="1:15" x14ac:dyDescent="0.35">
      <c r="A822" t="s">
        <v>835</v>
      </c>
      <c r="B822" t="s">
        <v>1308</v>
      </c>
      <c r="C822" t="s">
        <v>2146</v>
      </c>
      <c r="D822" t="s">
        <v>3297</v>
      </c>
      <c r="E822" t="s">
        <v>3671</v>
      </c>
      <c r="F822">
        <v>32</v>
      </c>
      <c r="G822" t="s">
        <v>3679</v>
      </c>
      <c r="H822" t="s">
        <v>3684</v>
      </c>
      <c r="I822" t="s">
        <v>3690</v>
      </c>
      <c r="J822" t="s">
        <v>3693</v>
      </c>
      <c r="K822" t="s">
        <v>3700</v>
      </c>
      <c r="L822">
        <v>1</v>
      </c>
      <c r="M822">
        <v>72000</v>
      </c>
      <c r="N822" t="s">
        <v>3701</v>
      </c>
      <c r="O822" t="s">
        <v>3706</v>
      </c>
    </row>
    <row r="823" spans="1:15" x14ac:dyDescent="0.35">
      <c r="A823" t="s">
        <v>836</v>
      </c>
      <c r="B823" t="s">
        <v>1434</v>
      </c>
      <c r="C823" t="s">
        <v>2083</v>
      </c>
      <c r="D823" t="s">
        <v>3298</v>
      </c>
      <c r="E823" t="s">
        <v>3671</v>
      </c>
      <c r="F823">
        <v>30</v>
      </c>
      <c r="G823" t="s">
        <v>3674</v>
      </c>
      <c r="H823" t="s">
        <v>3680</v>
      </c>
      <c r="I823" t="s">
        <v>3686</v>
      </c>
      <c r="J823" t="s">
        <v>3693</v>
      </c>
      <c r="K823" t="s">
        <v>3696</v>
      </c>
      <c r="L823">
        <v>5</v>
      </c>
      <c r="M823">
        <v>65000</v>
      </c>
      <c r="N823" t="s">
        <v>3704</v>
      </c>
      <c r="O823" t="s">
        <v>3707</v>
      </c>
    </row>
    <row r="824" spans="1:15" x14ac:dyDescent="0.35">
      <c r="A824" t="s">
        <v>837</v>
      </c>
      <c r="B824" t="s">
        <v>1697</v>
      </c>
      <c r="C824" t="s">
        <v>2359</v>
      </c>
      <c r="D824" t="s">
        <v>3299</v>
      </c>
      <c r="E824" t="s">
        <v>3672</v>
      </c>
      <c r="F824">
        <v>40</v>
      </c>
      <c r="G824" t="s">
        <v>3673</v>
      </c>
      <c r="H824" t="s">
        <v>3673</v>
      </c>
      <c r="I824" t="s">
        <v>3690</v>
      </c>
      <c r="J824" t="s">
        <v>3693</v>
      </c>
      <c r="K824" t="s">
        <v>3700</v>
      </c>
      <c r="L824">
        <v>1</v>
      </c>
      <c r="M824">
        <v>72000</v>
      </c>
      <c r="N824" t="s">
        <v>3704</v>
      </c>
      <c r="O824" t="s">
        <v>3706</v>
      </c>
    </row>
    <row r="825" spans="1:15" x14ac:dyDescent="0.35">
      <c r="A825" t="s">
        <v>838</v>
      </c>
      <c r="B825" t="s">
        <v>1698</v>
      </c>
      <c r="C825" t="s">
        <v>2028</v>
      </c>
      <c r="D825" t="s">
        <v>3300</v>
      </c>
      <c r="E825" t="s">
        <v>3671</v>
      </c>
      <c r="F825">
        <v>43</v>
      </c>
      <c r="G825" t="s">
        <v>3678</v>
      </c>
      <c r="H825" t="s">
        <v>3683</v>
      </c>
      <c r="I825" t="s">
        <v>3685</v>
      </c>
      <c r="J825" t="s">
        <v>3692</v>
      </c>
      <c r="K825" t="s">
        <v>3695</v>
      </c>
      <c r="L825">
        <v>2</v>
      </c>
      <c r="M825">
        <v>12000</v>
      </c>
      <c r="N825" t="s">
        <v>3704</v>
      </c>
      <c r="O825" t="s">
        <v>3707</v>
      </c>
    </row>
    <row r="826" spans="1:15" x14ac:dyDescent="0.35">
      <c r="A826" t="s">
        <v>839</v>
      </c>
      <c r="B826" t="s">
        <v>1501</v>
      </c>
      <c r="C826" t="s">
        <v>2360</v>
      </c>
      <c r="D826" t="s">
        <v>3301</v>
      </c>
      <c r="E826" t="s">
        <v>3672</v>
      </c>
      <c r="F826">
        <v>58</v>
      </c>
      <c r="G826" t="s">
        <v>3674</v>
      </c>
      <c r="H826" t="s">
        <v>3680</v>
      </c>
      <c r="I826" t="s">
        <v>3690</v>
      </c>
      <c r="J826" t="s">
        <v>3693</v>
      </c>
      <c r="K826" t="s">
        <v>3700</v>
      </c>
      <c r="L826">
        <v>3</v>
      </c>
      <c r="M826">
        <v>72000</v>
      </c>
      <c r="N826" t="s">
        <v>3704</v>
      </c>
      <c r="O826" t="s">
        <v>3707</v>
      </c>
    </row>
    <row r="827" spans="1:15" x14ac:dyDescent="0.35">
      <c r="A827" t="s">
        <v>840</v>
      </c>
      <c r="B827" t="s">
        <v>1478</v>
      </c>
      <c r="C827" t="s">
        <v>2164</v>
      </c>
      <c r="D827" t="s">
        <v>3302</v>
      </c>
      <c r="E827" t="s">
        <v>3672</v>
      </c>
      <c r="F827">
        <v>47</v>
      </c>
      <c r="G827" t="s">
        <v>3673</v>
      </c>
      <c r="H827" t="s">
        <v>3673</v>
      </c>
      <c r="I827" t="s">
        <v>3691</v>
      </c>
      <c r="J827" t="s">
        <v>3693</v>
      </c>
      <c r="K827" t="s">
        <v>3696</v>
      </c>
      <c r="L827">
        <v>4</v>
      </c>
      <c r="M827">
        <v>58000</v>
      </c>
      <c r="N827" t="s">
        <v>3704</v>
      </c>
      <c r="O827" t="s">
        <v>3705</v>
      </c>
    </row>
    <row r="828" spans="1:15" x14ac:dyDescent="0.35">
      <c r="A828" t="s">
        <v>841</v>
      </c>
      <c r="B828" t="s">
        <v>1699</v>
      </c>
      <c r="C828" t="s">
        <v>2215</v>
      </c>
      <c r="D828" t="s">
        <v>3303</v>
      </c>
      <c r="E828" t="s">
        <v>3672</v>
      </c>
      <c r="F828">
        <v>35</v>
      </c>
      <c r="G828" t="s">
        <v>3678</v>
      </c>
      <c r="H828" t="s">
        <v>3683</v>
      </c>
      <c r="I828" t="s">
        <v>3686</v>
      </c>
      <c r="J828" t="s">
        <v>3693</v>
      </c>
      <c r="K828" t="s">
        <v>3696</v>
      </c>
      <c r="L828">
        <v>2</v>
      </c>
      <c r="M828">
        <v>65000</v>
      </c>
      <c r="N828" t="s">
        <v>3703</v>
      </c>
      <c r="O828" t="s">
        <v>3706</v>
      </c>
    </row>
    <row r="829" spans="1:15" x14ac:dyDescent="0.35">
      <c r="A829" t="s">
        <v>842</v>
      </c>
      <c r="B829" t="s">
        <v>1700</v>
      </c>
      <c r="C829" t="s">
        <v>2361</v>
      </c>
      <c r="D829" t="s">
        <v>3304</v>
      </c>
      <c r="E829" t="s">
        <v>3672</v>
      </c>
      <c r="F829">
        <v>32</v>
      </c>
      <c r="G829" t="s">
        <v>3673</v>
      </c>
      <c r="H829" t="s">
        <v>3673</v>
      </c>
      <c r="I829" t="s">
        <v>3686</v>
      </c>
      <c r="J829" t="s">
        <v>3693</v>
      </c>
      <c r="K829" t="s">
        <v>3696</v>
      </c>
      <c r="L829">
        <v>1</v>
      </c>
      <c r="M829">
        <v>65000</v>
      </c>
      <c r="N829" t="s">
        <v>3703</v>
      </c>
      <c r="O829" t="s">
        <v>3706</v>
      </c>
    </row>
    <row r="830" spans="1:15" x14ac:dyDescent="0.35">
      <c r="A830" t="s">
        <v>843</v>
      </c>
      <c r="B830" t="s">
        <v>1389</v>
      </c>
      <c r="C830" t="s">
        <v>2362</v>
      </c>
      <c r="D830" t="s">
        <v>3305</v>
      </c>
      <c r="E830" t="s">
        <v>3671</v>
      </c>
      <c r="F830">
        <v>49</v>
      </c>
      <c r="G830" t="s">
        <v>3677</v>
      </c>
      <c r="H830" t="s">
        <v>3680</v>
      </c>
      <c r="I830" t="s">
        <v>3691</v>
      </c>
      <c r="J830" t="s">
        <v>3693</v>
      </c>
      <c r="K830" t="s">
        <v>3696</v>
      </c>
      <c r="L830">
        <v>1</v>
      </c>
      <c r="M830">
        <v>58000</v>
      </c>
      <c r="N830" t="s">
        <v>3702</v>
      </c>
      <c r="O830" t="s">
        <v>3706</v>
      </c>
    </row>
    <row r="831" spans="1:15" x14ac:dyDescent="0.35">
      <c r="A831" t="s">
        <v>844</v>
      </c>
      <c r="B831" t="s">
        <v>1701</v>
      </c>
      <c r="C831" t="s">
        <v>2363</v>
      </c>
      <c r="D831" t="s">
        <v>3306</v>
      </c>
      <c r="E831" t="s">
        <v>3671</v>
      </c>
      <c r="F831">
        <v>25</v>
      </c>
      <c r="G831" t="s">
        <v>3675</v>
      </c>
      <c r="H831" t="s">
        <v>3681</v>
      </c>
      <c r="I831" t="s">
        <v>3690</v>
      </c>
      <c r="J831" t="s">
        <v>3693</v>
      </c>
      <c r="K831" t="s">
        <v>3700</v>
      </c>
      <c r="L831">
        <v>4</v>
      </c>
      <c r="M831">
        <v>72000</v>
      </c>
      <c r="N831" t="s">
        <v>3704</v>
      </c>
      <c r="O831" t="s">
        <v>3705</v>
      </c>
    </row>
    <row r="832" spans="1:15" x14ac:dyDescent="0.35">
      <c r="A832" t="s">
        <v>845</v>
      </c>
      <c r="B832" t="s">
        <v>1491</v>
      </c>
      <c r="C832" t="s">
        <v>1809</v>
      </c>
      <c r="D832" t="s">
        <v>3307</v>
      </c>
      <c r="E832" t="s">
        <v>3671</v>
      </c>
      <c r="F832">
        <v>19</v>
      </c>
      <c r="G832" t="s">
        <v>3673</v>
      </c>
      <c r="H832" t="s">
        <v>3673</v>
      </c>
      <c r="I832" t="s">
        <v>3689</v>
      </c>
      <c r="J832" t="s">
        <v>3694</v>
      </c>
      <c r="K832" t="s">
        <v>3699</v>
      </c>
      <c r="L832">
        <v>4</v>
      </c>
      <c r="M832">
        <v>1800</v>
      </c>
      <c r="N832" t="s">
        <v>3704</v>
      </c>
      <c r="O832" t="s">
        <v>3705</v>
      </c>
    </row>
    <row r="833" spans="1:15" x14ac:dyDescent="0.35">
      <c r="A833" t="s">
        <v>846</v>
      </c>
      <c r="B833" t="s">
        <v>1573</v>
      </c>
      <c r="C833" t="s">
        <v>1827</v>
      </c>
      <c r="D833" t="s">
        <v>3308</v>
      </c>
      <c r="E833" t="s">
        <v>3672</v>
      </c>
      <c r="F833">
        <v>49</v>
      </c>
      <c r="G833" t="s">
        <v>3678</v>
      </c>
      <c r="H833" t="s">
        <v>3683</v>
      </c>
      <c r="I833" t="s">
        <v>3688</v>
      </c>
      <c r="J833" t="s">
        <v>3694</v>
      </c>
      <c r="K833" t="s">
        <v>3698</v>
      </c>
      <c r="L833">
        <v>5</v>
      </c>
      <c r="M833">
        <v>4500</v>
      </c>
      <c r="N833" t="s">
        <v>3703</v>
      </c>
      <c r="O833" t="s">
        <v>3705</v>
      </c>
    </row>
    <row r="834" spans="1:15" x14ac:dyDescent="0.35">
      <c r="A834" t="s">
        <v>847</v>
      </c>
      <c r="B834" t="s">
        <v>1702</v>
      </c>
      <c r="C834" t="s">
        <v>1914</v>
      </c>
      <c r="D834" t="s">
        <v>3309</v>
      </c>
      <c r="E834" t="s">
        <v>3672</v>
      </c>
      <c r="F834">
        <v>40</v>
      </c>
      <c r="G834" t="s">
        <v>3676</v>
      </c>
      <c r="H834" t="s">
        <v>3682</v>
      </c>
      <c r="I834" t="s">
        <v>3685</v>
      </c>
      <c r="J834" t="s">
        <v>3692</v>
      </c>
      <c r="K834" t="s">
        <v>3695</v>
      </c>
      <c r="L834">
        <v>3</v>
      </c>
      <c r="M834">
        <v>12000</v>
      </c>
      <c r="N834" t="s">
        <v>3701</v>
      </c>
      <c r="O834" t="s">
        <v>3707</v>
      </c>
    </row>
    <row r="835" spans="1:15" x14ac:dyDescent="0.35">
      <c r="A835" t="s">
        <v>848</v>
      </c>
      <c r="B835" t="s">
        <v>1394</v>
      </c>
      <c r="C835" t="s">
        <v>2183</v>
      </c>
      <c r="D835" t="s">
        <v>3310</v>
      </c>
      <c r="E835" t="s">
        <v>3671</v>
      </c>
      <c r="F835">
        <v>35</v>
      </c>
      <c r="G835" t="s">
        <v>3676</v>
      </c>
      <c r="H835" t="s">
        <v>3682</v>
      </c>
      <c r="I835" t="s">
        <v>3689</v>
      </c>
      <c r="J835" t="s">
        <v>3694</v>
      </c>
      <c r="K835" t="s">
        <v>3699</v>
      </c>
      <c r="L835">
        <v>5</v>
      </c>
      <c r="M835">
        <v>1800</v>
      </c>
      <c r="N835" t="s">
        <v>3703</v>
      </c>
      <c r="O835" t="s">
        <v>3706</v>
      </c>
    </row>
    <row r="836" spans="1:15" x14ac:dyDescent="0.35">
      <c r="A836" t="s">
        <v>849</v>
      </c>
      <c r="B836" t="s">
        <v>1703</v>
      </c>
      <c r="C836" t="s">
        <v>2042</v>
      </c>
      <c r="D836" t="s">
        <v>3311</v>
      </c>
      <c r="E836" t="s">
        <v>3672</v>
      </c>
      <c r="F836">
        <v>45</v>
      </c>
      <c r="G836" t="s">
        <v>3676</v>
      </c>
      <c r="H836" t="s">
        <v>3682</v>
      </c>
      <c r="I836" t="s">
        <v>3685</v>
      </c>
      <c r="J836" t="s">
        <v>3692</v>
      </c>
      <c r="K836" t="s">
        <v>3695</v>
      </c>
      <c r="L836">
        <v>3</v>
      </c>
      <c r="M836">
        <v>12000</v>
      </c>
      <c r="N836" t="s">
        <v>3703</v>
      </c>
      <c r="O836" t="s">
        <v>3707</v>
      </c>
    </row>
    <row r="837" spans="1:15" x14ac:dyDescent="0.35">
      <c r="A837" t="s">
        <v>850</v>
      </c>
      <c r="B837" t="s">
        <v>1514</v>
      </c>
      <c r="C837" t="s">
        <v>2364</v>
      </c>
      <c r="D837" t="s">
        <v>3312</v>
      </c>
      <c r="E837" t="s">
        <v>3671</v>
      </c>
      <c r="F837">
        <v>44</v>
      </c>
      <c r="G837" t="s">
        <v>3674</v>
      </c>
      <c r="H837" t="s">
        <v>3680</v>
      </c>
      <c r="I837" t="s">
        <v>3688</v>
      </c>
      <c r="J837" t="s">
        <v>3694</v>
      </c>
      <c r="K837" t="s">
        <v>3698</v>
      </c>
      <c r="L837">
        <v>1</v>
      </c>
      <c r="M837">
        <v>4500</v>
      </c>
      <c r="N837" t="s">
        <v>3702</v>
      </c>
      <c r="O837" t="s">
        <v>3705</v>
      </c>
    </row>
    <row r="838" spans="1:15" x14ac:dyDescent="0.35">
      <c r="A838" t="s">
        <v>851</v>
      </c>
      <c r="B838" t="s">
        <v>1704</v>
      </c>
      <c r="C838" t="s">
        <v>1965</v>
      </c>
      <c r="D838" t="s">
        <v>3313</v>
      </c>
      <c r="E838" t="s">
        <v>3672</v>
      </c>
      <c r="F838">
        <v>50</v>
      </c>
      <c r="G838" t="s">
        <v>3674</v>
      </c>
      <c r="H838" t="s">
        <v>3680</v>
      </c>
      <c r="I838" t="s">
        <v>3687</v>
      </c>
      <c r="J838" t="s">
        <v>3693</v>
      </c>
      <c r="K838" t="s">
        <v>3697</v>
      </c>
      <c r="L838">
        <v>3</v>
      </c>
      <c r="M838">
        <v>5000</v>
      </c>
      <c r="N838" t="s">
        <v>3703</v>
      </c>
      <c r="O838" t="s">
        <v>3706</v>
      </c>
    </row>
    <row r="839" spans="1:15" x14ac:dyDescent="0.35">
      <c r="A839" t="s">
        <v>852</v>
      </c>
      <c r="B839" t="s">
        <v>1383</v>
      </c>
      <c r="C839" t="s">
        <v>1992</v>
      </c>
      <c r="D839" t="s">
        <v>3314</v>
      </c>
      <c r="E839" t="s">
        <v>3672</v>
      </c>
      <c r="F839">
        <v>23</v>
      </c>
      <c r="G839" t="s">
        <v>3676</v>
      </c>
      <c r="H839" t="s">
        <v>3682</v>
      </c>
      <c r="I839" t="s">
        <v>3690</v>
      </c>
      <c r="J839" t="s">
        <v>3693</v>
      </c>
      <c r="K839" t="s">
        <v>3700</v>
      </c>
      <c r="L839">
        <v>3</v>
      </c>
      <c r="M839">
        <v>72000</v>
      </c>
      <c r="N839" t="s">
        <v>3702</v>
      </c>
      <c r="O839" t="s">
        <v>3707</v>
      </c>
    </row>
    <row r="840" spans="1:15" x14ac:dyDescent="0.35">
      <c r="A840" t="s">
        <v>853</v>
      </c>
      <c r="B840" t="s">
        <v>1705</v>
      </c>
      <c r="C840" t="s">
        <v>2301</v>
      </c>
      <c r="D840" t="s">
        <v>3315</v>
      </c>
      <c r="E840" t="s">
        <v>3671</v>
      </c>
      <c r="F840">
        <v>49</v>
      </c>
      <c r="G840" t="s">
        <v>3675</v>
      </c>
      <c r="H840" t="s">
        <v>3681</v>
      </c>
      <c r="I840" t="s">
        <v>3691</v>
      </c>
      <c r="J840" t="s">
        <v>3693</v>
      </c>
      <c r="K840" t="s">
        <v>3696</v>
      </c>
      <c r="L840">
        <v>2</v>
      </c>
      <c r="M840">
        <v>58000</v>
      </c>
      <c r="N840" t="s">
        <v>3703</v>
      </c>
      <c r="O840" t="s">
        <v>3706</v>
      </c>
    </row>
    <row r="841" spans="1:15" x14ac:dyDescent="0.35">
      <c r="A841" t="s">
        <v>854</v>
      </c>
      <c r="B841" t="s">
        <v>1335</v>
      </c>
      <c r="C841" t="s">
        <v>2365</v>
      </c>
      <c r="D841" t="s">
        <v>3316</v>
      </c>
      <c r="E841" t="s">
        <v>3672</v>
      </c>
      <c r="F841">
        <v>19</v>
      </c>
      <c r="G841" t="s">
        <v>3676</v>
      </c>
      <c r="H841" t="s">
        <v>3682</v>
      </c>
      <c r="I841" t="s">
        <v>3691</v>
      </c>
      <c r="J841" t="s">
        <v>3693</v>
      </c>
      <c r="K841" t="s">
        <v>3696</v>
      </c>
      <c r="L841">
        <v>3</v>
      </c>
      <c r="M841">
        <v>58000</v>
      </c>
      <c r="N841" t="s">
        <v>3703</v>
      </c>
      <c r="O841" t="s">
        <v>3705</v>
      </c>
    </row>
    <row r="842" spans="1:15" x14ac:dyDescent="0.35">
      <c r="A842" t="s">
        <v>855</v>
      </c>
      <c r="B842" t="s">
        <v>1706</v>
      </c>
      <c r="C842" t="s">
        <v>2335</v>
      </c>
      <c r="D842" t="s">
        <v>3317</v>
      </c>
      <c r="E842" t="s">
        <v>3672</v>
      </c>
      <c r="F842">
        <v>32</v>
      </c>
      <c r="G842" t="s">
        <v>3679</v>
      </c>
      <c r="H842" t="s">
        <v>3684</v>
      </c>
      <c r="I842" t="s">
        <v>3690</v>
      </c>
      <c r="J842" t="s">
        <v>3693</v>
      </c>
      <c r="K842" t="s">
        <v>3700</v>
      </c>
      <c r="L842">
        <v>2</v>
      </c>
      <c r="M842">
        <v>72000</v>
      </c>
      <c r="N842" t="s">
        <v>3704</v>
      </c>
      <c r="O842" t="s">
        <v>3705</v>
      </c>
    </row>
    <row r="843" spans="1:15" x14ac:dyDescent="0.35">
      <c r="A843" t="s">
        <v>856</v>
      </c>
      <c r="B843" t="s">
        <v>1707</v>
      </c>
      <c r="C843" t="s">
        <v>2366</v>
      </c>
      <c r="D843" t="s">
        <v>3318</v>
      </c>
      <c r="E843" t="s">
        <v>3671</v>
      </c>
      <c r="F843">
        <v>26</v>
      </c>
      <c r="G843" t="s">
        <v>3678</v>
      </c>
      <c r="H843" t="s">
        <v>3683</v>
      </c>
      <c r="I843" t="s">
        <v>3688</v>
      </c>
      <c r="J843" t="s">
        <v>3694</v>
      </c>
      <c r="K843" t="s">
        <v>3698</v>
      </c>
      <c r="L843">
        <v>4</v>
      </c>
      <c r="M843">
        <v>4500</v>
      </c>
      <c r="N843" t="s">
        <v>3703</v>
      </c>
      <c r="O843" t="s">
        <v>3707</v>
      </c>
    </row>
    <row r="844" spans="1:15" x14ac:dyDescent="0.35">
      <c r="A844" t="s">
        <v>857</v>
      </c>
      <c r="B844" t="s">
        <v>1708</v>
      </c>
      <c r="C844" t="s">
        <v>2367</v>
      </c>
      <c r="D844" t="s">
        <v>3319</v>
      </c>
      <c r="E844" t="s">
        <v>3671</v>
      </c>
      <c r="F844">
        <v>40</v>
      </c>
      <c r="G844" t="s">
        <v>3676</v>
      </c>
      <c r="H844" t="s">
        <v>3682</v>
      </c>
      <c r="I844" t="s">
        <v>3688</v>
      </c>
      <c r="J844" t="s">
        <v>3694</v>
      </c>
      <c r="K844" t="s">
        <v>3698</v>
      </c>
      <c r="L844">
        <v>4</v>
      </c>
      <c r="M844">
        <v>4500</v>
      </c>
      <c r="N844" t="s">
        <v>3703</v>
      </c>
      <c r="O844" t="s">
        <v>3705</v>
      </c>
    </row>
    <row r="845" spans="1:15" x14ac:dyDescent="0.35">
      <c r="A845" t="s">
        <v>858</v>
      </c>
      <c r="B845" t="s">
        <v>1354</v>
      </c>
      <c r="C845" t="s">
        <v>2368</v>
      </c>
      <c r="D845" t="s">
        <v>3320</v>
      </c>
      <c r="E845" t="s">
        <v>3671</v>
      </c>
      <c r="F845">
        <v>46</v>
      </c>
      <c r="G845" t="s">
        <v>3677</v>
      </c>
      <c r="H845" t="s">
        <v>3680</v>
      </c>
      <c r="I845" t="s">
        <v>3686</v>
      </c>
      <c r="J845" t="s">
        <v>3693</v>
      </c>
      <c r="K845" t="s">
        <v>3696</v>
      </c>
      <c r="L845">
        <v>1</v>
      </c>
      <c r="M845">
        <v>65000</v>
      </c>
      <c r="N845" t="s">
        <v>3701</v>
      </c>
      <c r="O845" t="s">
        <v>3705</v>
      </c>
    </row>
    <row r="846" spans="1:15" x14ac:dyDescent="0.35">
      <c r="A846" t="s">
        <v>859</v>
      </c>
      <c r="B846" t="s">
        <v>1709</v>
      </c>
      <c r="C846" t="s">
        <v>2336</v>
      </c>
      <c r="D846" t="s">
        <v>3321</v>
      </c>
      <c r="E846" t="s">
        <v>3671</v>
      </c>
      <c r="F846">
        <v>27</v>
      </c>
      <c r="G846" t="s">
        <v>3675</v>
      </c>
      <c r="H846" t="s">
        <v>3681</v>
      </c>
      <c r="I846" t="s">
        <v>3689</v>
      </c>
      <c r="J846" t="s">
        <v>3694</v>
      </c>
      <c r="K846" t="s">
        <v>3699</v>
      </c>
      <c r="L846">
        <v>5</v>
      </c>
      <c r="M846">
        <v>1800</v>
      </c>
      <c r="N846" t="s">
        <v>3704</v>
      </c>
      <c r="O846" t="s">
        <v>3707</v>
      </c>
    </row>
    <row r="847" spans="1:15" x14ac:dyDescent="0.35">
      <c r="A847" t="s">
        <v>860</v>
      </c>
      <c r="B847" t="s">
        <v>1710</v>
      </c>
      <c r="C847" t="s">
        <v>2103</v>
      </c>
      <c r="D847" t="s">
        <v>3322</v>
      </c>
      <c r="E847" t="s">
        <v>3671</v>
      </c>
      <c r="F847">
        <v>31</v>
      </c>
      <c r="G847" t="s">
        <v>3675</v>
      </c>
      <c r="H847" t="s">
        <v>3681</v>
      </c>
      <c r="I847" t="s">
        <v>3688</v>
      </c>
      <c r="J847" t="s">
        <v>3694</v>
      </c>
      <c r="K847" t="s">
        <v>3698</v>
      </c>
      <c r="L847">
        <v>2</v>
      </c>
      <c r="M847">
        <v>4500</v>
      </c>
      <c r="N847" t="s">
        <v>3702</v>
      </c>
      <c r="O847" t="s">
        <v>3706</v>
      </c>
    </row>
    <row r="848" spans="1:15" x14ac:dyDescent="0.35">
      <c r="A848" t="s">
        <v>861</v>
      </c>
      <c r="B848" t="s">
        <v>1523</v>
      </c>
      <c r="C848" t="s">
        <v>2283</v>
      </c>
      <c r="D848" t="s">
        <v>3323</v>
      </c>
      <c r="E848" t="s">
        <v>3671</v>
      </c>
      <c r="F848">
        <v>24</v>
      </c>
      <c r="G848" t="s">
        <v>3673</v>
      </c>
      <c r="H848" t="s">
        <v>3673</v>
      </c>
      <c r="I848" t="s">
        <v>3688</v>
      </c>
      <c r="J848" t="s">
        <v>3694</v>
      </c>
      <c r="K848" t="s">
        <v>3698</v>
      </c>
      <c r="L848">
        <v>3</v>
      </c>
      <c r="M848">
        <v>4500</v>
      </c>
      <c r="N848" t="s">
        <v>3702</v>
      </c>
      <c r="O848" t="s">
        <v>3707</v>
      </c>
    </row>
    <row r="849" spans="1:15" x14ac:dyDescent="0.35">
      <c r="A849" t="s">
        <v>862</v>
      </c>
      <c r="B849" t="s">
        <v>1637</v>
      </c>
      <c r="C849" t="s">
        <v>2369</v>
      </c>
      <c r="D849" t="s">
        <v>3324</v>
      </c>
      <c r="E849" t="s">
        <v>3672</v>
      </c>
      <c r="F849">
        <v>20</v>
      </c>
      <c r="G849" t="s">
        <v>3674</v>
      </c>
      <c r="H849" t="s">
        <v>3680</v>
      </c>
      <c r="I849" t="s">
        <v>3686</v>
      </c>
      <c r="J849" t="s">
        <v>3693</v>
      </c>
      <c r="K849" t="s">
        <v>3696</v>
      </c>
      <c r="L849">
        <v>4</v>
      </c>
      <c r="M849">
        <v>65000</v>
      </c>
      <c r="N849" t="s">
        <v>3703</v>
      </c>
      <c r="O849" t="s">
        <v>3706</v>
      </c>
    </row>
    <row r="850" spans="1:15" x14ac:dyDescent="0.35">
      <c r="A850" t="s">
        <v>863</v>
      </c>
      <c r="B850" t="s">
        <v>1497</v>
      </c>
      <c r="C850" t="s">
        <v>2169</v>
      </c>
      <c r="D850" t="s">
        <v>3325</v>
      </c>
      <c r="E850" t="s">
        <v>3672</v>
      </c>
      <c r="F850">
        <v>35</v>
      </c>
      <c r="G850" t="s">
        <v>3677</v>
      </c>
      <c r="H850" t="s">
        <v>3680</v>
      </c>
      <c r="I850" t="s">
        <v>3687</v>
      </c>
      <c r="J850" t="s">
        <v>3693</v>
      </c>
      <c r="K850" t="s">
        <v>3697</v>
      </c>
      <c r="L850">
        <v>2</v>
      </c>
      <c r="M850">
        <v>5000</v>
      </c>
      <c r="N850" t="s">
        <v>3703</v>
      </c>
      <c r="O850" t="s">
        <v>3707</v>
      </c>
    </row>
    <row r="851" spans="1:15" x14ac:dyDescent="0.35">
      <c r="A851" t="s">
        <v>864</v>
      </c>
      <c r="B851" t="s">
        <v>1711</v>
      </c>
      <c r="C851" t="s">
        <v>2370</v>
      </c>
      <c r="D851" t="s">
        <v>3326</v>
      </c>
      <c r="E851" t="s">
        <v>3671</v>
      </c>
      <c r="F851">
        <v>56</v>
      </c>
      <c r="G851" t="s">
        <v>3678</v>
      </c>
      <c r="H851" t="s">
        <v>3683</v>
      </c>
      <c r="I851" t="s">
        <v>3690</v>
      </c>
      <c r="J851" t="s">
        <v>3693</v>
      </c>
      <c r="K851" t="s">
        <v>3700</v>
      </c>
      <c r="L851">
        <v>3</v>
      </c>
      <c r="M851">
        <v>72000</v>
      </c>
      <c r="N851" t="s">
        <v>3701</v>
      </c>
      <c r="O851" t="s">
        <v>3707</v>
      </c>
    </row>
    <row r="852" spans="1:15" x14ac:dyDescent="0.35">
      <c r="A852" t="s">
        <v>865</v>
      </c>
      <c r="B852" t="s">
        <v>1375</v>
      </c>
      <c r="C852" t="s">
        <v>1884</v>
      </c>
      <c r="D852" t="s">
        <v>3327</v>
      </c>
      <c r="E852" t="s">
        <v>3671</v>
      </c>
      <c r="F852">
        <v>22</v>
      </c>
      <c r="G852" t="s">
        <v>3674</v>
      </c>
      <c r="H852" t="s">
        <v>3680</v>
      </c>
      <c r="I852" t="s">
        <v>3686</v>
      </c>
      <c r="J852" t="s">
        <v>3693</v>
      </c>
      <c r="K852" t="s">
        <v>3696</v>
      </c>
      <c r="L852">
        <v>2</v>
      </c>
      <c r="M852">
        <v>65000</v>
      </c>
      <c r="N852" t="s">
        <v>3704</v>
      </c>
      <c r="O852" t="s">
        <v>3705</v>
      </c>
    </row>
    <row r="853" spans="1:15" x14ac:dyDescent="0.35">
      <c r="A853" t="s">
        <v>866</v>
      </c>
      <c r="B853" t="s">
        <v>1456</v>
      </c>
      <c r="C853" t="s">
        <v>2371</v>
      </c>
      <c r="D853" t="s">
        <v>3328</v>
      </c>
      <c r="E853" t="s">
        <v>3671</v>
      </c>
      <c r="F853">
        <v>56</v>
      </c>
      <c r="G853" t="s">
        <v>3674</v>
      </c>
      <c r="H853" t="s">
        <v>3680</v>
      </c>
      <c r="I853" t="s">
        <v>3686</v>
      </c>
      <c r="J853" t="s">
        <v>3693</v>
      </c>
      <c r="K853" t="s">
        <v>3696</v>
      </c>
      <c r="L853">
        <v>3</v>
      </c>
      <c r="M853">
        <v>65000</v>
      </c>
      <c r="N853" t="s">
        <v>3703</v>
      </c>
      <c r="O853" t="s">
        <v>3706</v>
      </c>
    </row>
    <row r="854" spans="1:15" x14ac:dyDescent="0.35">
      <c r="A854" t="s">
        <v>867</v>
      </c>
      <c r="B854" t="s">
        <v>1712</v>
      </c>
      <c r="C854" t="s">
        <v>2125</v>
      </c>
      <c r="D854" t="s">
        <v>3329</v>
      </c>
      <c r="E854" t="s">
        <v>3671</v>
      </c>
      <c r="F854">
        <v>18</v>
      </c>
      <c r="G854" t="s">
        <v>3673</v>
      </c>
      <c r="H854" t="s">
        <v>3673</v>
      </c>
      <c r="I854" t="s">
        <v>3689</v>
      </c>
      <c r="J854" t="s">
        <v>3694</v>
      </c>
      <c r="K854" t="s">
        <v>3699</v>
      </c>
      <c r="L854">
        <v>2</v>
      </c>
      <c r="M854">
        <v>1800</v>
      </c>
      <c r="N854" t="s">
        <v>3703</v>
      </c>
      <c r="O854" t="s">
        <v>3705</v>
      </c>
    </row>
    <row r="855" spans="1:15" x14ac:dyDescent="0.35">
      <c r="A855" t="s">
        <v>868</v>
      </c>
      <c r="B855" t="s">
        <v>1381</v>
      </c>
      <c r="C855" t="s">
        <v>2272</v>
      </c>
      <c r="D855" t="s">
        <v>3330</v>
      </c>
      <c r="E855" t="s">
        <v>3672</v>
      </c>
      <c r="F855">
        <v>30</v>
      </c>
      <c r="G855" t="s">
        <v>3673</v>
      </c>
      <c r="H855" t="s">
        <v>3673</v>
      </c>
      <c r="I855" t="s">
        <v>3687</v>
      </c>
      <c r="J855" t="s">
        <v>3693</v>
      </c>
      <c r="K855" t="s">
        <v>3697</v>
      </c>
      <c r="L855">
        <v>2</v>
      </c>
      <c r="M855">
        <v>5000</v>
      </c>
      <c r="N855" t="s">
        <v>3704</v>
      </c>
      <c r="O855" t="s">
        <v>3705</v>
      </c>
    </row>
    <row r="856" spans="1:15" x14ac:dyDescent="0.35">
      <c r="A856" t="s">
        <v>869</v>
      </c>
      <c r="B856" t="s">
        <v>1307</v>
      </c>
      <c r="C856" t="s">
        <v>2372</v>
      </c>
      <c r="D856" t="s">
        <v>3331</v>
      </c>
      <c r="E856" t="s">
        <v>3671</v>
      </c>
      <c r="F856">
        <v>37</v>
      </c>
      <c r="G856" t="s">
        <v>3677</v>
      </c>
      <c r="H856" t="s">
        <v>3680</v>
      </c>
      <c r="I856" t="s">
        <v>3687</v>
      </c>
      <c r="J856" t="s">
        <v>3693</v>
      </c>
      <c r="K856" t="s">
        <v>3697</v>
      </c>
      <c r="L856">
        <v>3</v>
      </c>
      <c r="M856">
        <v>5000</v>
      </c>
      <c r="N856" t="s">
        <v>3701</v>
      </c>
      <c r="O856" t="s">
        <v>3707</v>
      </c>
    </row>
    <row r="857" spans="1:15" x14ac:dyDescent="0.35">
      <c r="A857" t="s">
        <v>870</v>
      </c>
      <c r="B857" t="s">
        <v>1474</v>
      </c>
      <c r="C857" t="s">
        <v>2373</v>
      </c>
      <c r="D857" t="s">
        <v>3332</v>
      </c>
      <c r="E857" t="s">
        <v>3671</v>
      </c>
      <c r="F857">
        <v>57</v>
      </c>
      <c r="G857" t="s">
        <v>3673</v>
      </c>
      <c r="H857" t="s">
        <v>3673</v>
      </c>
      <c r="I857" t="s">
        <v>3690</v>
      </c>
      <c r="J857" t="s">
        <v>3693</v>
      </c>
      <c r="K857" t="s">
        <v>3700</v>
      </c>
      <c r="L857">
        <v>4</v>
      </c>
      <c r="M857">
        <v>72000</v>
      </c>
      <c r="N857" t="s">
        <v>3701</v>
      </c>
      <c r="O857" t="s">
        <v>3707</v>
      </c>
    </row>
    <row r="858" spans="1:15" x14ac:dyDescent="0.35">
      <c r="A858" t="s">
        <v>871</v>
      </c>
      <c r="B858" t="s">
        <v>1713</v>
      </c>
      <c r="C858" t="s">
        <v>1883</v>
      </c>
      <c r="D858" t="s">
        <v>3333</v>
      </c>
      <c r="E858" t="s">
        <v>3671</v>
      </c>
      <c r="F858">
        <v>32</v>
      </c>
      <c r="G858" t="s">
        <v>3678</v>
      </c>
      <c r="H858" t="s">
        <v>3683</v>
      </c>
      <c r="I858" t="s">
        <v>3688</v>
      </c>
      <c r="J858" t="s">
        <v>3694</v>
      </c>
      <c r="K858" t="s">
        <v>3698</v>
      </c>
      <c r="L858">
        <v>1</v>
      </c>
      <c r="M858">
        <v>4500</v>
      </c>
      <c r="N858" t="s">
        <v>3703</v>
      </c>
      <c r="O858" t="s">
        <v>3706</v>
      </c>
    </row>
    <row r="859" spans="1:15" x14ac:dyDescent="0.35">
      <c r="A859" t="s">
        <v>872</v>
      </c>
      <c r="B859" t="s">
        <v>1426</v>
      </c>
      <c r="C859" t="s">
        <v>2119</v>
      </c>
      <c r="D859" t="s">
        <v>3334</v>
      </c>
      <c r="E859" t="s">
        <v>3672</v>
      </c>
      <c r="F859">
        <v>32</v>
      </c>
      <c r="G859" t="s">
        <v>3675</v>
      </c>
      <c r="H859" t="s">
        <v>3681</v>
      </c>
      <c r="I859" t="s">
        <v>3690</v>
      </c>
      <c r="J859" t="s">
        <v>3693</v>
      </c>
      <c r="K859" t="s">
        <v>3700</v>
      </c>
      <c r="L859">
        <v>3</v>
      </c>
      <c r="M859">
        <v>72000</v>
      </c>
      <c r="N859" t="s">
        <v>3704</v>
      </c>
      <c r="O859" t="s">
        <v>3707</v>
      </c>
    </row>
    <row r="860" spans="1:15" x14ac:dyDescent="0.35">
      <c r="A860" t="s">
        <v>873</v>
      </c>
      <c r="B860" t="s">
        <v>1286</v>
      </c>
      <c r="C860" t="s">
        <v>1789</v>
      </c>
      <c r="D860" t="s">
        <v>3335</v>
      </c>
      <c r="E860" t="s">
        <v>3671</v>
      </c>
      <c r="F860">
        <v>44</v>
      </c>
      <c r="G860" t="s">
        <v>3679</v>
      </c>
      <c r="H860" t="s">
        <v>3684</v>
      </c>
      <c r="I860" t="s">
        <v>3689</v>
      </c>
      <c r="J860" t="s">
        <v>3694</v>
      </c>
      <c r="K860" t="s">
        <v>3699</v>
      </c>
      <c r="L860">
        <v>3</v>
      </c>
      <c r="M860">
        <v>1800</v>
      </c>
      <c r="N860" t="s">
        <v>3701</v>
      </c>
      <c r="O860" t="s">
        <v>3706</v>
      </c>
    </row>
    <row r="861" spans="1:15" x14ac:dyDescent="0.35">
      <c r="A861" t="s">
        <v>874</v>
      </c>
      <c r="B861" t="s">
        <v>1438</v>
      </c>
      <c r="C861" t="s">
        <v>1864</v>
      </c>
      <c r="D861" t="s">
        <v>3336</v>
      </c>
      <c r="E861" t="s">
        <v>3672</v>
      </c>
      <c r="F861">
        <v>29</v>
      </c>
      <c r="G861" t="s">
        <v>3675</v>
      </c>
      <c r="H861" t="s">
        <v>3681</v>
      </c>
      <c r="I861" t="s">
        <v>3688</v>
      </c>
      <c r="J861" t="s">
        <v>3694</v>
      </c>
      <c r="K861" t="s">
        <v>3698</v>
      </c>
      <c r="L861">
        <v>4</v>
      </c>
      <c r="M861">
        <v>4500</v>
      </c>
      <c r="N861" t="s">
        <v>3702</v>
      </c>
      <c r="O861" t="s">
        <v>3705</v>
      </c>
    </row>
    <row r="862" spans="1:15" x14ac:dyDescent="0.35">
      <c r="A862" t="s">
        <v>875</v>
      </c>
      <c r="B862" t="s">
        <v>1355</v>
      </c>
      <c r="C862" t="s">
        <v>2374</v>
      </c>
      <c r="D862" t="s">
        <v>3337</v>
      </c>
      <c r="E862" t="s">
        <v>3671</v>
      </c>
      <c r="F862">
        <v>41</v>
      </c>
      <c r="G862" t="s">
        <v>3679</v>
      </c>
      <c r="H862" t="s">
        <v>3684</v>
      </c>
      <c r="I862" t="s">
        <v>3685</v>
      </c>
      <c r="J862" t="s">
        <v>3692</v>
      </c>
      <c r="K862" t="s">
        <v>3695</v>
      </c>
      <c r="L862">
        <v>3</v>
      </c>
      <c r="M862">
        <v>12000</v>
      </c>
      <c r="N862" t="s">
        <v>3702</v>
      </c>
      <c r="O862" t="s">
        <v>3707</v>
      </c>
    </row>
    <row r="863" spans="1:15" x14ac:dyDescent="0.35">
      <c r="A863" t="s">
        <v>876</v>
      </c>
      <c r="B863" t="s">
        <v>1546</v>
      </c>
      <c r="C863" t="s">
        <v>2305</v>
      </c>
      <c r="D863" t="s">
        <v>3338</v>
      </c>
      <c r="E863" t="s">
        <v>3672</v>
      </c>
      <c r="F863">
        <v>35</v>
      </c>
      <c r="G863" t="s">
        <v>3675</v>
      </c>
      <c r="H863" t="s">
        <v>3681</v>
      </c>
      <c r="I863" t="s">
        <v>3690</v>
      </c>
      <c r="J863" t="s">
        <v>3693</v>
      </c>
      <c r="K863" t="s">
        <v>3700</v>
      </c>
      <c r="L863">
        <v>3</v>
      </c>
      <c r="M863">
        <v>72000</v>
      </c>
      <c r="N863" t="s">
        <v>3703</v>
      </c>
      <c r="O863" t="s">
        <v>3705</v>
      </c>
    </row>
    <row r="864" spans="1:15" x14ac:dyDescent="0.35">
      <c r="A864" t="s">
        <v>877</v>
      </c>
      <c r="B864" t="s">
        <v>1714</v>
      </c>
      <c r="C864" t="s">
        <v>2151</v>
      </c>
      <c r="D864" t="s">
        <v>3339</v>
      </c>
      <c r="E864" t="s">
        <v>3671</v>
      </c>
      <c r="F864">
        <v>26</v>
      </c>
      <c r="G864" t="s">
        <v>3676</v>
      </c>
      <c r="H864" t="s">
        <v>3682</v>
      </c>
      <c r="I864" t="s">
        <v>3687</v>
      </c>
      <c r="J864" t="s">
        <v>3693</v>
      </c>
      <c r="K864" t="s">
        <v>3697</v>
      </c>
      <c r="L864">
        <v>5</v>
      </c>
      <c r="M864">
        <v>5000</v>
      </c>
      <c r="N864" t="s">
        <v>3702</v>
      </c>
      <c r="O864" t="s">
        <v>3707</v>
      </c>
    </row>
    <row r="865" spans="1:15" x14ac:dyDescent="0.35">
      <c r="A865" t="s">
        <v>878</v>
      </c>
      <c r="B865" t="s">
        <v>1420</v>
      </c>
      <c r="C865" t="s">
        <v>2375</v>
      </c>
      <c r="D865" t="s">
        <v>3340</v>
      </c>
      <c r="E865" t="s">
        <v>3672</v>
      </c>
      <c r="F865">
        <v>50</v>
      </c>
      <c r="G865" t="s">
        <v>3673</v>
      </c>
      <c r="H865" t="s">
        <v>3673</v>
      </c>
      <c r="I865" t="s">
        <v>3691</v>
      </c>
      <c r="J865" t="s">
        <v>3693</v>
      </c>
      <c r="K865" t="s">
        <v>3696</v>
      </c>
      <c r="L865">
        <v>3</v>
      </c>
      <c r="M865">
        <v>58000</v>
      </c>
      <c r="N865" t="s">
        <v>3704</v>
      </c>
      <c r="O865" t="s">
        <v>3707</v>
      </c>
    </row>
    <row r="866" spans="1:15" x14ac:dyDescent="0.35">
      <c r="A866" t="s">
        <v>879</v>
      </c>
      <c r="B866" t="s">
        <v>1715</v>
      </c>
      <c r="C866" t="s">
        <v>1842</v>
      </c>
      <c r="D866" t="s">
        <v>3341</v>
      </c>
      <c r="E866" t="s">
        <v>3672</v>
      </c>
      <c r="F866">
        <v>22</v>
      </c>
      <c r="G866" t="s">
        <v>3679</v>
      </c>
      <c r="H866" t="s">
        <v>3684</v>
      </c>
      <c r="I866" t="s">
        <v>3687</v>
      </c>
      <c r="J866" t="s">
        <v>3693</v>
      </c>
      <c r="K866" t="s">
        <v>3697</v>
      </c>
      <c r="L866">
        <v>2</v>
      </c>
      <c r="M866">
        <v>5000</v>
      </c>
      <c r="N866" t="s">
        <v>3702</v>
      </c>
      <c r="O866" t="s">
        <v>3705</v>
      </c>
    </row>
    <row r="867" spans="1:15" x14ac:dyDescent="0.35">
      <c r="A867" t="s">
        <v>880</v>
      </c>
      <c r="B867" t="s">
        <v>1716</v>
      </c>
      <c r="C867" t="s">
        <v>1857</v>
      </c>
      <c r="D867" t="s">
        <v>3342</v>
      </c>
      <c r="E867" t="s">
        <v>3672</v>
      </c>
      <c r="F867">
        <v>60</v>
      </c>
      <c r="G867" t="s">
        <v>3677</v>
      </c>
      <c r="H867" t="s">
        <v>3680</v>
      </c>
      <c r="I867" t="s">
        <v>3685</v>
      </c>
      <c r="J867" t="s">
        <v>3692</v>
      </c>
      <c r="K867" t="s">
        <v>3695</v>
      </c>
      <c r="L867">
        <v>5</v>
      </c>
      <c r="M867">
        <v>12000</v>
      </c>
      <c r="N867" t="s">
        <v>3703</v>
      </c>
      <c r="O867" t="s">
        <v>3706</v>
      </c>
    </row>
    <row r="868" spans="1:15" x14ac:dyDescent="0.35">
      <c r="A868" t="s">
        <v>881</v>
      </c>
      <c r="B868" t="s">
        <v>1583</v>
      </c>
      <c r="C868" t="s">
        <v>2376</v>
      </c>
      <c r="D868" t="s">
        <v>3343</v>
      </c>
      <c r="E868" t="s">
        <v>3672</v>
      </c>
      <c r="F868">
        <v>50</v>
      </c>
      <c r="G868" t="s">
        <v>3676</v>
      </c>
      <c r="H868" t="s">
        <v>3682</v>
      </c>
      <c r="I868" t="s">
        <v>3689</v>
      </c>
      <c r="J868" t="s">
        <v>3694</v>
      </c>
      <c r="K868" t="s">
        <v>3699</v>
      </c>
      <c r="L868">
        <v>2</v>
      </c>
      <c r="M868">
        <v>1800</v>
      </c>
      <c r="N868" t="s">
        <v>3704</v>
      </c>
      <c r="O868" t="s">
        <v>3706</v>
      </c>
    </row>
    <row r="869" spans="1:15" x14ac:dyDescent="0.35">
      <c r="A869" t="s">
        <v>882</v>
      </c>
      <c r="B869" t="s">
        <v>1283</v>
      </c>
      <c r="C869" t="s">
        <v>1853</v>
      </c>
      <c r="D869" t="s">
        <v>3344</v>
      </c>
      <c r="E869" t="s">
        <v>3672</v>
      </c>
      <c r="F869">
        <v>45</v>
      </c>
      <c r="G869" t="s">
        <v>3679</v>
      </c>
      <c r="H869" t="s">
        <v>3684</v>
      </c>
      <c r="I869" t="s">
        <v>3690</v>
      </c>
      <c r="J869" t="s">
        <v>3693</v>
      </c>
      <c r="K869" t="s">
        <v>3700</v>
      </c>
      <c r="L869">
        <v>4</v>
      </c>
      <c r="M869">
        <v>72000</v>
      </c>
      <c r="N869" t="s">
        <v>3701</v>
      </c>
      <c r="O869" t="s">
        <v>3706</v>
      </c>
    </row>
    <row r="870" spans="1:15" x14ac:dyDescent="0.35">
      <c r="A870" t="s">
        <v>883</v>
      </c>
      <c r="B870" t="s">
        <v>1246</v>
      </c>
      <c r="C870" t="s">
        <v>2377</v>
      </c>
      <c r="D870" t="s">
        <v>3345</v>
      </c>
      <c r="E870" t="s">
        <v>3671</v>
      </c>
      <c r="F870">
        <v>54</v>
      </c>
      <c r="G870" t="s">
        <v>3677</v>
      </c>
      <c r="H870" t="s">
        <v>3680</v>
      </c>
      <c r="I870" t="s">
        <v>3685</v>
      </c>
      <c r="J870" t="s">
        <v>3692</v>
      </c>
      <c r="K870" t="s">
        <v>3695</v>
      </c>
      <c r="L870">
        <v>2</v>
      </c>
      <c r="M870">
        <v>12000</v>
      </c>
      <c r="N870" t="s">
        <v>3701</v>
      </c>
      <c r="O870" t="s">
        <v>3707</v>
      </c>
    </row>
    <row r="871" spans="1:15" x14ac:dyDescent="0.35">
      <c r="A871" t="s">
        <v>884</v>
      </c>
      <c r="B871" t="s">
        <v>1717</v>
      </c>
      <c r="C871" t="s">
        <v>2378</v>
      </c>
      <c r="D871" t="s">
        <v>3346</v>
      </c>
      <c r="E871" t="s">
        <v>3672</v>
      </c>
      <c r="F871">
        <v>50</v>
      </c>
      <c r="G871" t="s">
        <v>3678</v>
      </c>
      <c r="H871" t="s">
        <v>3683</v>
      </c>
      <c r="I871" t="s">
        <v>3685</v>
      </c>
      <c r="J871" t="s">
        <v>3692</v>
      </c>
      <c r="K871" t="s">
        <v>3695</v>
      </c>
      <c r="L871">
        <v>1</v>
      </c>
      <c r="M871">
        <v>12000</v>
      </c>
      <c r="N871" t="s">
        <v>3702</v>
      </c>
      <c r="O871" t="s">
        <v>3707</v>
      </c>
    </row>
    <row r="872" spans="1:15" x14ac:dyDescent="0.35">
      <c r="A872" t="s">
        <v>885</v>
      </c>
      <c r="B872" t="s">
        <v>1663</v>
      </c>
      <c r="C872" t="s">
        <v>2251</v>
      </c>
      <c r="D872" t="s">
        <v>3347</v>
      </c>
      <c r="E872" t="s">
        <v>3671</v>
      </c>
      <c r="F872">
        <v>47</v>
      </c>
      <c r="G872" t="s">
        <v>3678</v>
      </c>
      <c r="H872" t="s">
        <v>3683</v>
      </c>
      <c r="I872" t="s">
        <v>3687</v>
      </c>
      <c r="J872" t="s">
        <v>3693</v>
      </c>
      <c r="K872" t="s">
        <v>3697</v>
      </c>
      <c r="L872">
        <v>1</v>
      </c>
      <c r="M872">
        <v>5000</v>
      </c>
      <c r="N872" t="s">
        <v>3701</v>
      </c>
      <c r="O872" t="s">
        <v>3706</v>
      </c>
    </row>
    <row r="873" spans="1:15" x14ac:dyDescent="0.35">
      <c r="A873" t="s">
        <v>886</v>
      </c>
      <c r="B873" t="s">
        <v>1338</v>
      </c>
      <c r="C873" t="s">
        <v>1871</v>
      </c>
      <c r="D873" t="s">
        <v>3348</v>
      </c>
      <c r="E873" t="s">
        <v>3671</v>
      </c>
      <c r="F873">
        <v>58</v>
      </c>
      <c r="G873" t="s">
        <v>3678</v>
      </c>
      <c r="H873" t="s">
        <v>3683</v>
      </c>
      <c r="I873" t="s">
        <v>3690</v>
      </c>
      <c r="J873" t="s">
        <v>3693</v>
      </c>
      <c r="K873" t="s">
        <v>3700</v>
      </c>
      <c r="L873">
        <v>5</v>
      </c>
      <c r="M873">
        <v>72000</v>
      </c>
      <c r="N873" t="s">
        <v>3704</v>
      </c>
      <c r="O873" t="s">
        <v>3705</v>
      </c>
    </row>
    <row r="874" spans="1:15" x14ac:dyDescent="0.35">
      <c r="A874" t="s">
        <v>887</v>
      </c>
      <c r="B874" t="s">
        <v>1718</v>
      </c>
      <c r="C874" t="s">
        <v>1998</v>
      </c>
      <c r="D874" t="s">
        <v>3349</v>
      </c>
      <c r="E874" t="s">
        <v>3672</v>
      </c>
      <c r="F874">
        <v>60</v>
      </c>
      <c r="G874" t="s">
        <v>3673</v>
      </c>
      <c r="H874" t="s">
        <v>3673</v>
      </c>
      <c r="I874" t="s">
        <v>3686</v>
      </c>
      <c r="J874" t="s">
        <v>3693</v>
      </c>
      <c r="K874" t="s">
        <v>3696</v>
      </c>
      <c r="L874">
        <v>3</v>
      </c>
      <c r="M874">
        <v>65000</v>
      </c>
      <c r="N874" t="s">
        <v>3703</v>
      </c>
      <c r="O874" t="s">
        <v>3705</v>
      </c>
    </row>
    <row r="875" spans="1:15" x14ac:dyDescent="0.35">
      <c r="A875" t="s">
        <v>888</v>
      </c>
      <c r="B875" t="s">
        <v>1634</v>
      </c>
      <c r="C875" t="s">
        <v>2379</v>
      </c>
      <c r="D875" t="s">
        <v>3350</v>
      </c>
      <c r="E875" t="s">
        <v>3671</v>
      </c>
      <c r="F875">
        <v>19</v>
      </c>
      <c r="G875" t="s">
        <v>3677</v>
      </c>
      <c r="H875" t="s">
        <v>3680</v>
      </c>
      <c r="I875" t="s">
        <v>3688</v>
      </c>
      <c r="J875" t="s">
        <v>3694</v>
      </c>
      <c r="K875" t="s">
        <v>3698</v>
      </c>
      <c r="L875">
        <v>1</v>
      </c>
      <c r="M875">
        <v>4500</v>
      </c>
      <c r="N875" t="s">
        <v>3702</v>
      </c>
      <c r="O875" t="s">
        <v>3706</v>
      </c>
    </row>
    <row r="876" spans="1:15" x14ac:dyDescent="0.35">
      <c r="A876" t="s">
        <v>889</v>
      </c>
      <c r="B876" t="s">
        <v>1303</v>
      </c>
      <c r="C876" t="s">
        <v>2380</v>
      </c>
      <c r="D876" t="s">
        <v>3351</v>
      </c>
      <c r="E876" t="s">
        <v>3671</v>
      </c>
      <c r="F876">
        <v>36</v>
      </c>
      <c r="G876" t="s">
        <v>3673</v>
      </c>
      <c r="H876" t="s">
        <v>3673</v>
      </c>
      <c r="I876" t="s">
        <v>3690</v>
      </c>
      <c r="J876" t="s">
        <v>3693</v>
      </c>
      <c r="K876" t="s">
        <v>3700</v>
      </c>
      <c r="L876">
        <v>2</v>
      </c>
      <c r="M876">
        <v>72000</v>
      </c>
      <c r="N876" t="s">
        <v>3704</v>
      </c>
      <c r="O876" t="s">
        <v>3706</v>
      </c>
    </row>
    <row r="877" spans="1:15" x14ac:dyDescent="0.35">
      <c r="A877" t="s">
        <v>890</v>
      </c>
      <c r="B877" t="s">
        <v>1272</v>
      </c>
      <c r="C877" t="s">
        <v>2341</v>
      </c>
      <c r="D877" t="s">
        <v>3352</v>
      </c>
      <c r="E877" t="s">
        <v>3672</v>
      </c>
      <c r="F877">
        <v>51</v>
      </c>
      <c r="G877" t="s">
        <v>3675</v>
      </c>
      <c r="H877" t="s">
        <v>3681</v>
      </c>
      <c r="I877" t="s">
        <v>3686</v>
      </c>
      <c r="J877" t="s">
        <v>3693</v>
      </c>
      <c r="K877" t="s">
        <v>3696</v>
      </c>
      <c r="L877">
        <v>4</v>
      </c>
      <c r="M877">
        <v>65000</v>
      </c>
      <c r="N877" t="s">
        <v>3703</v>
      </c>
      <c r="O877" t="s">
        <v>3707</v>
      </c>
    </row>
    <row r="878" spans="1:15" x14ac:dyDescent="0.35">
      <c r="A878" t="s">
        <v>891</v>
      </c>
      <c r="B878" t="s">
        <v>1612</v>
      </c>
      <c r="C878" t="s">
        <v>2381</v>
      </c>
      <c r="D878" t="s">
        <v>3353</v>
      </c>
      <c r="E878" t="s">
        <v>3671</v>
      </c>
      <c r="F878">
        <v>31</v>
      </c>
      <c r="G878" t="s">
        <v>3679</v>
      </c>
      <c r="H878" t="s">
        <v>3684</v>
      </c>
      <c r="I878" t="s">
        <v>3687</v>
      </c>
      <c r="J878" t="s">
        <v>3693</v>
      </c>
      <c r="K878" t="s">
        <v>3697</v>
      </c>
      <c r="L878">
        <v>4</v>
      </c>
      <c r="M878">
        <v>5000</v>
      </c>
      <c r="N878" t="s">
        <v>3702</v>
      </c>
      <c r="O878" t="s">
        <v>3707</v>
      </c>
    </row>
    <row r="879" spans="1:15" x14ac:dyDescent="0.35">
      <c r="A879" t="s">
        <v>892</v>
      </c>
      <c r="B879" t="s">
        <v>1649</v>
      </c>
      <c r="C879" t="s">
        <v>1810</v>
      </c>
      <c r="D879" t="s">
        <v>3354</v>
      </c>
      <c r="E879" t="s">
        <v>3672</v>
      </c>
      <c r="F879">
        <v>57</v>
      </c>
      <c r="G879" t="s">
        <v>3675</v>
      </c>
      <c r="H879" t="s">
        <v>3681</v>
      </c>
      <c r="I879" t="s">
        <v>3685</v>
      </c>
      <c r="J879" t="s">
        <v>3692</v>
      </c>
      <c r="K879" t="s">
        <v>3695</v>
      </c>
      <c r="L879">
        <v>3</v>
      </c>
      <c r="M879">
        <v>12000</v>
      </c>
      <c r="N879" t="s">
        <v>3702</v>
      </c>
      <c r="O879" t="s">
        <v>3707</v>
      </c>
    </row>
    <row r="880" spans="1:15" x14ac:dyDescent="0.35">
      <c r="A880" t="s">
        <v>893</v>
      </c>
      <c r="B880" t="s">
        <v>1291</v>
      </c>
      <c r="C880" t="s">
        <v>1933</v>
      </c>
      <c r="D880" t="s">
        <v>3355</v>
      </c>
      <c r="E880" t="s">
        <v>3672</v>
      </c>
      <c r="F880">
        <v>35</v>
      </c>
      <c r="G880" t="s">
        <v>3673</v>
      </c>
      <c r="H880" t="s">
        <v>3673</v>
      </c>
      <c r="I880" t="s">
        <v>3685</v>
      </c>
      <c r="J880" t="s">
        <v>3692</v>
      </c>
      <c r="K880" t="s">
        <v>3695</v>
      </c>
      <c r="L880">
        <v>3</v>
      </c>
      <c r="M880">
        <v>12000</v>
      </c>
      <c r="N880" t="s">
        <v>3701</v>
      </c>
      <c r="O880" t="s">
        <v>3707</v>
      </c>
    </row>
    <row r="881" spans="1:15" x14ac:dyDescent="0.35">
      <c r="A881" t="s">
        <v>894</v>
      </c>
      <c r="B881" t="s">
        <v>1645</v>
      </c>
      <c r="C881" t="s">
        <v>1927</v>
      </c>
      <c r="D881" t="s">
        <v>3356</v>
      </c>
      <c r="E881" t="s">
        <v>3672</v>
      </c>
      <c r="F881">
        <v>41</v>
      </c>
      <c r="G881" t="s">
        <v>3674</v>
      </c>
      <c r="H881" t="s">
        <v>3680</v>
      </c>
      <c r="I881" t="s">
        <v>3686</v>
      </c>
      <c r="J881" t="s">
        <v>3693</v>
      </c>
      <c r="K881" t="s">
        <v>3696</v>
      </c>
      <c r="L881">
        <v>5</v>
      </c>
      <c r="M881">
        <v>65000</v>
      </c>
      <c r="N881" t="s">
        <v>3704</v>
      </c>
      <c r="O881" t="s">
        <v>3706</v>
      </c>
    </row>
    <row r="882" spans="1:15" x14ac:dyDescent="0.35">
      <c r="A882" t="s">
        <v>895</v>
      </c>
      <c r="B882" t="s">
        <v>1719</v>
      </c>
      <c r="C882" t="s">
        <v>2259</v>
      </c>
      <c r="D882" t="s">
        <v>3357</v>
      </c>
      <c r="E882" t="s">
        <v>3671</v>
      </c>
      <c r="F882">
        <v>56</v>
      </c>
      <c r="G882" t="s">
        <v>3679</v>
      </c>
      <c r="H882" t="s">
        <v>3684</v>
      </c>
      <c r="I882" t="s">
        <v>3689</v>
      </c>
      <c r="J882" t="s">
        <v>3694</v>
      </c>
      <c r="K882" t="s">
        <v>3699</v>
      </c>
      <c r="L882">
        <v>5</v>
      </c>
      <c r="M882">
        <v>1800</v>
      </c>
      <c r="N882" t="s">
        <v>3702</v>
      </c>
      <c r="O882" t="s">
        <v>3706</v>
      </c>
    </row>
    <row r="883" spans="1:15" x14ac:dyDescent="0.35">
      <c r="A883" t="s">
        <v>896</v>
      </c>
      <c r="B883" t="s">
        <v>1720</v>
      </c>
      <c r="C883" t="s">
        <v>1962</v>
      </c>
      <c r="D883" t="s">
        <v>3358</v>
      </c>
      <c r="E883" t="s">
        <v>3672</v>
      </c>
      <c r="F883">
        <v>35</v>
      </c>
      <c r="G883" t="s">
        <v>3675</v>
      </c>
      <c r="H883" t="s">
        <v>3681</v>
      </c>
      <c r="I883" t="s">
        <v>3686</v>
      </c>
      <c r="J883" t="s">
        <v>3693</v>
      </c>
      <c r="K883" t="s">
        <v>3696</v>
      </c>
      <c r="L883">
        <v>4</v>
      </c>
      <c r="M883">
        <v>65000</v>
      </c>
      <c r="N883" t="s">
        <v>3704</v>
      </c>
      <c r="O883" t="s">
        <v>3706</v>
      </c>
    </row>
    <row r="884" spans="1:15" x14ac:dyDescent="0.35">
      <c r="A884" t="s">
        <v>897</v>
      </c>
      <c r="B884" t="s">
        <v>1657</v>
      </c>
      <c r="C884" t="s">
        <v>2033</v>
      </c>
      <c r="D884" t="s">
        <v>3359</v>
      </c>
      <c r="E884" t="s">
        <v>3672</v>
      </c>
      <c r="F884">
        <v>53</v>
      </c>
      <c r="G884" t="s">
        <v>3673</v>
      </c>
      <c r="H884" t="s">
        <v>3673</v>
      </c>
      <c r="I884" t="s">
        <v>3688</v>
      </c>
      <c r="J884" t="s">
        <v>3694</v>
      </c>
      <c r="K884" t="s">
        <v>3698</v>
      </c>
      <c r="L884">
        <v>2</v>
      </c>
      <c r="M884">
        <v>4500</v>
      </c>
      <c r="N884" t="s">
        <v>3702</v>
      </c>
      <c r="O884" t="s">
        <v>3705</v>
      </c>
    </row>
    <row r="885" spans="1:15" x14ac:dyDescent="0.35">
      <c r="A885" t="s">
        <v>898</v>
      </c>
      <c r="B885" t="s">
        <v>1721</v>
      </c>
      <c r="C885" t="s">
        <v>2038</v>
      </c>
      <c r="D885" t="s">
        <v>3360</v>
      </c>
      <c r="E885" t="s">
        <v>3672</v>
      </c>
      <c r="F885">
        <v>38</v>
      </c>
      <c r="G885" t="s">
        <v>3679</v>
      </c>
      <c r="H885" t="s">
        <v>3684</v>
      </c>
      <c r="I885" t="s">
        <v>3691</v>
      </c>
      <c r="J885" t="s">
        <v>3693</v>
      </c>
      <c r="K885" t="s">
        <v>3696</v>
      </c>
      <c r="L885">
        <v>1</v>
      </c>
      <c r="M885">
        <v>58000</v>
      </c>
      <c r="N885" t="s">
        <v>3703</v>
      </c>
      <c r="O885" t="s">
        <v>3706</v>
      </c>
    </row>
    <row r="886" spans="1:15" x14ac:dyDescent="0.35">
      <c r="A886" t="s">
        <v>899</v>
      </c>
      <c r="B886" t="s">
        <v>1320</v>
      </c>
      <c r="C886" t="s">
        <v>2353</v>
      </c>
      <c r="D886" t="s">
        <v>3361</v>
      </c>
      <c r="E886" t="s">
        <v>3672</v>
      </c>
      <c r="F886">
        <v>43</v>
      </c>
      <c r="G886" t="s">
        <v>3674</v>
      </c>
      <c r="H886" t="s">
        <v>3680</v>
      </c>
      <c r="I886" t="s">
        <v>3687</v>
      </c>
      <c r="J886" t="s">
        <v>3693</v>
      </c>
      <c r="K886" t="s">
        <v>3697</v>
      </c>
      <c r="L886">
        <v>1</v>
      </c>
      <c r="M886">
        <v>5000</v>
      </c>
      <c r="N886" t="s">
        <v>3701</v>
      </c>
      <c r="O886" t="s">
        <v>3706</v>
      </c>
    </row>
    <row r="887" spans="1:15" x14ac:dyDescent="0.35">
      <c r="A887" t="s">
        <v>900</v>
      </c>
      <c r="B887" t="s">
        <v>1722</v>
      </c>
      <c r="C887" t="s">
        <v>1872</v>
      </c>
      <c r="D887" t="s">
        <v>3362</v>
      </c>
      <c r="E887" t="s">
        <v>3672</v>
      </c>
      <c r="F887">
        <v>52</v>
      </c>
      <c r="G887" t="s">
        <v>3673</v>
      </c>
      <c r="H887" t="s">
        <v>3673</v>
      </c>
      <c r="I887" t="s">
        <v>3689</v>
      </c>
      <c r="J887" t="s">
        <v>3694</v>
      </c>
      <c r="K887" t="s">
        <v>3699</v>
      </c>
      <c r="L887">
        <v>3</v>
      </c>
      <c r="M887">
        <v>1800</v>
      </c>
      <c r="N887" t="s">
        <v>3701</v>
      </c>
      <c r="O887" t="s">
        <v>3707</v>
      </c>
    </row>
    <row r="888" spans="1:15" x14ac:dyDescent="0.35">
      <c r="A888" t="s">
        <v>901</v>
      </c>
      <c r="B888" t="s">
        <v>1723</v>
      </c>
      <c r="C888" t="s">
        <v>2382</v>
      </c>
      <c r="D888" t="s">
        <v>3363</v>
      </c>
      <c r="E888" t="s">
        <v>3672</v>
      </c>
      <c r="F888">
        <v>36</v>
      </c>
      <c r="G888" t="s">
        <v>3678</v>
      </c>
      <c r="H888" t="s">
        <v>3683</v>
      </c>
      <c r="I888" t="s">
        <v>3689</v>
      </c>
      <c r="J888" t="s">
        <v>3694</v>
      </c>
      <c r="K888" t="s">
        <v>3699</v>
      </c>
      <c r="L888">
        <v>2</v>
      </c>
      <c r="M888">
        <v>1800</v>
      </c>
      <c r="N888" t="s">
        <v>3703</v>
      </c>
      <c r="O888" t="s">
        <v>3706</v>
      </c>
    </row>
    <row r="889" spans="1:15" x14ac:dyDescent="0.35">
      <c r="A889" t="s">
        <v>902</v>
      </c>
      <c r="B889" t="s">
        <v>1724</v>
      </c>
      <c r="C889" t="s">
        <v>2383</v>
      </c>
      <c r="D889" t="s">
        <v>3364</v>
      </c>
      <c r="E889" t="s">
        <v>3672</v>
      </c>
      <c r="F889">
        <v>48</v>
      </c>
      <c r="G889" t="s">
        <v>3674</v>
      </c>
      <c r="H889" t="s">
        <v>3680</v>
      </c>
      <c r="I889" t="s">
        <v>3685</v>
      </c>
      <c r="J889" t="s">
        <v>3692</v>
      </c>
      <c r="K889" t="s">
        <v>3695</v>
      </c>
      <c r="L889">
        <v>1</v>
      </c>
      <c r="M889">
        <v>12000</v>
      </c>
      <c r="N889" t="s">
        <v>3701</v>
      </c>
      <c r="O889" t="s">
        <v>3705</v>
      </c>
    </row>
    <row r="890" spans="1:15" x14ac:dyDescent="0.35">
      <c r="A890" t="s">
        <v>903</v>
      </c>
      <c r="B890" t="s">
        <v>1625</v>
      </c>
      <c r="C890" t="s">
        <v>2045</v>
      </c>
      <c r="D890" t="s">
        <v>3365</v>
      </c>
      <c r="E890" t="s">
        <v>3671</v>
      </c>
      <c r="F890">
        <v>43</v>
      </c>
      <c r="G890" t="s">
        <v>3674</v>
      </c>
      <c r="H890" t="s">
        <v>3680</v>
      </c>
      <c r="I890" t="s">
        <v>3688</v>
      </c>
      <c r="J890" t="s">
        <v>3694</v>
      </c>
      <c r="K890" t="s">
        <v>3698</v>
      </c>
      <c r="L890">
        <v>4</v>
      </c>
      <c r="M890">
        <v>4500</v>
      </c>
      <c r="N890" t="s">
        <v>3702</v>
      </c>
      <c r="O890" t="s">
        <v>3707</v>
      </c>
    </row>
    <row r="891" spans="1:15" x14ac:dyDescent="0.35">
      <c r="A891" t="s">
        <v>904</v>
      </c>
      <c r="B891" t="s">
        <v>1219</v>
      </c>
      <c r="C891" t="s">
        <v>1859</v>
      </c>
      <c r="D891" t="s">
        <v>3366</v>
      </c>
      <c r="E891" t="s">
        <v>3672</v>
      </c>
      <c r="F891">
        <v>33</v>
      </c>
      <c r="G891" t="s">
        <v>3676</v>
      </c>
      <c r="H891" t="s">
        <v>3682</v>
      </c>
      <c r="I891" t="s">
        <v>3689</v>
      </c>
      <c r="J891" t="s">
        <v>3694</v>
      </c>
      <c r="K891" t="s">
        <v>3699</v>
      </c>
      <c r="L891">
        <v>2</v>
      </c>
      <c r="M891">
        <v>1800</v>
      </c>
      <c r="N891" t="s">
        <v>3704</v>
      </c>
      <c r="O891" t="s">
        <v>3706</v>
      </c>
    </row>
    <row r="892" spans="1:15" x14ac:dyDescent="0.35">
      <c r="A892" t="s">
        <v>905</v>
      </c>
      <c r="B892" t="s">
        <v>1306</v>
      </c>
      <c r="C892" t="s">
        <v>2384</v>
      </c>
      <c r="D892" t="s">
        <v>3367</v>
      </c>
      <c r="E892" t="s">
        <v>3671</v>
      </c>
      <c r="F892">
        <v>34</v>
      </c>
      <c r="G892" t="s">
        <v>3678</v>
      </c>
      <c r="H892" t="s">
        <v>3683</v>
      </c>
      <c r="I892" t="s">
        <v>3689</v>
      </c>
      <c r="J892" t="s">
        <v>3694</v>
      </c>
      <c r="K892" t="s">
        <v>3699</v>
      </c>
      <c r="L892">
        <v>1</v>
      </c>
      <c r="M892">
        <v>1800</v>
      </c>
      <c r="N892" t="s">
        <v>3701</v>
      </c>
      <c r="O892" t="s">
        <v>3705</v>
      </c>
    </row>
    <row r="893" spans="1:15" x14ac:dyDescent="0.35">
      <c r="A893" t="s">
        <v>906</v>
      </c>
      <c r="B893" t="s">
        <v>1501</v>
      </c>
      <c r="C893" t="s">
        <v>2269</v>
      </c>
      <c r="D893" t="s">
        <v>3368</v>
      </c>
      <c r="E893" t="s">
        <v>3672</v>
      </c>
      <c r="F893">
        <v>59</v>
      </c>
      <c r="G893" t="s">
        <v>3679</v>
      </c>
      <c r="H893" t="s">
        <v>3684</v>
      </c>
      <c r="I893" t="s">
        <v>3685</v>
      </c>
      <c r="J893" t="s">
        <v>3692</v>
      </c>
      <c r="K893" t="s">
        <v>3695</v>
      </c>
      <c r="L893">
        <v>4</v>
      </c>
      <c r="M893">
        <v>12000</v>
      </c>
      <c r="N893" t="s">
        <v>3702</v>
      </c>
      <c r="O893" t="s">
        <v>3706</v>
      </c>
    </row>
    <row r="894" spans="1:15" x14ac:dyDescent="0.35">
      <c r="A894" t="s">
        <v>907</v>
      </c>
      <c r="B894" t="s">
        <v>1333</v>
      </c>
      <c r="C894" t="s">
        <v>2385</v>
      </c>
      <c r="D894" t="s">
        <v>3369</v>
      </c>
      <c r="E894" t="s">
        <v>3672</v>
      </c>
      <c r="F894">
        <v>52</v>
      </c>
      <c r="G894" t="s">
        <v>3673</v>
      </c>
      <c r="H894" t="s">
        <v>3673</v>
      </c>
      <c r="I894" t="s">
        <v>3688</v>
      </c>
      <c r="J894" t="s">
        <v>3694</v>
      </c>
      <c r="K894" t="s">
        <v>3698</v>
      </c>
      <c r="L894">
        <v>3</v>
      </c>
      <c r="M894">
        <v>4500</v>
      </c>
      <c r="N894" t="s">
        <v>3701</v>
      </c>
      <c r="O894" t="s">
        <v>3707</v>
      </c>
    </row>
    <row r="895" spans="1:15" x14ac:dyDescent="0.35">
      <c r="A895" t="s">
        <v>908</v>
      </c>
      <c r="B895" t="s">
        <v>1725</v>
      </c>
      <c r="C895" t="s">
        <v>2386</v>
      </c>
      <c r="D895" t="s">
        <v>3370</v>
      </c>
      <c r="E895" t="s">
        <v>3672</v>
      </c>
      <c r="F895">
        <v>46</v>
      </c>
      <c r="G895" t="s">
        <v>3674</v>
      </c>
      <c r="H895" t="s">
        <v>3680</v>
      </c>
      <c r="I895" t="s">
        <v>3688</v>
      </c>
      <c r="J895" t="s">
        <v>3694</v>
      </c>
      <c r="K895" t="s">
        <v>3698</v>
      </c>
      <c r="L895">
        <v>3</v>
      </c>
      <c r="M895">
        <v>4500</v>
      </c>
      <c r="N895" t="s">
        <v>3703</v>
      </c>
      <c r="O895" t="s">
        <v>3706</v>
      </c>
    </row>
    <row r="896" spans="1:15" x14ac:dyDescent="0.35">
      <c r="A896" t="s">
        <v>909</v>
      </c>
      <c r="B896" t="s">
        <v>1726</v>
      </c>
      <c r="C896" t="s">
        <v>2339</v>
      </c>
      <c r="D896" t="s">
        <v>3371</v>
      </c>
      <c r="E896" t="s">
        <v>3672</v>
      </c>
      <c r="F896">
        <v>27</v>
      </c>
      <c r="G896" t="s">
        <v>3676</v>
      </c>
      <c r="H896" t="s">
        <v>3682</v>
      </c>
      <c r="I896" t="s">
        <v>3691</v>
      </c>
      <c r="J896" t="s">
        <v>3693</v>
      </c>
      <c r="K896" t="s">
        <v>3696</v>
      </c>
      <c r="L896">
        <v>5</v>
      </c>
      <c r="M896">
        <v>58000</v>
      </c>
      <c r="N896" t="s">
        <v>3703</v>
      </c>
      <c r="O896" t="s">
        <v>3705</v>
      </c>
    </row>
    <row r="897" spans="1:15" x14ac:dyDescent="0.35">
      <c r="A897" t="s">
        <v>910</v>
      </c>
      <c r="B897" t="s">
        <v>1727</v>
      </c>
      <c r="C897" t="s">
        <v>2261</v>
      </c>
      <c r="D897" t="s">
        <v>3372</v>
      </c>
      <c r="E897" t="s">
        <v>3671</v>
      </c>
      <c r="F897">
        <v>44</v>
      </c>
      <c r="G897" t="s">
        <v>3673</v>
      </c>
      <c r="H897" t="s">
        <v>3673</v>
      </c>
      <c r="I897" t="s">
        <v>3686</v>
      </c>
      <c r="J897" t="s">
        <v>3693</v>
      </c>
      <c r="K897" t="s">
        <v>3696</v>
      </c>
      <c r="L897">
        <v>5</v>
      </c>
      <c r="M897">
        <v>65000</v>
      </c>
      <c r="N897" t="s">
        <v>3702</v>
      </c>
      <c r="O897" t="s">
        <v>3706</v>
      </c>
    </row>
    <row r="898" spans="1:15" x14ac:dyDescent="0.35">
      <c r="A898" t="s">
        <v>911</v>
      </c>
      <c r="B898" t="s">
        <v>1582</v>
      </c>
      <c r="C898" t="s">
        <v>2387</v>
      </c>
      <c r="D898" t="s">
        <v>3373</v>
      </c>
      <c r="E898" t="s">
        <v>3672</v>
      </c>
      <c r="F898">
        <v>28</v>
      </c>
      <c r="G898" t="s">
        <v>3674</v>
      </c>
      <c r="H898" t="s">
        <v>3680</v>
      </c>
      <c r="I898" t="s">
        <v>3689</v>
      </c>
      <c r="J898" t="s">
        <v>3694</v>
      </c>
      <c r="K898" t="s">
        <v>3699</v>
      </c>
      <c r="L898">
        <v>5</v>
      </c>
      <c r="M898">
        <v>1800</v>
      </c>
      <c r="N898" t="s">
        <v>3704</v>
      </c>
      <c r="O898" t="s">
        <v>3707</v>
      </c>
    </row>
    <row r="899" spans="1:15" x14ac:dyDescent="0.35">
      <c r="A899" t="s">
        <v>912</v>
      </c>
      <c r="B899" t="s">
        <v>1455</v>
      </c>
      <c r="C899" t="s">
        <v>2102</v>
      </c>
      <c r="D899" t="s">
        <v>3374</v>
      </c>
      <c r="E899" t="s">
        <v>3671</v>
      </c>
      <c r="F899">
        <v>38</v>
      </c>
      <c r="G899" t="s">
        <v>3678</v>
      </c>
      <c r="H899" t="s">
        <v>3683</v>
      </c>
      <c r="I899" t="s">
        <v>3688</v>
      </c>
      <c r="J899" t="s">
        <v>3694</v>
      </c>
      <c r="K899" t="s">
        <v>3698</v>
      </c>
      <c r="L899">
        <v>2</v>
      </c>
      <c r="M899">
        <v>4500</v>
      </c>
      <c r="N899" t="s">
        <v>3702</v>
      </c>
      <c r="O899" t="s">
        <v>3706</v>
      </c>
    </row>
    <row r="900" spans="1:15" x14ac:dyDescent="0.35">
      <c r="A900" t="s">
        <v>913</v>
      </c>
      <c r="B900" t="s">
        <v>1244</v>
      </c>
      <c r="C900" t="s">
        <v>2388</v>
      </c>
      <c r="D900" t="s">
        <v>3056</v>
      </c>
      <c r="E900" t="s">
        <v>3671</v>
      </c>
      <c r="F900">
        <v>23</v>
      </c>
      <c r="G900" t="s">
        <v>3676</v>
      </c>
      <c r="H900" t="s">
        <v>3682</v>
      </c>
      <c r="I900" t="s">
        <v>3689</v>
      </c>
      <c r="J900" t="s">
        <v>3694</v>
      </c>
      <c r="K900" t="s">
        <v>3699</v>
      </c>
      <c r="L900">
        <v>4</v>
      </c>
      <c r="M900">
        <v>1800</v>
      </c>
      <c r="N900" t="s">
        <v>3701</v>
      </c>
      <c r="O900" t="s">
        <v>3706</v>
      </c>
    </row>
    <row r="901" spans="1:15" x14ac:dyDescent="0.35">
      <c r="A901" t="s">
        <v>914</v>
      </c>
      <c r="B901" t="s">
        <v>1279</v>
      </c>
      <c r="C901" t="s">
        <v>2116</v>
      </c>
      <c r="D901" t="s">
        <v>3375</v>
      </c>
      <c r="E901" t="s">
        <v>3672</v>
      </c>
      <c r="F901">
        <v>59</v>
      </c>
      <c r="G901" t="s">
        <v>3675</v>
      </c>
      <c r="H901" t="s">
        <v>3681</v>
      </c>
      <c r="I901" t="s">
        <v>3691</v>
      </c>
      <c r="J901" t="s">
        <v>3693</v>
      </c>
      <c r="K901" t="s">
        <v>3696</v>
      </c>
      <c r="L901">
        <v>4</v>
      </c>
      <c r="M901">
        <v>58000</v>
      </c>
      <c r="N901" t="s">
        <v>3703</v>
      </c>
      <c r="O901" t="s">
        <v>3705</v>
      </c>
    </row>
    <row r="902" spans="1:15" x14ac:dyDescent="0.35">
      <c r="A902" t="s">
        <v>915</v>
      </c>
      <c r="B902" t="s">
        <v>1638</v>
      </c>
      <c r="C902" t="s">
        <v>2389</v>
      </c>
      <c r="D902" t="s">
        <v>3376</v>
      </c>
      <c r="E902" t="s">
        <v>3671</v>
      </c>
      <c r="F902">
        <v>45</v>
      </c>
      <c r="G902" t="s">
        <v>3678</v>
      </c>
      <c r="H902" t="s">
        <v>3683</v>
      </c>
      <c r="I902" t="s">
        <v>3685</v>
      </c>
      <c r="J902" t="s">
        <v>3692</v>
      </c>
      <c r="K902" t="s">
        <v>3695</v>
      </c>
      <c r="L902">
        <v>5</v>
      </c>
      <c r="M902">
        <v>12000</v>
      </c>
      <c r="N902" t="s">
        <v>3703</v>
      </c>
      <c r="O902" t="s">
        <v>3706</v>
      </c>
    </row>
    <row r="903" spans="1:15" x14ac:dyDescent="0.35">
      <c r="A903" t="s">
        <v>916</v>
      </c>
      <c r="B903" t="s">
        <v>1604</v>
      </c>
      <c r="C903" t="s">
        <v>2079</v>
      </c>
      <c r="D903" t="s">
        <v>3377</v>
      </c>
      <c r="E903" t="s">
        <v>3672</v>
      </c>
      <c r="F903">
        <v>28</v>
      </c>
      <c r="G903" t="s">
        <v>3674</v>
      </c>
      <c r="H903" t="s">
        <v>3680</v>
      </c>
      <c r="I903" t="s">
        <v>3688</v>
      </c>
      <c r="J903" t="s">
        <v>3694</v>
      </c>
      <c r="K903" t="s">
        <v>3698</v>
      </c>
      <c r="L903">
        <v>1</v>
      </c>
      <c r="M903">
        <v>4500</v>
      </c>
      <c r="N903" t="s">
        <v>3704</v>
      </c>
      <c r="O903" t="s">
        <v>3707</v>
      </c>
    </row>
    <row r="904" spans="1:15" x14ac:dyDescent="0.35">
      <c r="A904" t="s">
        <v>917</v>
      </c>
      <c r="B904" t="s">
        <v>1486</v>
      </c>
      <c r="C904" t="s">
        <v>2390</v>
      </c>
      <c r="D904" t="s">
        <v>3378</v>
      </c>
      <c r="E904" t="s">
        <v>3671</v>
      </c>
      <c r="F904">
        <v>43</v>
      </c>
      <c r="G904" t="s">
        <v>3679</v>
      </c>
      <c r="H904" t="s">
        <v>3684</v>
      </c>
      <c r="I904" t="s">
        <v>3686</v>
      </c>
      <c r="J904" t="s">
        <v>3693</v>
      </c>
      <c r="K904" t="s">
        <v>3696</v>
      </c>
      <c r="L904">
        <v>2</v>
      </c>
      <c r="M904">
        <v>65000</v>
      </c>
      <c r="N904" t="s">
        <v>3701</v>
      </c>
      <c r="O904" t="s">
        <v>3706</v>
      </c>
    </row>
    <row r="905" spans="1:15" x14ac:dyDescent="0.35">
      <c r="A905" t="s">
        <v>918</v>
      </c>
      <c r="B905" t="s">
        <v>1457</v>
      </c>
      <c r="C905" t="s">
        <v>2391</v>
      </c>
      <c r="D905" t="s">
        <v>3379</v>
      </c>
      <c r="E905" t="s">
        <v>3672</v>
      </c>
      <c r="F905">
        <v>32</v>
      </c>
      <c r="G905" t="s">
        <v>3673</v>
      </c>
      <c r="H905" t="s">
        <v>3673</v>
      </c>
      <c r="I905" t="s">
        <v>3685</v>
      </c>
      <c r="J905" t="s">
        <v>3692</v>
      </c>
      <c r="K905" t="s">
        <v>3695</v>
      </c>
      <c r="L905">
        <v>4</v>
      </c>
      <c r="M905">
        <v>12000</v>
      </c>
      <c r="N905" t="s">
        <v>3702</v>
      </c>
      <c r="O905" t="s">
        <v>3706</v>
      </c>
    </row>
    <row r="906" spans="1:15" x14ac:dyDescent="0.35">
      <c r="A906" t="s">
        <v>919</v>
      </c>
      <c r="B906" t="s">
        <v>1236</v>
      </c>
      <c r="C906" t="s">
        <v>2392</v>
      </c>
      <c r="D906" t="s">
        <v>3380</v>
      </c>
      <c r="E906" t="s">
        <v>3671</v>
      </c>
      <c r="F906">
        <v>26</v>
      </c>
      <c r="G906" t="s">
        <v>3678</v>
      </c>
      <c r="H906" t="s">
        <v>3683</v>
      </c>
      <c r="I906" t="s">
        <v>3691</v>
      </c>
      <c r="J906" t="s">
        <v>3693</v>
      </c>
      <c r="K906" t="s">
        <v>3696</v>
      </c>
      <c r="L906">
        <v>5</v>
      </c>
      <c r="M906">
        <v>58000</v>
      </c>
      <c r="N906" t="s">
        <v>3704</v>
      </c>
      <c r="O906" t="s">
        <v>3707</v>
      </c>
    </row>
    <row r="907" spans="1:15" x14ac:dyDescent="0.35">
      <c r="A907" t="s">
        <v>920</v>
      </c>
      <c r="B907" t="s">
        <v>1338</v>
      </c>
      <c r="C907" t="s">
        <v>2393</v>
      </c>
      <c r="D907" t="s">
        <v>3381</v>
      </c>
      <c r="E907" t="s">
        <v>3671</v>
      </c>
      <c r="F907">
        <v>41</v>
      </c>
      <c r="G907" t="s">
        <v>3674</v>
      </c>
      <c r="H907" t="s">
        <v>3680</v>
      </c>
      <c r="I907" t="s">
        <v>3690</v>
      </c>
      <c r="J907" t="s">
        <v>3693</v>
      </c>
      <c r="K907" t="s">
        <v>3700</v>
      </c>
      <c r="L907">
        <v>2</v>
      </c>
      <c r="M907">
        <v>72000</v>
      </c>
      <c r="N907" t="s">
        <v>3702</v>
      </c>
      <c r="O907" t="s">
        <v>3707</v>
      </c>
    </row>
    <row r="908" spans="1:15" x14ac:dyDescent="0.35">
      <c r="A908" t="s">
        <v>921</v>
      </c>
      <c r="B908" t="s">
        <v>1610</v>
      </c>
      <c r="C908" t="s">
        <v>2320</v>
      </c>
      <c r="D908" t="s">
        <v>3382</v>
      </c>
      <c r="E908" t="s">
        <v>3672</v>
      </c>
      <c r="F908">
        <v>47</v>
      </c>
      <c r="G908" t="s">
        <v>3679</v>
      </c>
      <c r="H908" t="s">
        <v>3684</v>
      </c>
      <c r="I908" t="s">
        <v>3687</v>
      </c>
      <c r="J908" t="s">
        <v>3693</v>
      </c>
      <c r="K908" t="s">
        <v>3697</v>
      </c>
      <c r="L908">
        <v>1</v>
      </c>
      <c r="M908">
        <v>5000</v>
      </c>
      <c r="N908" t="s">
        <v>3702</v>
      </c>
      <c r="O908" t="s">
        <v>3705</v>
      </c>
    </row>
    <row r="909" spans="1:15" x14ac:dyDescent="0.35">
      <c r="A909" t="s">
        <v>922</v>
      </c>
      <c r="B909" t="s">
        <v>1418</v>
      </c>
      <c r="C909" t="s">
        <v>2289</v>
      </c>
      <c r="D909" t="s">
        <v>3383</v>
      </c>
      <c r="E909" t="s">
        <v>3672</v>
      </c>
      <c r="F909">
        <v>33</v>
      </c>
      <c r="G909" t="s">
        <v>3674</v>
      </c>
      <c r="H909" t="s">
        <v>3680</v>
      </c>
      <c r="I909" t="s">
        <v>3688</v>
      </c>
      <c r="J909" t="s">
        <v>3694</v>
      </c>
      <c r="K909" t="s">
        <v>3698</v>
      </c>
      <c r="L909">
        <v>3</v>
      </c>
      <c r="M909">
        <v>4500</v>
      </c>
      <c r="N909" t="s">
        <v>3701</v>
      </c>
      <c r="O909" t="s">
        <v>3705</v>
      </c>
    </row>
    <row r="910" spans="1:15" x14ac:dyDescent="0.35">
      <c r="A910" t="s">
        <v>923</v>
      </c>
      <c r="B910" t="s">
        <v>1728</v>
      </c>
      <c r="C910" t="s">
        <v>1796</v>
      </c>
      <c r="D910" t="s">
        <v>3384</v>
      </c>
      <c r="E910" t="s">
        <v>3672</v>
      </c>
      <c r="F910">
        <v>54</v>
      </c>
      <c r="G910" t="s">
        <v>3676</v>
      </c>
      <c r="H910" t="s">
        <v>3682</v>
      </c>
      <c r="I910" t="s">
        <v>3687</v>
      </c>
      <c r="J910" t="s">
        <v>3693</v>
      </c>
      <c r="K910" t="s">
        <v>3697</v>
      </c>
      <c r="L910">
        <v>3</v>
      </c>
      <c r="M910">
        <v>5000</v>
      </c>
      <c r="N910" t="s">
        <v>3701</v>
      </c>
      <c r="O910" t="s">
        <v>3706</v>
      </c>
    </row>
    <row r="911" spans="1:15" x14ac:dyDescent="0.35">
      <c r="A911" t="s">
        <v>924</v>
      </c>
      <c r="B911" t="s">
        <v>1410</v>
      </c>
      <c r="C911" t="s">
        <v>2312</v>
      </c>
      <c r="D911" t="s">
        <v>2939</v>
      </c>
      <c r="E911" t="s">
        <v>3672</v>
      </c>
      <c r="F911">
        <v>21</v>
      </c>
      <c r="G911" t="s">
        <v>3678</v>
      </c>
      <c r="H911" t="s">
        <v>3683</v>
      </c>
      <c r="I911" t="s">
        <v>3691</v>
      </c>
      <c r="J911" t="s">
        <v>3693</v>
      </c>
      <c r="K911" t="s">
        <v>3696</v>
      </c>
      <c r="L911">
        <v>3</v>
      </c>
      <c r="M911">
        <v>58000</v>
      </c>
      <c r="N911" t="s">
        <v>3703</v>
      </c>
      <c r="O911" t="s">
        <v>3706</v>
      </c>
    </row>
    <row r="912" spans="1:15" x14ac:dyDescent="0.35">
      <c r="A912" t="s">
        <v>925</v>
      </c>
      <c r="B912" t="s">
        <v>1531</v>
      </c>
      <c r="C912" t="s">
        <v>2244</v>
      </c>
      <c r="D912" t="s">
        <v>3090</v>
      </c>
      <c r="E912" t="s">
        <v>3672</v>
      </c>
      <c r="F912">
        <v>33</v>
      </c>
      <c r="G912" t="s">
        <v>3679</v>
      </c>
      <c r="H912" t="s">
        <v>3684</v>
      </c>
      <c r="I912" t="s">
        <v>3688</v>
      </c>
      <c r="J912" t="s">
        <v>3694</v>
      </c>
      <c r="K912" t="s">
        <v>3698</v>
      </c>
      <c r="L912">
        <v>2</v>
      </c>
      <c r="M912">
        <v>4500</v>
      </c>
      <c r="N912" t="s">
        <v>3703</v>
      </c>
      <c r="O912" t="s">
        <v>3706</v>
      </c>
    </row>
    <row r="913" spans="1:15" x14ac:dyDescent="0.35">
      <c r="A913" t="s">
        <v>926</v>
      </c>
      <c r="B913" t="s">
        <v>1581</v>
      </c>
      <c r="C913" t="s">
        <v>2160</v>
      </c>
      <c r="D913" t="s">
        <v>3385</v>
      </c>
      <c r="E913" t="s">
        <v>3672</v>
      </c>
      <c r="F913">
        <v>41</v>
      </c>
      <c r="G913" t="s">
        <v>3679</v>
      </c>
      <c r="H913" t="s">
        <v>3684</v>
      </c>
      <c r="I913" t="s">
        <v>3689</v>
      </c>
      <c r="J913" t="s">
        <v>3694</v>
      </c>
      <c r="K913" t="s">
        <v>3699</v>
      </c>
      <c r="L913">
        <v>3</v>
      </c>
      <c r="M913">
        <v>1800</v>
      </c>
      <c r="N913" t="s">
        <v>3701</v>
      </c>
      <c r="O913" t="s">
        <v>3706</v>
      </c>
    </row>
    <row r="914" spans="1:15" x14ac:dyDescent="0.35">
      <c r="A914" t="s">
        <v>927</v>
      </c>
      <c r="B914" t="s">
        <v>1425</v>
      </c>
      <c r="C914" t="s">
        <v>1977</v>
      </c>
      <c r="D914" t="s">
        <v>3386</v>
      </c>
      <c r="E914" t="s">
        <v>3671</v>
      </c>
      <c r="F914">
        <v>47</v>
      </c>
      <c r="G914" t="s">
        <v>3676</v>
      </c>
      <c r="H914" t="s">
        <v>3682</v>
      </c>
      <c r="I914" t="s">
        <v>3685</v>
      </c>
      <c r="J914" t="s">
        <v>3692</v>
      </c>
      <c r="K914" t="s">
        <v>3695</v>
      </c>
      <c r="L914">
        <v>1</v>
      </c>
      <c r="M914">
        <v>12000</v>
      </c>
      <c r="N914" t="s">
        <v>3701</v>
      </c>
      <c r="O914" t="s">
        <v>3707</v>
      </c>
    </row>
    <row r="915" spans="1:15" x14ac:dyDescent="0.35">
      <c r="A915" t="s">
        <v>928</v>
      </c>
      <c r="B915" t="s">
        <v>1729</v>
      </c>
      <c r="C915" t="s">
        <v>1822</v>
      </c>
      <c r="D915" t="s">
        <v>3387</v>
      </c>
      <c r="E915" t="s">
        <v>3671</v>
      </c>
      <c r="F915">
        <v>30</v>
      </c>
      <c r="G915" t="s">
        <v>3678</v>
      </c>
      <c r="H915" t="s">
        <v>3683</v>
      </c>
      <c r="I915" t="s">
        <v>3689</v>
      </c>
      <c r="J915" t="s">
        <v>3694</v>
      </c>
      <c r="K915" t="s">
        <v>3699</v>
      </c>
      <c r="L915">
        <v>3</v>
      </c>
      <c r="M915">
        <v>1800</v>
      </c>
      <c r="N915" t="s">
        <v>3701</v>
      </c>
      <c r="O915" t="s">
        <v>3707</v>
      </c>
    </row>
    <row r="916" spans="1:15" x14ac:dyDescent="0.35">
      <c r="A916" t="s">
        <v>929</v>
      </c>
      <c r="B916" t="s">
        <v>1730</v>
      </c>
      <c r="C916" t="s">
        <v>2062</v>
      </c>
      <c r="D916" t="s">
        <v>3388</v>
      </c>
      <c r="E916" t="s">
        <v>3672</v>
      </c>
      <c r="F916">
        <v>27</v>
      </c>
      <c r="G916" t="s">
        <v>3676</v>
      </c>
      <c r="H916" t="s">
        <v>3682</v>
      </c>
      <c r="I916" t="s">
        <v>3686</v>
      </c>
      <c r="J916" t="s">
        <v>3693</v>
      </c>
      <c r="K916" t="s">
        <v>3696</v>
      </c>
      <c r="L916">
        <v>1</v>
      </c>
      <c r="M916">
        <v>65000</v>
      </c>
      <c r="N916" t="s">
        <v>3701</v>
      </c>
      <c r="O916" t="s">
        <v>3706</v>
      </c>
    </row>
    <row r="917" spans="1:15" x14ac:dyDescent="0.35">
      <c r="A917" t="s">
        <v>930</v>
      </c>
      <c r="B917" t="s">
        <v>1618</v>
      </c>
      <c r="C917" t="s">
        <v>2394</v>
      </c>
      <c r="D917" t="s">
        <v>3389</v>
      </c>
      <c r="E917" t="s">
        <v>3671</v>
      </c>
      <c r="F917">
        <v>35</v>
      </c>
      <c r="G917" t="s">
        <v>3676</v>
      </c>
      <c r="H917" t="s">
        <v>3682</v>
      </c>
      <c r="I917" t="s">
        <v>3690</v>
      </c>
      <c r="J917" t="s">
        <v>3693</v>
      </c>
      <c r="K917" t="s">
        <v>3700</v>
      </c>
      <c r="L917">
        <v>2</v>
      </c>
      <c r="M917">
        <v>72000</v>
      </c>
      <c r="N917" t="s">
        <v>3701</v>
      </c>
      <c r="O917" t="s">
        <v>3705</v>
      </c>
    </row>
    <row r="918" spans="1:15" x14ac:dyDescent="0.35">
      <c r="A918" t="s">
        <v>931</v>
      </c>
      <c r="B918" t="s">
        <v>1249</v>
      </c>
      <c r="C918" t="s">
        <v>2295</v>
      </c>
      <c r="D918" t="s">
        <v>3390</v>
      </c>
      <c r="E918" t="s">
        <v>3672</v>
      </c>
      <c r="F918">
        <v>20</v>
      </c>
      <c r="G918" t="s">
        <v>3674</v>
      </c>
      <c r="H918" t="s">
        <v>3680</v>
      </c>
      <c r="I918" t="s">
        <v>3688</v>
      </c>
      <c r="J918" t="s">
        <v>3694</v>
      </c>
      <c r="K918" t="s">
        <v>3698</v>
      </c>
      <c r="L918">
        <v>2</v>
      </c>
      <c r="M918">
        <v>4500</v>
      </c>
      <c r="N918" t="s">
        <v>3704</v>
      </c>
      <c r="O918" t="s">
        <v>3707</v>
      </c>
    </row>
    <row r="919" spans="1:15" x14ac:dyDescent="0.35">
      <c r="A919" t="s">
        <v>932</v>
      </c>
      <c r="B919" t="s">
        <v>1731</v>
      </c>
      <c r="C919" t="s">
        <v>2350</v>
      </c>
      <c r="D919" t="s">
        <v>3391</v>
      </c>
      <c r="E919" t="s">
        <v>3672</v>
      </c>
      <c r="F919">
        <v>18</v>
      </c>
      <c r="G919" t="s">
        <v>3678</v>
      </c>
      <c r="H919" t="s">
        <v>3683</v>
      </c>
      <c r="I919" t="s">
        <v>3686</v>
      </c>
      <c r="J919" t="s">
        <v>3693</v>
      </c>
      <c r="K919" t="s">
        <v>3696</v>
      </c>
      <c r="L919">
        <v>3</v>
      </c>
      <c r="M919">
        <v>65000</v>
      </c>
      <c r="N919" t="s">
        <v>3703</v>
      </c>
      <c r="O919" t="s">
        <v>3705</v>
      </c>
    </row>
    <row r="920" spans="1:15" x14ac:dyDescent="0.35">
      <c r="A920" t="s">
        <v>933</v>
      </c>
      <c r="B920" t="s">
        <v>1329</v>
      </c>
      <c r="C920" t="s">
        <v>2140</v>
      </c>
      <c r="D920" t="s">
        <v>3392</v>
      </c>
      <c r="E920" t="s">
        <v>3671</v>
      </c>
      <c r="F920">
        <v>41</v>
      </c>
      <c r="G920" t="s">
        <v>3678</v>
      </c>
      <c r="H920" t="s">
        <v>3683</v>
      </c>
      <c r="I920" t="s">
        <v>3687</v>
      </c>
      <c r="J920" t="s">
        <v>3693</v>
      </c>
      <c r="K920" t="s">
        <v>3697</v>
      </c>
      <c r="L920">
        <v>4</v>
      </c>
      <c r="M920">
        <v>5000</v>
      </c>
      <c r="N920" t="s">
        <v>3704</v>
      </c>
      <c r="O920" t="s">
        <v>3707</v>
      </c>
    </row>
    <row r="921" spans="1:15" x14ac:dyDescent="0.35">
      <c r="A921" t="s">
        <v>934</v>
      </c>
      <c r="B921" t="s">
        <v>1732</v>
      </c>
      <c r="C921" t="s">
        <v>2395</v>
      </c>
      <c r="D921" t="s">
        <v>3393</v>
      </c>
      <c r="E921" t="s">
        <v>3672</v>
      </c>
      <c r="F921">
        <v>21</v>
      </c>
      <c r="G921" t="s">
        <v>3675</v>
      </c>
      <c r="H921" t="s">
        <v>3681</v>
      </c>
      <c r="I921" t="s">
        <v>3687</v>
      </c>
      <c r="J921" t="s">
        <v>3693</v>
      </c>
      <c r="K921" t="s">
        <v>3697</v>
      </c>
      <c r="L921">
        <v>4</v>
      </c>
      <c r="M921">
        <v>5000</v>
      </c>
      <c r="N921" t="s">
        <v>3702</v>
      </c>
      <c r="O921" t="s">
        <v>3706</v>
      </c>
    </row>
    <row r="922" spans="1:15" x14ac:dyDescent="0.35">
      <c r="A922" t="s">
        <v>935</v>
      </c>
      <c r="B922" t="s">
        <v>1338</v>
      </c>
      <c r="C922" t="s">
        <v>1836</v>
      </c>
      <c r="D922" t="s">
        <v>3394</v>
      </c>
      <c r="E922" t="s">
        <v>3671</v>
      </c>
      <c r="F922">
        <v>60</v>
      </c>
      <c r="G922" t="s">
        <v>3677</v>
      </c>
      <c r="H922" t="s">
        <v>3680</v>
      </c>
      <c r="I922" t="s">
        <v>3691</v>
      </c>
      <c r="J922" t="s">
        <v>3693</v>
      </c>
      <c r="K922" t="s">
        <v>3696</v>
      </c>
      <c r="L922">
        <v>3</v>
      </c>
      <c r="M922">
        <v>58000</v>
      </c>
      <c r="N922" t="s">
        <v>3704</v>
      </c>
      <c r="O922" t="s">
        <v>3705</v>
      </c>
    </row>
    <row r="923" spans="1:15" x14ac:dyDescent="0.35">
      <c r="A923" t="s">
        <v>936</v>
      </c>
      <c r="B923" t="s">
        <v>1680</v>
      </c>
      <c r="C923" t="s">
        <v>1912</v>
      </c>
      <c r="D923" t="s">
        <v>3395</v>
      </c>
      <c r="E923" t="s">
        <v>3671</v>
      </c>
      <c r="F923">
        <v>52</v>
      </c>
      <c r="G923" t="s">
        <v>3673</v>
      </c>
      <c r="H923" t="s">
        <v>3673</v>
      </c>
      <c r="I923" t="s">
        <v>3690</v>
      </c>
      <c r="J923" t="s">
        <v>3693</v>
      </c>
      <c r="K923" t="s">
        <v>3700</v>
      </c>
      <c r="L923">
        <v>5</v>
      </c>
      <c r="M923">
        <v>72000</v>
      </c>
      <c r="N923" t="s">
        <v>3704</v>
      </c>
      <c r="O923" t="s">
        <v>3707</v>
      </c>
    </row>
    <row r="924" spans="1:15" x14ac:dyDescent="0.35">
      <c r="A924" t="s">
        <v>937</v>
      </c>
      <c r="B924" t="s">
        <v>1440</v>
      </c>
      <c r="C924" t="s">
        <v>1937</v>
      </c>
      <c r="D924" t="s">
        <v>3396</v>
      </c>
      <c r="E924" t="s">
        <v>3671</v>
      </c>
      <c r="F924">
        <v>34</v>
      </c>
      <c r="G924" t="s">
        <v>3674</v>
      </c>
      <c r="H924" t="s">
        <v>3680</v>
      </c>
      <c r="I924" t="s">
        <v>3689</v>
      </c>
      <c r="J924" t="s">
        <v>3694</v>
      </c>
      <c r="K924" t="s">
        <v>3699</v>
      </c>
      <c r="L924">
        <v>1</v>
      </c>
      <c r="M924">
        <v>1800</v>
      </c>
      <c r="N924" t="s">
        <v>3703</v>
      </c>
      <c r="O924" t="s">
        <v>3705</v>
      </c>
    </row>
    <row r="925" spans="1:15" x14ac:dyDescent="0.35">
      <c r="A925" t="s">
        <v>938</v>
      </c>
      <c r="B925" t="s">
        <v>1733</v>
      </c>
      <c r="C925" t="s">
        <v>2396</v>
      </c>
      <c r="D925" t="s">
        <v>3397</v>
      </c>
      <c r="E925" t="s">
        <v>3672</v>
      </c>
      <c r="F925">
        <v>57</v>
      </c>
      <c r="G925" t="s">
        <v>3676</v>
      </c>
      <c r="H925" t="s">
        <v>3682</v>
      </c>
      <c r="I925" t="s">
        <v>3687</v>
      </c>
      <c r="J925" t="s">
        <v>3693</v>
      </c>
      <c r="K925" t="s">
        <v>3697</v>
      </c>
      <c r="L925">
        <v>1</v>
      </c>
      <c r="M925">
        <v>5000</v>
      </c>
      <c r="N925" t="s">
        <v>3702</v>
      </c>
      <c r="O925" t="s">
        <v>3707</v>
      </c>
    </row>
    <row r="926" spans="1:15" x14ac:dyDescent="0.35">
      <c r="A926" t="s">
        <v>939</v>
      </c>
      <c r="B926" t="s">
        <v>1466</v>
      </c>
      <c r="C926" t="s">
        <v>2397</v>
      </c>
      <c r="D926" t="s">
        <v>3398</v>
      </c>
      <c r="E926" t="s">
        <v>3671</v>
      </c>
      <c r="F926">
        <v>23</v>
      </c>
      <c r="G926" t="s">
        <v>3678</v>
      </c>
      <c r="H926" t="s">
        <v>3683</v>
      </c>
      <c r="I926" t="s">
        <v>3686</v>
      </c>
      <c r="J926" t="s">
        <v>3693</v>
      </c>
      <c r="K926" t="s">
        <v>3696</v>
      </c>
      <c r="L926">
        <v>3</v>
      </c>
      <c r="M926">
        <v>65000</v>
      </c>
      <c r="N926" t="s">
        <v>3701</v>
      </c>
      <c r="O926" t="s">
        <v>3707</v>
      </c>
    </row>
    <row r="927" spans="1:15" x14ac:dyDescent="0.35">
      <c r="A927" t="s">
        <v>940</v>
      </c>
      <c r="B927" t="s">
        <v>1253</v>
      </c>
      <c r="C927" t="s">
        <v>2398</v>
      </c>
      <c r="D927" t="s">
        <v>3399</v>
      </c>
      <c r="E927" t="s">
        <v>3672</v>
      </c>
      <c r="F927">
        <v>52</v>
      </c>
      <c r="G927" t="s">
        <v>3675</v>
      </c>
      <c r="H927" t="s">
        <v>3681</v>
      </c>
      <c r="I927" t="s">
        <v>3691</v>
      </c>
      <c r="J927" t="s">
        <v>3693</v>
      </c>
      <c r="K927" t="s">
        <v>3696</v>
      </c>
      <c r="L927">
        <v>4</v>
      </c>
      <c r="M927">
        <v>58000</v>
      </c>
      <c r="N927" t="s">
        <v>3703</v>
      </c>
      <c r="O927" t="s">
        <v>3706</v>
      </c>
    </row>
    <row r="928" spans="1:15" x14ac:dyDescent="0.35">
      <c r="A928" t="s">
        <v>941</v>
      </c>
      <c r="B928" t="s">
        <v>1734</v>
      </c>
      <c r="C928" t="s">
        <v>2362</v>
      </c>
      <c r="D928" t="s">
        <v>3400</v>
      </c>
      <c r="E928" t="s">
        <v>3671</v>
      </c>
      <c r="F928">
        <v>60</v>
      </c>
      <c r="G928" t="s">
        <v>3675</v>
      </c>
      <c r="H928" t="s">
        <v>3681</v>
      </c>
      <c r="I928" t="s">
        <v>3687</v>
      </c>
      <c r="J928" t="s">
        <v>3693</v>
      </c>
      <c r="K928" t="s">
        <v>3697</v>
      </c>
      <c r="L928">
        <v>1</v>
      </c>
      <c r="M928">
        <v>5000</v>
      </c>
      <c r="N928" t="s">
        <v>3701</v>
      </c>
      <c r="O928" t="s">
        <v>3706</v>
      </c>
    </row>
    <row r="929" spans="1:15" x14ac:dyDescent="0.35">
      <c r="A929" t="s">
        <v>942</v>
      </c>
      <c r="B929" t="s">
        <v>1611</v>
      </c>
      <c r="C929" t="s">
        <v>2399</v>
      </c>
      <c r="D929" t="s">
        <v>3401</v>
      </c>
      <c r="E929" t="s">
        <v>3672</v>
      </c>
      <c r="F929">
        <v>58</v>
      </c>
      <c r="G929" t="s">
        <v>3674</v>
      </c>
      <c r="H929" t="s">
        <v>3680</v>
      </c>
      <c r="I929" t="s">
        <v>3691</v>
      </c>
      <c r="J929" t="s">
        <v>3693</v>
      </c>
      <c r="K929" t="s">
        <v>3696</v>
      </c>
      <c r="L929">
        <v>5</v>
      </c>
      <c r="M929">
        <v>58000</v>
      </c>
      <c r="N929" t="s">
        <v>3704</v>
      </c>
      <c r="O929" t="s">
        <v>3707</v>
      </c>
    </row>
    <row r="930" spans="1:15" x14ac:dyDescent="0.35">
      <c r="A930" t="s">
        <v>943</v>
      </c>
      <c r="B930" t="s">
        <v>1542</v>
      </c>
      <c r="C930" t="s">
        <v>2241</v>
      </c>
      <c r="D930" t="s">
        <v>3402</v>
      </c>
      <c r="E930" t="s">
        <v>3671</v>
      </c>
      <c r="F930">
        <v>39</v>
      </c>
      <c r="G930" t="s">
        <v>3675</v>
      </c>
      <c r="H930" t="s">
        <v>3681</v>
      </c>
      <c r="I930" t="s">
        <v>3686</v>
      </c>
      <c r="J930" t="s">
        <v>3693</v>
      </c>
      <c r="K930" t="s">
        <v>3696</v>
      </c>
      <c r="L930">
        <v>2</v>
      </c>
      <c r="M930">
        <v>65000</v>
      </c>
      <c r="N930" t="s">
        <v>3704</v>
      </c>
      <c r="O930" t="s">
        <v>3707</v>
      </c>
    </row>
    <row r="931" spans="1:15" x14ac:dyDescent="0.35">
      <c r="A931" t="s">
        <v>944</v>
      </c>
      <c r="B931" t="s">
        <v>1422</v>
      </c>
      <c r="C931" t="s">
        <v>2083</v>
      </c>
      <c r="D931" t="s">
        <v>3403</v>
      </c>
      <c r="E931" t="s">
        <v>3671</v>
      </c>
      <c r="F931">
        <v>48</v>
      </c>
      <c r="G931" t="s">
        <v>3676</v>
      </c>
      <c r="H931" t="s">
        <v>3682</v>
      </c>
      <c r="I931" t="s">
        <v>3686</v>
      </c>
      <c r="J931" t="s">
        <v>3693</v>
      </c>
      <c r="K931" t="s">
        <v>3696</v>
      </c>
      <c r="L931">
        <v>4</v>
      </c>
      <c r="M931">
        <v>65000</v>
      </c>
      <c r="N931" t="s">
        <v>3704</v>
      </c>
      <c r="O931" t="s">
        <v>3706</v>
      </c>
    </row>
    <row r="932" spans="1:15" x14ac:dyDescent="0.35">
      <c r="A932" t="s">
        <v>945</v>
      </c>
      <c r="B932" t="s">
        <v>1735</v>
      </c>
      <c r="C932" t="s">
        <v>1798</v>
      </c>
      <c r="D932" t="s">
        <v>3404</v>
      </c>
      <c r="E932" t="s">
        <v>3672</v>
      </c>
      <c r="F932">
        <v>58</v>
      </c>
      <c r="G932" t="s">
        <v>3675</v>
      </c>
      <c r="H932" t="s">
        <v>3681</v>
      </c>
      <c r="I932" t="s">
        <v>3686</v>
      </c>
      <c r="J932" t="s">
        <v>3693</v>
      </c>
      <c r="K932" t="s">
        <v>3696</v>
      </c>
      <c r="L932">
        <v>2</v>
      </c>
      <c r="M932">
        <v>65000</v>
      </c>
      <c r="N932" t="s">
        <v>3704</v>
      </c>
      <c r="O932" t="s">
        <v>3705</v>
      </c>
    </row>
    <row r="933" spans="1:15" x14ac:dyDescent="0.35">
      <c r="A933" t="s">
        <v>946</v>
      </c>
      <c r="B933" t="s">
        <v>1221</v>
      </c>
      <c r="C933" t="s">
        <v>2400</v>
      </c>
      <c r="D933" t="s">
        <v>3405</v>
      </c>
      <c r="E933" t="s">
        <v>3672</v>
      </c>
      <c r="F933">
        <v>29</v>
      </c>
      <c r="G933" t="s">
        <v>3679</v>
      </c>
      <c r="H933" t="s">
        <v>3684</v>
      </c>
      <c r="I933" t="s">
        <v>3685</v>
      </c>
      <c r="J933" t="s">
        <v>3692</v>
      </c>
      <c r="K933" t="s">
        <v>3695</v>
      </c>
      <c r="L933">
        <v>4</v>
      </c>
      <c r="M933">
        <v>12000</v>
      </c>
      <c r="N933" t="s">
        <v>3703</v>
      </c>
      <c r="O933" t="s">
        <v>3706</v>
      </c>
    </row>
    <row r="934" spans="1:15" x14ac:dyDescent="0.35">
      <c r="A934" t="s">
        <v>947</v>
      </c>
      <c r="B934" t="s">
        <v>1441</v>
      </c>
      <c r="C934" t="s">
        <v>2147</v>
      </c>
      <c r="D934" t="s">
        <v>3406</v>
      </c>
      <c r="E934" t="s">
        <v>3671</v>
      </c>
      <c r="F934">
        <v>51</v>
      </c>
      <c r="G934" t="s">
        <v>3677</v>
      </c>
      <c r="H934" t="s">
        <v>3680</v>
      </c>
      <c r="I934" t="s">
        <v>3688</v>
      </c>
      <c r="J934" t="s">
        <v>3694</v>
      </c>
      <c r="K934" t="s">
        <v>3698</v>
      </c>
      <c r="L934">
        <v>4</v>
      </c>
      <c r="M934">
        <v>4500</v>
      </c>
      <c r="N934" t="s">
        <v>3703</v>
      </c>
      <c r="O934" t="s">
        <v>3707</v>
      </c>
    </row>
    <row r="935" spans="1:15" x14ac:dyDescent="0.35">
      <c r="A935" t="s">
        <v>948</v>
      </c>
      <c r="B935" t="s">
        <v>1228</v>
      </c>
      <c r="C935" t="s">
        <v>2003</v>
      </c>
      <c r="D935" t="s">
        <v>3407</v>
      </c>
      <c r="E935" t="s">
        <v>3672</v>
      </c>
      <c r="F935">
        <v>46</v>
      </c>
      <c r="G935" t="s">
        <v>3678</v>
      </c>
      <c r="H935" t="s">
        <v>3683</v>
      </c>
      <c r="I935" t="s">
        <v>3689</v>
      </c>
      <c r="J935" t="s">
        <v>3694</v>
      </c>
      <c r="K935" t="s">
        <v>3699</v>
      </c>
      <c r="L935">
        <v>4</v>
      </c>
      <c r="M935">
        <v>1800</v>
      </c>
      <c r="N935" t="s">
        <v>3701</v>
      </c>
      <c r="O935" t="s">
        <v>3706</v>
      </c>
    </row>
    <row r="936" spans="1:15" x14ac:dyDescent="0.35">
      <c r="A936" t="s">
        <v>949</v>
      </c>
      <c r="B936" t="s">
        <v>1736</v>
      </c>
      <c r="C936" t="s">
        <v>2401</v>
      </c>
      <c r="D936" t="s">
        <v>3408</v>
      </c>
      <c r="E936" t="s">
        <v>3672</v>
      </c>
      <c r="F936">
        <v>54</v>
      </c>
      <c r="G936" t="s">
        <v>3674</v>
      </c>
      <c r="H936" t="s">
        <v>3680</v>
      </c>
      <c r="I936" t="s">
        <v>3685</v>
      </c>
      <c r="J936" t="s">
        <v>3692</v>
      </c>
      <c r="K936" t="s">
        <v>3695</v>
      </c>
      <c r="L936">
        <v>3</v>
      </c>
      <c r="M936">
        <v>12000</v>
      </c>
      <c r="N936" t="s">
        <v>3702</v>
      </c>
      <c r="O936" t="s">
        <v>3706</v>
      </c>
    </row>
    <row r="937" spans="1:15" x14ac:dyDescent="0.35">
      <c r="A937" t="s">
        <v>950</v>
      </c>
      <c r="B937" t="s">
        <v>1737</v>
      </c>
      <c r="C937" t="s">
        <v>1845</v>
      </c>
      <c r="D937" t="s">
        <v>3409</v>
      </c>
      <c r="E937" t="s">
        <v>3672</v>
      </c>
      <c r="F937">
        <v>44</v>
      </c>
      <c r="G937" t="s">
        <v>3678</v>
      </c>
      <c r="H937" t="s">
        <v>3683</v>
      </c>
      <c r="I937" t="s">
        <v>3691</v>
      </c>
      <c r="J937" t="s">
        <v>3693</v>
      </c>
      <c r="K937" t="s">
        <v>3696</v>
      </c>
      <c r="L937">
        <v>1</v>
      </c>
      <c r="M937">
        <v>58000</v>
      </c>
      <c r="N937" t="s">
        <v>3703</v>
      </c>
      <c r="O937" t="s">
        <v>3705</v>
      </c>
    </row>
    <row r="938" spans="1:15" x14ac:dyDescent="0.35">
      <c r="A938" t="s">
        <v>951</v>
      </c>
      <c r="B938" t="s">
        <v>1738</v>
      </c>
      <c r="C938" t="s">
        <v>2402</v>
      </c>
      <c r="D938" t="s">
        <v>3410</v>
      </c>
      <c r="E938" t="s">
        <v>3671</v>
      </c>
      <c r="F938">
        <v>34</v>
      </c>
      <c r="G938" t="s">
        <v>3677</v>
      </c>
      <c r="H938" t="s">
        <v>3680</v>
      </c>
      <c r="I938" t="s">
        <v>3690</v>
      </c>
      <c r="J938" t="s">
        <v>3693</v>
      </c>
      <c r="K938" t="s">
        <v>3700</v>
      </c>
      <c r="L938">
        <v>1</v>
      </c>
      <c r="M938">
        <v>72000</v>
      </c>
      <c r="N938" t="s">
        <v>3703</v>
      </c>
      <c r="O938" t="s">
        <v>3705</v>
      </c>
    </row>
    <row r="939" spans="1:15" x14ac:dyDescent="0.35">
      <c r="A939" t="s">
        <v>952</v>
      </c>
      <c r="B939" t="s">
        <v>1400</v>
      </c>
      <c r="C939" t="s">
        <v>2403</v>
      </c>
      <c r="D939" t="s">
        <v>3411</v>
      </c>
      <c r="E939" t="s">
        <v>3672</v>
      </c>
      <c r="F939">
        <v>50</v>
      </c>
      <c r="G939" t="s">
        <v>3678</v>
      </c>
      <c r="H939" t="s">
        <v>3683</v>
      </c>
      <c r="I939" t="s">
        <v>3687</v>
      </c>
      <c r="J939" t="s">
        <v>3693</v>
      </c>
      <c r="K939" t="s">
        <v>3697</v>
      </c>
      <c r="L939">
        <v>4</v>
      </c>
      <c r="M939">
        <v>5000</v>
      </c>
      <c r="N939" t="s">
        <v>3703</v>
      </c>
      <c r="O939" t="s">
        <v>3707</v>
      </c>
    </row>
    <row r="940" spans="1:15" x14ac:dyDescent="0.35">
      <c r="A940" t="s">
        <v>953</v>
      </c>
      <c r="B940" t="s">
        <v>1701</v>
      </c>
      <c r="C940" t="s">
        <v>2199</v>
      </c>
      <c r="D940" t="s">
        <v>3412</v>
      </c>
      <c r="E940" t="s">
        <v>3672</v>
      </c>
      <c r="F940">
        <v>55</v>
      </c>
      <c r="G940" t="s">
        <v>3675</v>
      </c>
      <c r="H940" t="s">
        <v>3681</v>
      </c>
      <c r="I940" t="s">
        <v>3688</v>
      </c>
      <c r="J940" t="s">
        <v>3694</v>
      </c>
      <c r="K940" t="s">
        <v>3698</v>
      </c>
      <c r="L940">
        <v>5</v>
      </c>
      <c r="M940">
        <v>4500</v>
      </c>
      <c r="N940" t="s">
        <v>3704</v>
      </c>
      <c r="O940" t="s">
        <v>3707</v>
      </c>
    </row>
    <row r="941" spans="1:15" x14ac:dyDescent="0.35">
      <c r="A941" t="s">
        <v>954</v>
      </c>
      <c r="B941" t="s">
        <v>1642</v>
      </c>
      <c r="C941" t="s">
        <v>2404</v>
      </c>
      <c r="D941" t="s">
        <v>3413</v>
      </c>
      <c r="E941" t="s">
        <v>3672</v>
      </c>
      <c r="F941">
        <v>34</v>
      </c>
      <c r="G941" t="s">
        <v>3678</v>
      </c>
      <c r="H941" t="s">
        <v>3683</v>
      </c>
      <c r="I941" t="s">
        <v>3691</v>
      </c>
      <c r="J941" t="s">
        <v>3693</v>
      </c>
      <c r="K941" t="s">
        <v>3696</v>
      </c>
      <c r="L941">
        <v>2</v>
      </c>
      <c r="M941">
        <v>58000</v>
      </c>
      <c r="N941" t="s">
        <v>3703</v>
      </c>
      <c r="O941" t="s">
        <v>3707</v>
      </c>
    </row>
    <row r="942" spans="1:15" x14ac:dyDescent="0.35">
      <c r="A942" t="s">
        <v>955</v>
      </c>
      <c r="B942" t="s">
        <v>1348</v>
      </c>
      <c r="C942" t="s">
        <v>2188</v>
      </c>
      <c r="D942" t="s">
        <v>3414</v>
      </c>
      <c r="E942" t="s">
        <v>3672</v>
      </c>
      <c r="F942">
        <v>40</v>
      </c>
      <c r="G942" t="s">
        <v>3675</v>
      </c>
      <c r="H942" t="s">
        <v>3681</v>
      </c>
      <c r="I942" t="s">
        <v>3689</v>
      </c>
      <c r="J942" t="s">
        <v>3694</v>
      </c>
      <c r="K942" t="s">
        <v>3699</v>
      </c>
      <c r="L942">
        <v>5</v>
      </c>
      <c r="M942">
        <v>1800</v>
      </c>
      <c r="N942" t="s">
        <v>3703</v>
      </c>
      <c r="O942" t="s">
        <v>3706</v>
      </c>
    </row>
    <row r="943" spans="1:15" x14ac:dyDescent="0.35">
      <c r="A943" t="s">
        <v>956</v>
      </c>
      <c r="B943" t="s">
        <v>1739</v>
      </c>
      <c r="C943" t="s">
        <v>2192</v>
      </c>
      <c r="D943" t="s">
        <v>3415</v>
      </c>
      <c r="E943" t="s">
        <v>3671</v>
      </c>
      <c r="F943">
        <v>29</v>
      </c>
      <c r="G943" t="s">
        <v>3674</v>
      </c>
      <c r="H943" t="s">
        <v>3680</v>
      </c>
      <c r="I943" t="s">
        <v>3688</v>
      </c>
      <c r="J943" t="s">
        <v>3694</v>
      </c>
      <c r="K943" t="s">
        <v>3698</v>
      </c>
      <c r="L943">
        <v>5</v>
      </c>
      <c r="M943">
        <v>4500</v>
      </c>
      <c r="N943" t="s">
        <v>3704</v>
      </c>
      <c r="O943" t="s">
        <v>3707</v>
      </c>
    </row>
    <row r="944" spans="1:15" x14ac:dyDescent="0.35">
      <c r="A944" t="s">
        <v>957</v>
      </c>
      <c r="B944" t="s">
        <v>1615</v>
      </c>
      <c r="C944" t="s">
        <v>2405</v>
      </c>
      <c r="D944" t="s">
        <v>3416</v>
      </c>
      <c r="E944" t="s">
        <v>3672</v>
      </c>
      <c r="F944">
        <v>57</v>
      </c>
      <c r="G944" t="s">
        <v>3679</v>
      </c>
      <c r="H944" t="s">
        <v>3684</v>
      </c>
      <c r="I944" t="s">
        <v>3687</v>
      </c>
      <c r="J944" t="s">
        <v>3693</v>
      </c>
      <c r="K944" t="s">
        <v>3697</v>
      </c>
      <c r="L944">
        <v>1</v>
      </c>
      <c r="M944">
        <v>5000</v>
      </c>
      <c r="N944" t="s">
        <v>3701</v>
      </c>
      <c r="O944" t="s">
        <v>3705</v>
      </c>
    </row>
    <row r="945" spans="1:15" x14ac:dyDescent="0.35">
      <c r="A945" t="s">
        <v>958</v>
      </c>
      <c r="B945" t="s">
        <v>1385</v>
      </c>
      <c r="C945" t="s">
        <v>2406</v>
      </c>
      <c r="D945" t="s">
        <v>3417</v>
      </c>
      <c r="E945" t="s">
        <v>3672</v>
      </c>
      <c r="F945">
        <v>35</v>
      </c>
      <c r="G945" t="s">
        <v>3677</v>
      </c>
      <c r="H945" t="s">
        <v>3680</v>
      </c>
      <c r="I945" t="s">
        <v>3690</v>
      </c>
      <c r="J945" t="s">
        <v>3693</v>
      </c>
      <c r="K945" t="s">
        <v>3700</v>
      </c>
      <c r="L945">
        <v>5</v>
      </c>
      <c r="M945">
        <v>72000</v>
      </c>
      <c r="N945" t="s">
        <v>3704</v>
      </c>
      <c r="O945" t="s">
        <v>3706</v>
      </c>
    </row>
    <row r="946" spans="1:15" x14ac:dyDescent="0.35">
      <c r="A946" t="s">
        <v>959</v>
      </c>
      <c r="B946" t="s">
        <v>1340</v>
      </c>
      <c r="C946" t="s">
        <v>2407</v>
      </c>
      <c r="D946" t="s">
        <v>3418</v>
      </c>
      <c r="E946" t="s">
        <v>3672</v>
      </c>
      <c r="F946">
        <v>35</v>
      </c>
      <c r="G946" t="s">
        <v>3675</v>
      </c>
      <c r="H946" t="s">
        <v>3681</v>
      </c>
      <c r="I946" t="s">
        <v>3691</v>
      </c>
      <c r="J946" t="s">
        <v>3693</v>
      </c>
      <c r="K946" t="s">
        <v>3696</v>
      </c>
      <c r="L946">
        <v>4</v>
      </c>
      <c r="M946">
        <v>58000</v>
      </c>
      <c r="N946" t="s">
        <v>3702</v>
      </c>
      <c r="O946" t="s">
        <v>3705</v>
      </c>
    </row>
    <row r="947" spans="1:15" x14ac:dyDescent="0.35">
      <c r="A947" t="s">
        <v>960</v>
      </c>
      <c r="B947" t="s">
        <v>1581</v>
      </c>
      <c r="C947" t="s">
        <v>2408</v>
      </c>
      <c r="D947" t="s">
        <v>3419</v>
      </c>
      <c r="E947" t="s">
        <v>3671</v>
      </c>
      <c r="F947">
        <v>51</v>
      </c>
      <c r="G947" t="s">
        <v>3674</v>
      </c>
      <c r="H947" t="s">
        <v>3680</v>
      </c>
      <c r="I947" t="s">
        <v>3689</v>
      </c>
      <c r="J947" t="s">
        <v>3694</v>
      </c>
      <c r="K947" t="s">
        <v>3699</v>
      </c>
      <c r="L947">
        <v>5</v>
      </c>
      <c r="M947">
        <v>1800</v>
      </c>
      <c r="N947" t="s">
        <v>3703</v>
      </c>
      <c r="O947" t="s">
        <v>3706</v>
      </c>
    </row>
    <row r="948" spans="1:15" x14ac:dyDescent="0.35">
      <c r="A948" t="s">
        <v>961</v>
      </c>
      <c r="B948" t="s">
        <v>1435</v>
      </c>
      <c r="C948" t="s">
        <v>2409</v>
      </c>
      <c r="D948" t="s">
        <v>3420</v>
      </c>
      <c r="E948" t="s">
        <v>3671</v>
      </c>
      <c r="F948">
        <v>52</v>
      </c>
      <c r="G948" t="s">
        <v>3675</v>
      </c>
      <c r="H948" t="s">
        <v>3681</v>
      </c>
      <c r="I948" t="s">
        <v>3685</v>
      </c>
      <c r="J948" t="s">
        <v>3692</v>
      </c>
      <c r="K948" t="s">
        <v>3695</v>
      </c>
      <c r="L948">
        <v>1</v>
      </c>
      <c r="M948">
        <v>12000</v>
      </c>
      <c r="N948" t="s">
        <v>3702</v>
      </c>
      <c r="O948" t="s">
        <v>3706</v>
      </c>
    </row>
    <row r="949" spans="1:15" x14ac:dyDescent="0.35">
      <c r="A949" t="s">
        <v>962</v>
      </c>
      <c r="B949" t="s">
        <v>1740</v>
      </c>
      <c r="C949" t="s">
        <v>1981</v>
      </c>
      <c r="D949" t="s">
        <v>3421</v>
      </c>
      <c r="E949" t="s">
        <v>3671</v>
      </c>
      <c r="F949">
        <v>37</v>
      </c>
      <c r="G949" t="s">
        <v>3675</v>
      </c>
      <c r="H949" t="s">
        <v>3681</v>
      </c>
      <c r="I949" t="s">
        <v>3689</v>
      </c>
      <c r="J949" t="s">
        <v>3694</v>
      </c>
      <c r="K949" t="s">
        <v>3699</v>
      </c>
      <c r="L949">
        <v>5</v>
      </c>
      <c r="M949">
        <v>1800</v>
      </c>
      <c r="N949" t="s">
        <v>3701</v>
      </c>
      <c r="O949" t="s">
        <v>3705</v>
      </c>
    </row>
    <row r="950" spans="1:15" x14ac:dyDescent="0.35">
      <c r="A950" t="s">
        <v>963</v>
      </c>
      <c r="B950" t="s">
        <v>1222</v>
      </c>
      <c r="C950" t="s">
        <v>2407</v>
      </c>
      <c r="D950" t="s">
        <v>3422</v>
      </c>
      <c r="E950" t="s">
        <v>3672</v>
      </c>
      <c r="F950">
        <v>52</v>
      </c>
      <c r="G950" t="s">
        <v>3677</v>
      </c>
      <c r="H950" t="s">
        <v>3680</v>
      </c>
      <c r="I950" t="s">
        <v>3685</v>
      </c>
      <c r="J950" t="s">
        <v>3692</v>
      </c>
      <c r="K950" t="s">
        <v>3695</v>
      </c>
      <c r="L950">
        <v>2</v>
      </c>
      <c r="M950">
        <v>12000</v>
      </c>
      <c r="N950" t="s">
        <v>3701</v>
      </c>
      <c r="O950" t="s">
        <v>3707</v>
      </c>
    </row>
    <row r="951" spans="1:15" x14ac:dyDescent="0.35">
      <c r="A951" t="s">
        <v>964</v>
      </c>
      <c r="B951" t="s">
        <v>1367</v>
      </c>
      <c r="C951" t="s">
        <v>2329</v>
      </c>
      <c r="D951" t="s">
        <v>3423</v>
      </c>
      <c r="E951" t="s">
        <v>3672</v>
      </c>
      <c r="F951">
        <v>45</v>
      </c>
      <c r="G951" t="s">
        <v>3678</v>
      </c>
      <c r="H951" t="s">
        <v>3683</v>
      </c>
      <c r="I951" t="s">
        <v>3689</v>
      </c>
      <c r="J951" t="s">
        <v>3694</v>
      </c>
      <c r="K951" t="s">
        <v>3699</v>
      </c>
      <c r="L951">
        <v>3</v>
      </c>
      <c r="M951">
        <v>1800</v>
      </c>
      <c r="N951" t="s">
        <v>3703</v>
      </c>
      <c r="O951" t="s">
        <v>3707</v>
      </c>
    </row>
    <row r="952" spans="1:15" x14ac:dyDescent="0.35">
      <c r="A952" t="s">
        <v>965</v>
      </c>
      <c r="B952" t="s">
        <v>1295</v>
      </c>
      <c r="C952" t="s">
        <v>2410</v>
      </c>
      <c r="D952" t="s">
        <v>3424</v>
      </c>
      <c r="E952" t="s">
        <v>3671</v>
      </c>
      <c r="F952">
        <v>50</v>
      </c>
      <c r="G952" t="s">
        <v>3677</v>
      </c>
      <c r="H952" t="s">
        <v>3680</v>
      </c>
      <c r="I952" t="s">
        <v>3691</v>
      </c>
      <c r="J952" t="s">
        <v>3693</v>
      </c>
      <c r="K952" t="s">
        <v>3696</v>
      </c>
      <c r="L952">
        <v>4</v>
      </c>
      <c r="M952">
        <v>58000</v>
      </c>
      <c r="N952" t="s">
        <v>3702</v>
      </c>
      <c r="O952" t="s">
        <v>3706</v>
      </c>
    </row>
    <row r="953" spans="1:15" x14ac:dyDescent="0.35">
      <c r="A953" t="s">
        <v>966</v>
      </c>
      <c r="B953" t="s">
        <v>1741</v>
      </c>
      <c r="C953" t="s">
        <v>1919</v>
      </c>
      <c r="D953" t="s">
        <v>3425</v>
      </c>
      <c r="E953" t="s">
        <v>3672</v>
      </c>
      <c r="F953">
        <v>46</v>
      </c>
      <c r="G953" t="s">
        <v>3674</v>
      </c>
      <c r="H953" t="s">
        <v>3680</v>
      </c>
      <c r="I953" t="s">
        <v>3688</v>
      </c>
      <c r="J953" t="s">
        <v>3694</v>
      </c>
      <c r="K953" t="s">
        <v>3698</v>
      </c>
      <c r="L953">
        <v>4</v>
      </c>
      <c r="M953">
        <v>4500</v>
      </c>
      <c r="N953" t="s">
        <v>3703</v>
      </c>
      <c r="O953" t="s">
        <v>3706</v>
      </c>
    </row>
    <row r="954" spans="1:15" x14ac:dyDescent="0.35">
      <c r="A954" t="s">
        <v>967</v>
      </c>
      <c r="B954" t="s">
        <v>1427</v>
      </c>
      <c r="C954" t="s">
        <v>2229</v>
      </c>
      <c r="D954" t="s">
        <v>3426</v>
      </c>
      <c r="E954" t="s">
        <v>3671</v>
      </c>
      <c r="F954">
        <v>58</v>
      </c>
      <c r="G954" t="s">
        <v>3676</v>
      </c>
      <c r="H954" t="s">
        <v>3682</v>
      </c>
      <c r="I954" t="s">
        <v>3689</v>
      </c>
      <c r="J954" t="s">
        <v>3694</v>
      </c>
      <c r="K954" t="s">
        <v>3699</v>
      </c>
      <c r="L954">
        <v>3</v>
      </c>
      <c r="M954">
        <v>1800</v>
      </c>
      <c r="N954" t="s">
        <v>3701</v>
      </c>
      <c r="O954" t="s">
        <v>3705</v>
      </c>
    </row>
    <row r="955" spans="1:15" x14ac:dyDescent="0.35">
      <c r="A955" t="s">
        <v>968</v>
      </c>
      <c r="B955" t="s">
        <v>1709</v>
      </c>
      <c r="C955" t="s">
        <v>2411</v>
      </c>
      <c r="D955" t="s">
        <v>3427</v>
      </c>
      <c r="E955" t="s">
        <v>3671</v>
      </c>
      <c r="F955">
        <v>53</v>
      </c>
      <c r="G955" t="s">
        <v>3674</v>
      </c>
      <c r="H955" t="s">
        <v>3680</v>
      </c>
      <c r="I955" t="s">
        <v>3689</v>
      </c>
      <c r="J955" t="s">
        <v>3694</v>
      </c>
      <c r="K955" t="s">
        <v>3699</v>
      </c>
      <c r="L955">
        <v>2</v>
      </c>
      <c r="M955">
        <v>1800</v>
      </c>
      <c r="N955" t="s">
        <v>3702</v>
      </c>
      <c r="O955" t="s">
        <v>3707</v>
      </c>
    </row>
    <row r="956" spans="1:15" x14ac:dyDescent="0.35">
      <c r="A956" t="s">
        <v>969</v>
      </c>
      <c r="B956" t="s">
        <v>1722</v>
      </c>
      <c r="C956" t="s">
        <v>2194</v>
      </c>
      <c r="D956" t="s">
        <v>3428</v>
      </c>
      <c r="E956" t="s">
        <v>3671</v>
      </c>
      <c r="F956">
        <v>51</v>
      </c>
      <c r="G956" t="s">
        <v>3675</v>
      </c>
      <c r="H956" t="s">
        <v>3681</v>
      </c>
      <c r="I956" t="s">
        <v>3688</v>
      </c>
      <c r="J956" t="s">
        <v>3694</v>
      </c>
      <c r="K956" t="s">
        <v>3698</v>
      </c>
      <c r="L956">
        <v>2</v>
      </c>
      <c r="M956">
        <v>4500</v>
      </c>
      <c r="N956" t="s">
        <v>3701</v>
      </c>
      <c r="O956" t="s">
        <v>3706</v>
      </c>
    </row>
    <row r="957" spans="1:15" x14ac:dyDescent="0.35">
      <c r="A957" t="s">
        <v>970</v>
      </c>
      <c r="B957" t="s">
        <v>1447</v>
      </c>
      <c r="C957" t="s">
        <v>2412</v>
      </c>
      <c r="D957" t="s">
        <v>3429</v>
      </c>
      <c r="E957" t="s">
        <v>3671</v>
      </c>
      <c r="F957">
        <v>45</v>
      </c>
      <c r="G957" t="s">
        <v>3675</v>
      </c>
      <c r="H957" t="s">
        <v>3681</v>
      </c>
      <c r="I957" t="s">
        <v>3688</v>
      </c>
      <c r="J957" t="s">
        <v>3694</v>
      </c>
      <c r="K957" t="s">
        <v>3698</v>
      </c>
      <c r="L957">
        <v>3</v>
      </c>
      <c r="M957">
        <v>4500</v>
      </c>
      <c r="N957" t="s">
        <v>3702</v>
      </c>
      <c r="O957" t="s">
        <v>3706</v>
      </c>
    </row>
    <row r="958" spans="1:15" x14ac:dyDescent="0.35">
      <c r="A958" t="s">
        <v>971</v>
      </c>
      <c r="B958" t="s">
        <v>1560</v>
      </c>
      <c r="C958" t="s">
        <v>1871</v>
      </c>
      <c r="D958" t="s">
        <v>3430</v>
      </c>
      <c r="E958" t="s">
        <v>3671</v>
      </c>
      <c r="F958">
        <v>40</v>
      </c>
      <c r="G958" t="s">
        <v>3679</v>
      </c>
      <c r="H958" t="s">
        <v>3684</v>
      </c>
      <c r="I958" t="s">
        <v>3691</v>
      </c>
      <c r="J958" t="s">
        <v>3693</v>
      </c>
      <c r="K958" t="s">
        <v>3696</v>
      </c>
      <c r="L958">
        <v>1</v>
      </c>
      <c r="M958">
        <v>58000</v>
      </c>
      <c r="N958" t="s">
        <v>3704</v>
      </c>
      <c r="O958" t="s">
        <v>3705</v>
      </c>
    </row>
    <row r="959" spans="1:15" x14ac:dyDescent="0.35">
      <c r="A959" t="s">
        <v>972</v>
      </c>
      <c r="B959" t="s">
        <v>1449</v>
      </c>
      <c r="C959" t="s">
        <v>2413</v>
      </c>
      <c r="D959" t="s">
        <v>3431</v>
      </c>
      <c r="E959" t="s">
        <v>3672</v>
      </c>
      <c r="F959">
        <v>45</v>
      </c>
      <c r="G959" t="s">
        <v>3673</v>
      </c>
      <c r="H959" t="s">
        <v>3673</v>
      </c>
      <c r="I959" t="s">
        <v>3691</v>
      </c>
      <c r="J959" t="s">
        <v>3693</v>
      </c>
      <c r="K959" t="s">
        <v>3696</v>
      </c>
      <c r="L959">
        <v>2</v>
      </c>
      <c r="M959">
        <v>58000</v>
      </c>
      <c r="N959" t="s">
        <v>3704</v>
      </c>
      <c r="O959" t="s">
        <v>3706</v>
      </c>
    </row>
    <row r="960" spans="1:15" x14ac:dyDescent="0.35">
      <c r="A960" t="s">
        <v>973</v>
      </c>
      <c r="B960" t="s">
        <v>1742</v>
      </c>
      <c r="C960" t="s">
        <v>1912</v>
      </c>
      <c r="D960" t="s">
        <v>3432</v>
      </c>
      <c r="E960" t="s">
        <v>3671</v>
      </c>
      <c r="F960">
        <v>47</v>
      </c>
      <c r="G960" t="s">
        <v>3674</v>
      </c>
      <c r="H960" t="s">
        <v>3680</v>
      </c>
      <c r="I960" t="s">
        <v>3690</v>
      </c>
      <c r="J960" t="s">
        <v>3693</v>
      </c>
      <c r="K960" t="s">
        <v>3700</v>
      </c>
      <c r="L960">
        <v>1</v>
      </c>
      <c r="M960">
        <v>72000</v>
      </c>
      <c r="N960" t="s">
        <v>3701</v>
      </c>
      <c r="O960" t="s">
        <v>3707</v>
      </c>
    </row>
    <row r="961" spans="1:15" x14ac:dyDescent="0.35">
      <c r="A961" t="s">
        <v>974</v>
      </c>
      <c r="B961" t="s">
        <v>1218</v>
      </c>
      <c r="C961" t="s">
        <v>2070</v>
      </c>
      <c r="D961" t="s">
        <v>3433</v>
      </c>
      <c r="E961" t="s">
        <v>3671</v>
      </c>
      <c r="F961">
        <v>54</v>
      </c>
      <c r="G961" t="s">
        <v>3679</v>
      </c>
      <c r="H961" t="s">
        <v>3684</v>
      </c>
      <c r="I961" t="s">
        <v>3688</v>
      </c>
      <c r="J961" t="s">
        <v>3694</v>
      </c>
      <c r="K961" t="s">
        <v>3698</v>
      </c>
      <c r="L961">
        <v>4</v>
      </c>
      <c r="M961">
        <v>4500</v>
      </c>
      <c r="N961" t="s">
        <v>3703</v>
      </c>
      <c r="O961" t="s">
        <v>3706</v>
      </c>
    </row>
    <row r="962" spans="1:15" x14ac:dyDescent="0.35">
      <c r="A962" t="s">
        <v>975</v>
      </c>
      <c r="B962" t="s">
        <v>1505</v>
      </c>
      <c r="C962" t="s">
        <v>2346</v>
      </c>
      <c r="D962" t="s">
        <v>3434</v>
      </c>
      <c r="E962" t="s">
        <v>3672</v>
      </c>
      <c r="F962">
        <v>18</v>
      </c>
      <c r="G962" t="s">
        <v>3676</v>
      </c>
      <c r="H962" t="s">
        <v>3682</v>
      </c>
      <c r="I962" t="s">
        <v>3691</v>
      </c>
      <c r="J962" t="s">
        <v>3693</v>
      </c>
      <c r="K962" t="s">
        <v>3696</v>
      </c>
      <c r="L962">
        <v>5</v>
      </c>
      <c r="M962">
        <v>58000</v>
      </c>
      <c r="N962" t="s">
        <v>3703</v>
      </c>
      <c r="O962" t="s">
        <v>3707</v>
      </c>
    </row>
    <row r="963" spans="1:15" x14ac:dyDescent="0.35">
      <c r="A963" t="s">
        <v>976</v>
      </c>
      <c r="B963" t="s">
        <v>1246</v>
      </c>
      <c r="C963" t="s">
        <v>2414</v>
      </c>
      <c r="D963" t="s">
        <v>3435</v>
      </c>
      <c r="E963" t="s">
        <v>3671</v>
      </c>
      <c r="F963">
        <v>46</v>
      </c>
      <c r="G963" t="s">
        <v>3679</v>
      </c>
      <c r="H963" t="s">
        <v>3684</v>
      </c>
      <c r="I963" t="s">
        <v>3686</v>
      </c>
      <c r="J963" t="s">
        <v>3693</v>
      </c>
      <c r="K963" t="s">
        <v>3696</v>
      </c>
      <c r="L963">
        <v>4</v>
      </c>
      <c r="M963">
        <v>65000</v>
      </c>
      <c r="N963" t="s">
        <v>3701</v>
      </c>
      <c r="O963" t="s">
        <v>3705</v>
      </c>
    </row>
    <row r="964" spans="1:15" x14ac:dyDescent="0.35">
      <c r="A964" t="s">
        <v>977</v>
      </c>
      <c r="B964" t="s">
        <v>1597</v>
      </c>
      <c r="C964" t="s">
        <v>1871</v>
      </c>
      <c r="D964" t="s">
        <v>3436</v>
      </c>
      <c r="E964" t="s">
        <v>3672</v>
      </c>
      <c r="F964">
        <v>46</v>
      </c>
      <c r="G964" t="s">
        <v>3675</v>
      </c>
      <c r="H964" t="s">
        <v>3681</v>
      </c>
      <c r="I964" t="s">
        <v>3689</v>
      </c>
      <c r="J964" t="s">
        <v>3694</v>
      </c>
      <c r="K964" t="s">
        <v>3699</v>
      </c>
      <c r="L964">
        <v>2</v>
      </c>
      <c r="M964">
        <v>1800</v>
      </c>
      <c r="N964" t="s">
        <v>3704</v>
      </c>
      <c r="O964" t="s">
        <v>3706</v>
      </c>
    </row>
    <row r="965" spans="1:15" x14ac:dyDescent="0.35">
      <c r="A965" t="s">
        <v>978</v>
      </c>
      <c r="B965" t="s">
        <v>1743</v>
      </c>
      <c r="C965" t="s">
        <v>2042</v>
      </c>
      <c r="D965" t="s">
        <v>3437</v>
      </c>
      <c r="E965" t="s">
        <v>3672</v>
      </c>
      <c r="F965">
        <v>57</v>
      </c>
      <c r="G965" t="s">
        <v>3675</v>
      </c>
      <c r="H965" t="s">
        <v>3681</v>
      </c>
      <c r="I965" t="s">
        <v>3687</v>
      </c>
      <c r="J965" t="s">
        <v>3693</v>
      </c>
      <c r="K965" t="s">
        <v>3697</v>
      </c>
      <c r="L965">
        <v>5</v>
      </c>
      <c r="M965">
        <v>5000</v>
      </c>
      <c r="N965" t="s">
        <v>3702</v>
      </c>
      <c r="O965" t="s">
        <v>3707</v>
      </c>
    </row>
    <row r="966" spans="1:15" x14ac:dyDescent="0.35">
      <c r="A966" t="s">
        <v>979</v>
      </c>
      <c r="B966" t="s">
        <v>1307</v>
      </c>
      <c r="C966" t="s">
        <v>2351</v>
      </c>
      <c r="D966" t="s">
        <v>3438</v>
      </c>
      <c r="E966" t="s">
        <v>3672</v>
      </c>
      <c r="F966">
        <v>29</v>
      </c>
      <c r="G966" t="s">
        <v>3673</v>
      </c>
      <c r="H966" t="s">
        <v>3673</v>
      </c>
      <c r="I966" t="s">
        <v>3686</v>
      </c>
      <c r="J966" t="s">
        <v>3693</v>
      </c>
      <c r="K966" t="s">
        <v>3696</v>
      </c>
      <c r="L966">
        <v>1</v>
      </c>
      <c r="M966">
        <v>65000</v>
      </c>
      <c r="N966" t="s">
        <v>3703</v>
      </c>
      <c r="O966" t="s">
        <v>3706</v>
      </c>
    </row>
    <row r="967" spans="1:15" x14ac:dyDescent="0.35">
      <c r="A967" t="s">
        <v>980</v>
      </c>
      <c r="B967" t="s">
        <v>1522</v>
      </c>
      <c r="C967" t="s">
        <v>2415</v>
      </c>
      <c r="D967" t="s">
        <v>3439</v>
      </c>
      <c r="E967" t="s">
        <v>3671</v>
      </c>
      <c r="F967">
        <v>43</v>
      </c>
      <c r="G967" t="s">
        <v>3674</v>
      </c>
      <c r="H967" t="s">
        <v>3680</v>
      </c>
      <c r="I967" t="s">
        <v>3685</v>
      </c>
      <c r="J967" t="s">
        <v>3692</v>
      </c>
      <c r="K967" t="s">
        <v>3695</v>
      </c>
      <c r="L967">
        <v>4</v>
      </c>
      <c r="M967">
        <v>12000</v>
      </c>
      <c r="N967" t="s">
        <v>3702</v>
      </c>
      <c r="O967" t="s">
        <v>3707</v>
      </c>
    </row>
    <row r="968" spans="1:15" x14ac:dyDescent="0.35">
      <c r="A968" t="s">
        <v>981</v>
      </c>
      <c r="B968" t="s">
        <v>1744</v>
      </c>
      <c r="C968" t="s">
        <v>2416</v>
      </c>
      <c r="D968" t="s">
        <v>3440</v>
      </c>
      <c r="E968" t="s">
        <v>3672</v>
      </c>
      <c r="F968">
        <v>56</v>
      </c>
      <c r="G968" t="s">
        <v>3678</v>
      </c>
      <c r="H968" t="s">
        <v>3683</v>
      </c>
      <c r="I968" t="s">
        <v>3686</v>
      </c>
      <c r="J968" t="s">
        <v>3693</v>
      </c>
      <c r="K968" t="s">
        <v>3696</v>
      </c>
      <c r="L968">
        <v>5</v>
      </c>
      <c r="M968">
        <v>65000</v>
      </c>
      <c r="N968" t="s">
        <v>3703</v>
      </c>
      <c r="O968" t="s">
        <v>3707</v>
      </c>
    </row>
    <row r="969" spans="1:15" x14ac:dyDescent="0.35">
      <c r="A969" t="s">
        <v>982</v>
      </c>
      <c r="B969" t="s">
        <v>1745</v>
      </c>
      <c r="C969" t="s">
        <v>1934</v>
      </c>
      <c r="D969" t="s">
        <v>3441</v>
      </c>
      <c r="E969" t="s">
        <v>3671</v>
      </c>
      <c r="F969">
        <v>31</v>
      </c>
      <c r="G969" t="s">
        <v>3674</v>
      </c>
      <c r="H969" t="s">
        <v>3680</v>
      </c>
      <c r="I969" t="s">
        <v>3688</v>
      </c>
      <c r="J969" t="s">
        <v>3694</v>
      </c>
      <c r="K969" t="s">
        <v>3698</v>
      </c>
      <c r="L969">
        <v>4</v>
      </c>
      <c r="M969">
        <v>4500</v>
      </c>
      <c r="N969" t="s">
        <v>3702</v>
      </c>
      <c r="O969" t="s">
        <v>3707</v>
      </c>
    </row>
    <row r="970" spans="1:15" x14ac:dyDescent="0.35">
      <c r="A970" t="s">
        <v>983</v>
      </c>
      <c r="B970" t="s">
        <v>1746</v>
      </c>
      <c r="C970" t="s">
        <v>1843</v>
      </c>
      <c r="D970" t="s">
        <v>3442</v>
      </c>
      <c r="E970" t="s">
        <v>3671</v>
      </c>
      <c r="F970">
        <v>52</v>
      </c>
      <c r="G970" t="s">
        <v>3678</v>
      </c>
      <c r="H970" t="s">
        <v>3683</v>
      </c>
      <c r="I970" t="s">
        <v>3688</v>
      </c>
      <c r="J970" t="s">
        <v>3694</v>
      </c>
      <c r="K970" t="s">
        <v>3698</v>
      </c>
      <c r="L970">
        <v>2</v>
      </c>
      <c r="M970">
        <v>4500</v>
      </c>
      <c r="N970" t="s">
        <v>3703</v>
      </c>
      <c r="O970" t="s">
        <v>3707</v>
      </c>
    </row>
    <row r="971" spans="1:15" x14ac:dyDescent="0.35">
      <c r="A971" t="s">
        <v>984</v>
      </c>
      <c r="B971" t="s">
        <v>1747</v>
      </c>
      <c r="C971" t="s">
        <v>2417</v>
      </c>
      <c r="D971" t="s">
        <v>3443</v>
      </c>
      <c r="E971" t="s">
        <v>3671</v>
      </c>
      <c r="F971">
        <v>32</v>
      </c>
      <c r="G971" t="s">
        <v>3676</v>
      </c>
      <c r="H971" t="s">
        <v>3682</v>
      </c>
      <c r="I971" t="s">
        <v>3687</v>
      </c>
      <c r="J971" t="s">
        <v>3693</v>
      </c>
      <c r="K971" t="s">
        <v>3697</v>
      </c>
      <c r="L971">
        <v>1</v>
      </c>
      <c r="M971">
        <v>5000</v>
      </c>
      <c r="N971" t="s">
        <v>3701</v>
      </c>
      <c r="O971" t="s">
        <v>3707</v>
      </c>
    </row>
    <row r="972" spans="1:15" x14ac:dyDescent="0.35">
      <c r="A972" t="s">
        <v>985</v>
      </c>
      <c r="B972" t="s">
        <v>1458</v>
      </c>
      <c r="C972" t="s">
        <v>1807</v>
      </c>
      <c r="D972" t="s">
        <v>3444</v>
      </c>
      <c r="E972" t="s">
        <v>3672</v>
      </c>
      <c r="F972">
        <v>54</v>
      </c>
      <c r="G972" t="s">
        <v>3679</v>
      </c>
      <c r="H972" t="s">
        <v>3684</v>
      </c>
      <c r="I972" t="s">
        <v>3689</v>
      </c>
      <c r="J972" t="s">
        <v>3694</v>
      </c>
      <c r="K972" t="s">
        <v>3699</v>
      </c>
      <c r="L972">
        <v>2</v>
      </c>
      <c r="M972">
        <v>1800</v>
      </c>
      <c r="N972" t="s">
        <v>3702</v>
      </c>
      <c r="O972" t="s">
        <v>3705</v>
      </c>
    </row>
    <row r="973" spans="1:15" x14ac:dyDescent="0.35">
      <c r="A973" t="s">
        <v>986</v>
      </c>
      <c r="B973" t="s">
        <v>1320</v>
      </c>
      <c r="C973" t="s">
        <v>2418</v>
      </c>
      <c r="D973" t="s">
        <v>3445</v>
      </c>
      <c r="E973" t="s">
        <v>3671</v>
      </c>
      <c r="F973">
        <v>29</v>
      </c>
      <c r="G973" t="s">
        <v>3676</v>
      </c>
      <c r="H973" t="s">
        <v>3682</v>
      </c>
      <c r="I973" t="s">
        <v>3691</v>
      </c>
      <c r="J973" t="s">
        <v>3693</v>
      </c>
      <c r="K973" t="s">
        <v>3696</v>
      </c>
      <c r="L973">
        <v>1</v>
      </c>
      <c r="M973">
        <v>58000</v>
      </c>
      <c r="N973" t="s">
        <v>3702</v>
      </c>
      <c r="O973" t="s">
        <v>3705</v>
      </c>
    </row>
    <row r="974" spans="1:15" x14ac:dyDescent="0.35">
      <c r="A974" t="s">
        <v>987</v>
      </c>
      <c r="B974" t="s">
        <v>1748</v>
      </c>
      <c r="C974" t="s">
        <v>2351</v>
      </c>
      <c r="D974" t="s">
        <v>3446</v>
      </c>
      <c r="E974" t="s">
        <v>3671</v>
      </c>
      <c r="F974">
        <v>39</v>
      </c>
      <c r="G974" t="s">
        <v>3676</v>
      </c>
      <c r="H974" t="s">
        <v>3682</v>
      </c>
      <c r="I974" t="s">
        <v>3691</v>
      </c>
      <c r="J974" t="s">
        <v>3693</v>
      </c>
      <c r="K974" t="s">
        <v>3696</v>
      </c>
      <c r="L974">
        <v>4</v>
      </c>
      <c r="M974">
        <v>58000</v>
      </c>
      <c r="N974" t="s">
        <v>3704</v>
      </c>
      <c r="O974" t="s">
        <v>3706</v>
      </c>
    </row>
    <row r="975" spans="1:15" x14ac:dyDescent="0.35">
      <c r="A975" t="s">
        <v>988</v>
      </c>
      <c r="B975" t="s">
        <v>1631</v>
      </c>
      <c r="C975" t="s">
        <v>2419</v>
      </c>
      <c r="D975" t="s">
        <v>3447</v>
      </c>
      <c r="E975" t="s">
        <v>3671</v>
      </c>
      <c r="F975">
        <v>54</v>
      </c>
      <c r="G975" t="s">
        <v>3677</v>
      </c>
      <c r="H975" t="s">
        <v>3680</v>
      </c>
      <c r="I975" t="s">
        <v>3685</v>
      </c>
      <c r="J975" t="s">
        <v>3692</v>
      </c>
      <c r="K975" t="s">
        <v>3695</v>
      </c>
      <c r="L975">
        <v>5</v>
      </c>
      <c r="M975">
        <v>12000</v>
      </c>
      <c r="N975" t="s">
        <v>3702</v>
      </c>
      <c r="O975" t="s">
        <v>3706</v>
      </c>
    </row>
    <row r="976" spans="1:15" x14ac:dyDescent="0.35">
      <c r="A976" t="s">
        <v>989</v>
      </c>
      <c r="B976" t="s">
        <v>1392</v>
      </c>
      <c r="C976" t="s">
        <v>2420</v>
      </c>
      <c r="D976" t="s">
        <v>3448</v>
      </c>
      <c r="E976" t="s">
        <v>3672</v>
      </c>
      <c r="F976">
        <v>33</v>
      </c>
      <c r="G976" t="s">
        <v>3678</v>
      </c>
      <c r="H976" t="s">
        <v>3683</v>
      </c>
      <c r="I976" t="s">
        <v>3687</v>
      </c>
      <c r="J976" t="s">
        <v>3693</v>
      </c>
      <c r="K976" t="s">
        <v>3697</v>
      </c>
      <c r="L976">
        <v>3</v>
      </c>
      <c r="M976">
        <v>5000</v>
      </c>
      <c r="N976" t="s">
        <v>3702</v>
      </c>
      <c r="O976" t="s">
        <v>3705</v>
      </c>
    </row>
    <row r="977" spans="1:15" x14ac:dyDescent="0.35">
      <c r="A977" t="s">
        <v>990</v>
      </c>
      <c r="B977" t="s">
        <v>1624</v>
      </c>
      <c r="C977" t="s">
        <v>2028</v>
      </c>
      <c r="D977" t="s">
        <v>3449</v>
      </c>
      <c r="E977" t="s">
        <v>3672</v>
      </c>
      <c r="F977">
        <v>50</v>
      </c>
      <c r="G977" t="s">
        <v>3679</v>
      </c>
      <c r="H977" t="s">
        <v>3684</v>
      </c>
      <c r="I977" t="s">
        <v>3686</v>
      </c>
      <c r="J977" t="s">
        <v>3693</v>
      </c>
      <c r="K977" t="s">
        <v>3696</v>
      </c>
      <c r="L977">
        <v>4</v>
      </c>
      <c r="M977">
        <v>65000</v>
      </c>
      <c r="N977" t="s">
        <v>3703</v>
      </c>
      <c r="O977" t="s">
        <v>3707</v>
      </c>
    </row>
    <row r="978" spans="1:15" x14ac:dyDescent="0.35">
      <c r="A978" t="s">
        <v>991</v>
      </c>
      <c r="B978" t="s">
        <v>1590</v>
      </c>
      <c r="C978" t="s">
        <v>2215</v>
      </c>
      <c r="D978" t="s">
        <v>3450</v>
      </c>
      <c r="E978" t="s">
        <v>3672</v>
      </c>
      <c r="F978">
        <v>57</v>
      </c>
      <c r="G978" t="s">
        <v>3673</v>
      </c>
      <c r="H978" t="s">
        <v>3673</v>
      </c>
      <c r="I978" t="s">
        <v>3691</v>
      </c>
      <c r="J978" t="s">
        <v>3693</v>
      </c>
      <c r="K978" t="s">
        <v>3696</v>
      </c>
      <c r="L978">
        <v>5</v>
      </c>
      <c r="M978">
        <v>58000</v>
      </c>
      <c r="N978" t="s">
        <v>3704</v>
      </c>
      <c r="O978" t="s">
        <v>3707</v>
      </c>
    </row>
    <row r="979" spans="1:15" x14ac:dyDescent="0.35">
      <c r="A979" t="s">
        <v>992</v>
      </c>
      <c r="B979" t="s">
        <v>1222</v>
      </c>
      <c r="C979" t="s">
        <v>1970</v>
      </c>
      <c r="D979" t="s">
        <v>3451</v>
      </c>
      <c r="E979" t="s">
        <v>3671</v>
      </c>
      <c r="F979">
        <v>57</v>
      </c>
      <c r="G979" t="s">
        <v>3677</v>
      </c>
      <c r="H979" t="s">
        <v>3680</v>
      </c>
      <c r="I979" t="s">
        <v>3690</v>
      </c>
      <c r="J979" t="s">
        <v>3693</v>
      </c>
      <c r="K979" t="s">
        <v>3700</v>
      </c>
      <c r="L979">
        <v>1</v>
      </c>
      <c r="M979">
        <v>72000</v>
      </c>
      <c r="N979" t="s">
        <v>3701</v>
      </c>
      <c r="O979" t="s">
        <v>3706</v>
      </c>
    </row>
    <row r="980" spans="1:15" x14ac:dyDescent="0.35">
      <c r="A980" t="s">
        <v>993</v>
      </c>
      <c r="B980" t="s">
        <v>1681</v>
      </c>
      <c r="C980" t="s">
        <v>2229</v>
      </c>
      <c r="D980" t="s">
        <v>3452</v>
      </c>
      <c r="E980" t="s">
        <v>3671</v>
      </c>
      <c r="F980">
        <v>35</v>
      </c>
      <c r="G980" t="s">
        <v>3677</v>
      </c>
      <c r="H980" t="s">
        <v>3680</v>
      </c>
      <c r="I980" t="s">
        <v>3691</v>
      </c>
      <c r="J980" t="s">
        <v>3693</v>
      </c>
      <c r="K980" t="s">
        <v>3696</v>
      </c>
      <c r="L980">
        <v>4</v>
      </c>
      <c r="M980">
        <v>58000</v>
      </c>
      <c r="N980" t="s">
        <v>3701</v>
      </c>
      <c r="O980" t="s">
        <v>3707</v>
      </c>
    </row>
    <row r="981" spans="1:15" x14ac:dyDescent="0.35">
      <c r="A981" t="s">
        <v>994</v>
      </c>
      <c r="B981" t="s">
        <v>1396</v>
      </c>
      <c r="C981" t="s">
        <v>2421</v>
      </c>
      <c r="D981" t="s">
        <v>3453</v>
      </c>
      <c r="E981" t="s">
        <v>3672</v>
      </c>
      <c r="F981">
        <v>59</v>
      </c>
      <c r="G981" t="s">
        <v>3678</v>
      </c>
      <c r="H981" t="s">
        <v>3683</v>
      </c>
      <c r="I981" t="s">
        <v>3685</v>
      </c>
      <c r="J981" t="s">
        <v>3692</v>
      </c>
      <c r="K981" t="s">
        <v>3695</v>
      </c>
      <c r="L981">
        <v>1</v>
      </c>
      <c r="M981">
        <v>12000</v>
      </c>
      <c r="N981" t="s">
        <v>3704</v>
      </c>
      <c r="O981" t="s">
        <v>3706</v>
      </c>
    </row>
    <row r="982" spans="1:15" x14ac:dyDescent="0.35">
      <c r="A982" t="s">
        <v>995</v>
      </c>
      <c r="B982" t="s">
        <v>1713</v>
      </c>
      <c r="C982" t="s">
        <v>2422</v>
      </c>
      <c r="D982" t="s">
        <v>3454</v>
      </c>
      <c r="E982" t="s">
        <v>3672</v>
      </c>
      <c r="F982">
        <v>41</v>
      </c>
      <c r="G982" t="s">
        <v>3676</v>
      </c>
      <c r="H982" t="s">
        <v>3682</v>
      </c>
      <c r="I982" t="s">
        <v>3689</v>
      </c>
      <c r="J982" t="s">
        <v>3694</v>
      </c>
      <c r="K982" t="s">
        <v>3699</v>
      </c>
      <c r="L982">
        <v>2</v>
      </c>
      <c r="M982">
        <v>1800</v>
      </c>
      <c r="N982" t="s">
        <v>3702</v>
      </c>
      <c r="O982" t="s">
        <v>3706</v>
      </c>
    </row>
    <row r="983" spans="1:15" x14ac:dyDescent="0.35">
      <c r="A983" t="s">
        <v>996</v>
      </c>
      <c r="B983" t="s">
        <v>1454</v>
      </c>
      <c r="C983" t="s">
        <v>2423</v>
      </c>
      <c r="D983" t="s">
        <v>3455</v>
      </c>
      <c r="E983" t="s">
        <v>3672</v>
      </c>
      <c r="F983">
        <v>23</v>
      </c>
      <c r="G983" t="s">
        <v>3676</v>
      </c>
      <c r="H983" t="s">
        <v>3682</v>
      </c>
      <c r="I983" t="s">
        <v>3691</v>
      </c>
      <c r="J983" t="s">
        <v>3693</v>
      </c>
      <c r="K983" t="s">
        <v>3696</v>
      </c>
      <c r="L983">
        <v>1</v>
      </c>
      <c r="M983">
        <v>58000</v>
      </c>
      <c r="N983" t="s">
        <v>3701</v>
      </c>
      <c r="O983" t="s">
        <v>3705</v>
      </c>
    </row>
    <row r="984" spans="1:15" x14ac:dyDescent="0.35">
      <c r="A984" t="s">
        <v>997</v>
      </c>
      <c r="B984" t="s">
        <v>1249</v>
      </c>
      <c r="C984" t="s">
        <v>2424</v>
      </c>
      <c r="D984" t="s">
        <v>3456</v>
      </c>
      <c r="E984" t="s">
        <v>3672</v>
      </c>
      <c r="F984">
        <v>37</v>
      </c>
      <c r="G984" t="s">
        <v>3679</v>
      </c>
      <c r="H984" t="s">
        <v>3684</v>
      </c>
      <c r="I984" t="s">
        <v>3687</v>
      </c>
      <c r="J984" t="s">
        <v>3693</v>
      </c>
      <c r="K984" t="s">
        <v>3697</v>
      </c>
      <c r="L984">
        <v>3</v>
      </c>
      <c r="M984">
        <v>5000</v>
      </c>
      <c r="N984" t="s">
        <v>3701</v>
      </c>
      <c r="O984" t="s">
        <v>3706</v>
      </c>
    </row>
    <row r="985" spans="1:15" x14ac:dyDescent="0.35">
      <c r="A985" t="s">
        <v>998</v>
      </c>
      <c r="B985" t="s">
        <v>1495</v>
      </c>
      <c r="C985" t="s">
        <v>2228</v>
      </c>
      <c r="D985" t="s">
        <v>3457</v>
      </c>
      <c r="E985" t="s">
        <v>3671</v>
      </c>
      <c r="F985">
        <v>60</v>
      </c>
      <c r="G985" t="s">
        <v>3675</v>
      </c>
      <c r="H985" t="s">
        <v>3681</v>
      </c>
      <c r="I985" t="s">
        <v>3685</v>
      </c>
      <c r="J985" t="s">
        <v>3692</v>
      </c>
      <c r="K985" t="s">
        <v>3695</v>
      </c>
      <c r="L985">
        <v>3</v>
      </c>
      <c r="M985">
        <v>12000</v>
      </c>
      <c r="N985" t="s">
        <v>3701</v>
      </c>
      <c r="O985" t="s">
        <v>3706</v>
      </c>
    </row>
    <row r="986" spans="1:15" x14ac:dyDescent="0.35">
      <c r="A986" t="s">
        <v>999</v>
      </c>
      <c r="B986" t="s">
        <v>1705</v>
      </c>
      <c r="C986" t="s">
        <v>2314</v>
      </c>
      <c r="D986" t="s">
        <v>3458</v>
      </c>
      <c r="E986" t="s">
        <v>3671</v>
      </c>
      <c r="F986">
        <v>31</v>
      </c>
      <c r="G986" t="s">
        <v>3673</v>
      </c>
      <c r="H986" t="s">
        <v>3673</v>
      </c>
      <c r="I986" t="s">
        <v>3687</v>
      </c>
      <c r="J986" t="s">
        <v>3693</v>
      </c>
      <c r="K986" t="s">
        <v>3697</v>
      </c>
      <c r="L986">
        <v>1</v>
      </c>
      <c r="M986">
        <v>5000</v>
      </c>
      <c r="N986" t="s">
        <v>3704</v>
      </c>
      <c r="O986" t="s">
        <v>3706</v>
      </c>
    </row>
    <row r="987" spans="1:15" x14ac:dyDescent="0.35">
      <c r="A987" t="s">
        <v>1000</v>
      </c>
      <c r="B987" t="s">
        <v>1350</v>
      </c>
      <c r="C987" t="s">
        <v>2425</v>
      </c>
      <c r="D987" t="s">
        <v>3459</v>
      </c>
      <c r="E987" t="s">
        <v>3672</v>
      </c>
      <c r="F987">
        <v>38</v>
      </c>
      <c r="G987" t="s">
        <v>3676</v>
      </c>
      <c r="H987" t="s">
        <v>3682</v>
      </c>
      <c r="I987" t="s">
        <v>3687</v>
      </c>
      <c r="J987" t="s">
        <v>3693</v>
      </c>
      <c r="K987" t="s">
        <v>3697</v>
      </c>
      <c r="L987">
        <v>1</v>
      </c>
      <c r="M987">
        <v>5000</v>
      </c>
      <c r="N987" t="s">
        <v>3702</v>
      </c>
      <c r="O987" t="s">
        <v>3706</v>
      </c>
    </row>
    <row r="988" spans="1:15" x14ac:dyDescent="0.35">
      <c r="A988" t="s">
        <v>1001</v>
      </c>
      <c r="B988" t="s">
        <v>1742</v>
      </c>
      <c r="C988" t="s">
        <v>2418</v>
      </c>
      <c r="D988" t="s">
        <v>3460</v>
      </c>
      <c r="E988" t="s">
        <v>3671</v>
      </c>
      <c r="F988">
        <v>30</v>
      </c>
      <c r="G988" t="s">
        <v>3676</v>
      </c>
      <c r="H988" t="s">
        <v>3682</v>
      </c>
      <c r="I988" t="s">
        <v>3685</v>
      </c>
      <c r="J988" t="s">
        <v>3692</v>
      </c>
      <c r="K988" t="s">
        <v>3695</v>
      </c>
      <c r="L988">
        <v>5</v>
      </c>
      <c r="M988">
        <v>12000</v>
      </c>
      <c r="N988" t="s">
        <v>3703</v>
      </c>
      <c r="O988" t="s">
        <v>3707</v>
      </c>
    </row>
    <row r="989" spans="1:15" x14ac:dyDescent="0.35">
      <c r="A989" t="s">
        <v>1002</v>
      </c>
      <c r="B989" t="s">
        <v>1522</v>
      </c>
      <c r="C989" t="s">
        <v>1857</v>
      </c>
      <c r="D989" t="s">
        <v>3461</v>
      </c>
      <c r="E989" t="s">
        <v>3672</v>
      </c>
      <c r="F989">
        <v>57</v>
      </c>
      <c r="G989" t="s">
        <v>3676</v>
      </c>
      <c r="H989" t="s">
        <v>3682</v>
      </c>
      <c r="I989" t="s">
        <v>3689</v>
      </c>
      <c r="J989" t="s">
        <v>3694</v>
      </c>
      <c r="K989" t="s">
        <v>3699</v>
      </c>
      <c r="L989">
        <v>4</v>
      </c>
      <c r="M989">
        <v>1800</v>
      </c>
      <c r="N989" t="s">
        <v>3701</v>
      </c>
      <c r="O989" t="s">
        <v>3706</v>
      </c>
    </row>
    <row r="990" spans="1:15" x14ac:dyDescent="0.35">
      <c r="A990" t="s">
        <v>1003</v>
      </c>
      <c r="B990" t="s">
        <v>1416</v>
      </c>
      <c r="C990" t="s">
        <v>1992</v>
      </c>
      <c r="D990" t="s">
        <v>3462</v>
      </c>
      <c r="E990" t="s">
        <v>3672</v>
      </c>
      <c r="F990">
        <v>44</v>
      </c>
      <c r="G990" t="s">
        <v>3677</v>
      </c>
      <c r="H990" t="s">
        <v>3680</v>
      </c>
      <c r="I990" t="s">
        <v>3685</v>
      </c>
      <c r="J990" t="s">
        <v>3692</v>
      </c>
      <c r="K990" t="s">
        <v>3695</v>
      </c>
      <c r="L990">
        <v>3</v>
      </c>
      <c r="M990">
        <v>12000</v>
      </c>
      <c r="N990" t="s">
        <v>3704</v>
      </c>
      <c r="O990" t="s">
        <v>3706</v>
      </c>
    </row>
    <row r="991" spans="1:15" x14ac:dyDescent="0.35">
      <c r="A991" t="s">
        <v>1004</v>
      </c>
      <c r="B991" t="s">
        <v>1277</v>
      </c>
      <c r="C991" t="s">
        <v>2426</v>
      </c>
      <c r="D991" t="s">
        <v>3463</v>
      </c>
      <c r="E991" t="s">
        <v>3672</v>
      </c>
      <c r="F991">
        <v>34</v>
      </c>
      <c r="G991" t="s">
        <v>3676</v>
      </c>
      <c r="H991" t="s">
        <v>3682</v>
      </c>
      <c r="I991" t="s">
        <v>3691</v>
      </c>
      <c r="J991" t="s">
        <v>3693</v>
      </c>
      <c r="K991" t="s">
        <v>3696</v>
      </c>
      <c r="L991">
        <v>2</v>
      </c>
      <c r="M991">
        <v>58000</v>
      </c>
      <c r="N991" t="s">
        <v>3701</v>
      </c>
      <c r="O991" t="s">
        <v>3705</v>
      </c>
    </row>
    <row r="992" spans="1:15" x14ac:dyDescent="0.35">
      <c r="A992" t="s">
        <v>1005</v>
      </c>
      <c r="B992" t="s">
        <v>1749</v>
      </c>
      <c r="C992" t="s">
        <v>2427</v>
      </c>
      <c r="D992" t="s">
        <v>3464</v>
      </c>
      <c r="E992" t="s">
        <v>3671</v>
      </c>
      <c r="F992">
        <v>59</v>
      </c>
      <c r="G992" t="s">
        <v>3673</v>
      </c>
      <c r="H992" t="s">
        <v>3673</v>
      </c>
      <c r="I992" t="s">
        <v>3685</v>
      </c>
      <c r="J992" t="s">
        <v>3692</v>
      </c>
      <c r="K992" t="s">
        <v>3695</v>
      </c>
      <c r="L992">
        <v>2</v>
      </c>
      <c r="M992">
        <v>12000</v>
      </c>
      <c r="N992" t="s">
        <v>3704</v>
      </c>
      <c r="O992" t="s">
        <v>3707</v>
      </c>
    </row>
    <row r="993" spans="1:15" x14ac:dyDescent="0.35">
      <c r="A993" t="s">
        <v>1006</v>
      </c>
      <c r="B993" t="s">
        <v>1750</v>
      </c>
      <c r="C993" t="s">
        <v>2163</v>
      </c>
      <c r="D993" t="s">
        <v>3465</v>
      </c>
      <c r="E993" t="s">
        <v>3671</v>
      </c>
      <c r="F993">
        <v>28</v>
      </c>
      <c r="G993" t="s">
        <v>3676</v>
      </c>
      <c r="H993" t="s">
        <v>3682</v>
      </c>
      <c r="I993" t="s">
        <v>3688</v>
      </c>
      <c r="J993" t="s">
        <v>3694</v>
      </c>
      <c r="K993" t="s">
        <v>3698</v>
      </c>
      <c r="L993">
        <v>4</v>
      </c>
      <c r="M993">
        <v>4500</v>
      </c>
      <c r="N993" t="s">
        <v>3704</v>
      </c>
      <c r="O993" t="s">
        <v>3706</v>
      </c>
    </row>
    <row r="994" spans="1:15" x14ac:dyDescent="0.35">
      <c r="A994" t="s">
        <v>1007</v>
      </c>
      <c r="B994" t="s">
        <v>1551</v>
      </c>
      <c r="C994" t="s">
        <v>2154</v>
      </c>
      <c r="D994" t="s">
        <v>3466</v>
      </c>
      <c r="E994" t="s">
        <v>3671</v>
      </c>
      <c r="F994">
        <v>47</v>
      </c>
      <c r="G994" t="s">
        <v>3674</v>
      </c>
      <c r="H994" t="s">
        <v>3680</v>
      </c>
      <c r="I994" t="s">
        <v>3688</v>
      </c>
      <c r="J994" t="s">
        <v>3694</v>
      </c>
      <c r="K994" t="s">
        <v>3698</v>
      </c>
      <c r="L994">
        <v>4</v>
      </c>
      <c r="M994">
        <v>4500</v>
      </c>
      <c r="N994" t="s">
        <v>3703</v>
      </c>
      <c r="O994" t="s">
        <v>3707</v>
      </c>
    </row>
    <row r="995" spans="1:15" x14ac:dyDescent="0.35">
      <c r="A995" t="s">
        <v>1008</v>
      </c>
      <c r="B995" t="s">
        <v>1657</v>
      </c>
      <c r="C995" t="s">
        <v>2428</v>
      </c>
      <c r="D995" t="s">
        <v>3467</v>
      </c>
      <c r="E995" t="s">
        <v>3672</v>
      </c>
      <c r="F995">
        <v>55</v>
      </c>
      <c r="G995" t="s">
        <v>3677</v>
      </c>
      <c r="H995" t="s">
        <v>3680</v>
      </c>
      <c r="I995" t="s">
        <v>3691</v>
      </c>
      <c r="J995" t="s">
        <v>3693</v>
      </c>
      <c r="K995" t="s">
        <v>3696</v>
      </c>
      <c r="L995">
        <v>2</v>
      </c>
      <c r="M995">
        <v>58000</v>
      </c>
      <c r="N995" t="s">
        <v>3702</v>
      </c>
      <c r="O995" t="s">
        <v>3705</v>
      </c>
    </row>
    <row r="996" spans="1:15" x14ac:dyDescent="0.35">
      <c r="A996" t="s">
        <v>1009</v>
      </c>
      <c r="B996" t="s">
        <v>1226</v>
      </c>
      <c r="C996" t="s">
        <v>2049</v>
      </c>
      <c r="D996" t="s">
        <v>3468</v>
      </c>
      <c r="E996" t="s">
        <v>3671</v>
      </c>
      <c r="F996">
        <v>56</v>
      </c>
      <c r="G996" t="s">
        <v>3674</v>
      </c>
      <c r="H996" t="s">
        <v>3680</v>
      </c>
      <c r="I996" t="s">
        <v>3690</v>
      </c>
      <c r="J996" t="s">
        <v>3693</v>
      </c>
      <c r="K996" t="s">
        <v>3700</v>
      </c>
      <c r="L996">
        <v>4</v>
      </c>
      <c r="M996">
        <v>72000</v>
      </c>
      <c r="N996" t="s">
        <v>3703</v>
      </c>
      <c r="O996" t="s">
        <v>3705</v>
      </c>
    </row>
    <row r="997" spans="1:15" x14ac:dyDescent="0.35">
      <c r="A997" t="s">
        <v>1010</v>
      </c>
      <c r="B997" t="s">
        <v>1751</v>
      </c>
      <c r="C997" t="s">
        <v>2429</v>
      </c>
      <c r="D997" t="s">
        <v>3469</v>
      </c>
      <c r="E997" t="s">
        <v>3671</v>
      </c>
      <c r="F997">
        <v>41</v>
      </c>
      <c r="G997" t="s">
        <v>3676</v>
      </c>
      <c r="H997" t="s">
        <v>3682</v>
      </c>
      <c r="I997" t="s">
        <v>3686</v>
      </c>
      <c r="J997" t="s">
        <v>3693</v>
      </c>
      <c r="K997" t="s">
        <v>3696</v>
      </c>
      <c r="L997">
        <v>1</v>
      </c>
      <c r="M997">
        <v>65000</v>
      </c>
      <c r="N997" t="s">
        <v>3704</v>
      </c>
      <c r="O997" t="s">
        <v>3705</v>
      </c>
    </row>
    <row r="998" spans="1:15" x14ac:dyDescent="0.35">
      <c r="A998" t="s">
        <v>1011</v>
      </c>
      <c r="B998" t="s">
        <v>1614</v>
      </c>
      <c r="C998" t="s">
        <v>2123</v>
      </c>
      <c r="D998" t="s">
        <v>3470</v>
      </c>
      <c r="E998" t="s">
        <v>3671</v>
      </c>
      <c r="F998">
        <v>24</v>
      </c>
      <c r="G998" t="s">
        <v>3679</v>
      </c>
      <c r="H998" t="s">
        <v>3684</v>
      </c>
      <c r="I998" t="s">
        <v>3687</v>
      </c>
      <c r="J998" t="s">
        <v>3693</v>
      </c>
      <c r="K998" t="s">
        <v>3697</v>
      </c>
      <c r="L998">
        <v>3</v>
      </c>
      <c r="M998">
        <v>5000</v>
      </c>
      <c r="N998" t="s">
        <v>3701</v>
      </c>
      <c r="O998" t="s">
        <v>3706</v>
      </c>
    </row>
    <row r="999" spans="1:15" x14ac:dyDescent="0.35">
      <c r="A999" t="s">
        <v>1012</v>
      </c>
      <c r="B999" t="s">
        <v>1322</v>
      </c>
      <c r="C999" t="s">
        <v>2430</v>
      </c>
      <c r="D999" t="s">
        <v>3471</v>
      </c>
      <c r="E999" t="s">
        <v>3671</v>
      </c>
      <c r="F999">
        <v>35</v>
      </c>
      <c r="G999" t="s">
        <v>3677</v>
      </c>
      <c r="H999" t="s">
        <v>3680</v>
      </c>
      <c r="I999" t="s">
        <v>3688</v>
      </c>
      <c r="J999" t="s">
        <v>3694</v>
      </c>
      <c r="K999" t="s">
        <v>3698</v>
      </c>
      <c r="L999">
        <v>3</v>
      </c>
      <c r="M999">
        <v>4500</v>
      </c>
      <c r="N999" t="s">
        <v>3702</v>
      </c>
      <c r="O999" t="s">
        <v>3707</v>
      </c>
    </row>
    <row r="1000" spans="1:15" x14ac:dyDescent="0.35">
      <c r="A1000" t="s">
        <v>1013</v>
      </c>
      <c r="B1000" t="s">
        <v>1698</v>
      </c>
      <c r="C1000" t="s">
        <v>1981</v>
      </c>
      <c r="D1000" t="s">
        <v>3472</v>
      </c>
      <c r="E1000" t="s">
        <v>3671</v>
      </c>
      <c r="F1000">
        <v>30</v>
      </c>
      <c r="G1000" t="s">
        <v>3678</v>
      </c>
      <c r="H1000" t="s">
        <v>3683</v>
      </c>
      <c r="I1000" t="s">
        <v>3690</v>
      </c>
      <c r="J1000" t="s">
        <v>3693</v>
      </c>
      <c r="K1000" t="s">
        <v>3700</v>
      </c>
      <c r="L1000">
        <v>4</v>
      </c>
      <c r="M1000">
        <v>72000</v>
      </c>
      <c r="N1000" t="s">
        <v>3701</v>
      </c>
      <c r="O1000" t="s">
        <v>3707</v>
      </c>
    </row>
    <row r="1001" spans="1:15" x14ac:dyDescent="0.35">
      <c r="A1001" t="s">
        <v>1014</v>
      </c>
      <c r="B1001" t="s">
        <v>1744</v>
      </c>
      <c r="C1001" t="s">
        <v>2286</v>
      </c>
      <c r="D1001" t="s">
        <v>3473</v>
      </c>
      <c r="E1001" t="s">
        <v>3671</v>
      </c>
      <c r="F1001">
        <v>54</v>
      </c>
      <c r="G1001" t="s">
        <v>3675</v>
      </c>
      <c r="H1001" t="s">
        <v>3681</v>
      </c>
      <c r="I1001" t="s">
        <v>3691</v>
      </c>
      <c r="J1001" t="s">
        <v>3693</v>
      </c>
      <c r="K1001" t="s">
        <v>3696</v>
      </c>
      <c r="L1001">
        <v>3</v>
      </c>
      <c r="M1001">
        <v>58000</v>
      </c>
      <c r="N1001" t="s">
        <v>3704</v>
      </c>
      <c r="O1001" t="s">
        <v>3707</v>
      </c>
    </row>
    <row r="1002" spans="1:15" x14ac:dyDescent="0.35">
      <c r="A1002" t="s">
        <v>1015</v>
      </c>
      <c r="B1002" t="s">
        <v>1497</v>
      </c>
      <c r="C1002" t="s">
        <v>2431</v>
      </c>
      <c r="D1002" t="s">
        <v>3474</v>
      </c>
      <c r="E1002" t="s">
        <v>3672</v>
      </c>
      <c r="F1002">
        <v>33</v>
      </c>
      <c r="G1002" t="s">
        <v>3674</v>
      </c>
      <c r="H1002" t="s">
        <v>3680</v>
      </c>
      <c r="I1002" t="s">
        <v>3686</v>
      </c>
      <c r="J1002" t="s">
        <v>3693</v>
      </c>
      <c r="K1002" t="s">
        <v>3696</v>
      </c>
      <c r="L1002">
        <v>4</v>
      </c>
      <c r="M1002">
        <v>65000</v>
      </c>
      <c r="N1002" t="s">
        <v>3701</v>
      </c>
      <c r="O1002" t="s">
        <v>3706</v>
      </c>
    </row>
    <row r="1003" spans="1:15" x14ac:dyDescent="0.35">
      <c r="A1003" t="s">
        <v>1016</v>
      </c>
      <c r="B1003" t="s">
        <v>1577</v>
      </c>
      <c r="C1003" t="s">
        <v>2071</v>
      </c>
      <c r="D1003" t="s">
        <v>3475</v>
      </c>
      <c r="E1003" t="s">
        <v>3672</v>
      </c>
      <c r="F1003">
        <v>37</v>
      </c>
      <c r="G1003" t="s">
        <v>3677</v>
      </c>
      <c r="H1003" t="s">
        <v>3680</v>
      </c>
      <c r="I1003" t="s">
        <v>3691</v>
      </c>
      <c r="J1003" t="s">
        <v>3693</v>
      </c>
      <c r="K1003" t="s">
        <v>3696</v>
      </c>
      <c r="L1003">
        <v>3</v>
      </c>
      <c r="M1003">
        <v>58000</v>
      </c>
      <c r="N1003" t="s">
        <v>3704</v>
      </c>
      <c r="O1003" t="s">
        <v>3705</v>
      </c>
    </row>
    <row r="1004" spans="1:15" x14ac:dyDescent="0.35">
      <c r="A1004" t="s">
        <v>1017</v>
      </c>
      <c r="B1004" t="s">
        <v>1516</v>
      </c>
      <c r="C1004" t="s">
        <v>2045</v>
      </c>
      <c r="D1004" t="s">
        <v>3476</v>
      </c>
      <c r="E1004" t="s">
        <v>3672</v>
      </c>
      <c r="F1004">
        <v>50</v>
      </c>
      <c r="G1004" t="s">
        <v>3678</v>
      </c>
      <c r="H1004" t="s">
        <v>3683</v>
      </c>
      <c r="I1004" t="s">
        <v>3690</v>
      </c>
      <c r="J1004" t="s">
        <v>3693</v>
      </c>
      <c r="K1004" t="s">
        <v>3700</v>
      </c>
      <c r="L1004">
        <v>4</v>
      </c>
      <c r="M1004">
        <v>72000</v>
      </c>
      <c r="N1004" t="s">
        <v>3703</v>
      </c>
      <c r="O1004" t="s">
        <v>3707</v>
      </c>
    </row>
    <row r="1005" spans="1:15" x14ac:dyDescent="0.35">
      <c r="A1005" t="s">
        <v>1018</v>
      </c>
      <c r="B1005" t="s">
        <v>1546</v>
      </c>
      <c r="C1005" t="s">
        <v>2337</v>
      </c>
      <c r="D1005" t="s">
        <v>3477</v>
      </c>
      <c r="E1005" t="s">
        <v>3672</v>
      </c>
      <c r="F1005">
        <v>21</v>
      </c>
      <c r="G1005" t="s">
        <v>3673</v>
      </c>
      <c r="H1005" t="s">
        <v>3673</v>
      </c>
      <c r="I1005" t="s">
        <v>3687</v>
      </c>
      <c r="J1005" t="s">
        <v>3693</v>
      </c>
      <c r="K1005" t="s">
        <v>3697</v>
      </c>
      <c r="L1005">
        <v>2</v>
      </c>
      <c r="M1005">
        <v>5000</v>
      </c>
      <c r="N1005" t="s">
        <v>3701</v>
      </c>
      <c r="O1005" t="s">
        <v>3705</v>
      </c>
    </row>
    <row r="1006" spans="1:15" x14ac:dyDescent="0.35">
      <c r="A1006" t="s">
        <v>1019</v>
      </c>
      <c r="B1006" t="s">
        <v>1341</v>
      </c>
      <c r="C1006" t="s">
        <v>2432</v>
      </c>
      <c r="D1006" t="s">
        <v>3478</v>
      </c>
      <c r="E1006" t="s">
        <v>3671</v>
      </c>
      <c r="F1006">
        <v>58</v>
      </c>
      <c r="G1006" t="s">
        <v>3677</v>
      </c>
      <c r="H1006" t="s">
        <v>3680</v>
      </c>
      <c r="I1006" t="s">
        <v>3689</v>
      </c>
      <c r="J1006" t="s">
        <v>3694</v>
      </c>
      <c r="K1006" t="s">
        <v>3699</v>
      </c>
      <c r="L1006">
        <v>5</v>
      </c>
      <c r="M1006">
        <v>1800</v>
      </c>
      <c r="N1006" t="s">
        <v>3701</v>
      </c>
      <c r="O1006" t="s">
        <v>3706</v>
      </c>
    </row>
    <row r="1007" spans="1:15" x14ac:dyDescent="0.35">
      <c r="A1007" t="s">
        <v>1020</v>
      </c>
      <c r="B1007" t="s">
        <v>1734</v>
      </c>
      <c r="C1007" t="s">
        <v>2384</v>
      </c>
      <c r="D1007" t="s">
        <v>3479</v>
      </c>
      <c r="E1007" t="s">
        <v>3671</v>
      </c>
      <c r="F1007">
        <v>26</v>
      </c>
      <c r="G1007" t="s">
        <v>3674</v>
      </c>
      <c r="H1007" t="s">
        <v>3680</v>
      </c>
      <c r="I1007" t="s">
        <v>3688</v>
      </c>
      <c r="J1007" t="s">
        <v>3694</v>
      </c>
      <c r="K1007" t="s">
        <v>3698</v>
      </c>
      <c r="L1007">
        <v>3</v>
      </c>
      <c r="M1007">
        <v>4500</v>
      </c>
      <c r="N1007" t="s">
        <v>3702</v>
      </c>
      <c r="O1007" t="s">
        <v>3706</v>
      </c>
    </row>
    <row r="1008" spans="1:15" x14ac:dyDescent="0.35">
      <c r="A1008" t="s">
        <v>1021</v>
      </c>
      <c r="B1008" t="s">
        <v>1603</v>
      </c>
      <c r="C1008" t="s">
        <v>2433</v>
      </c>
      <c r="D1008" t="s">
        <v>3480</v>
      </c>
      <c r="E1008" t="s">
        <v>3672</v>
      </c>
      <c r="F1008">
        <v>49</v>
      </c>
      <c r="G1008" t="s">
        <v>3674</v>
      </c>
      <c r="H1008" t="s">
        <v>3680</v>
      </c>
      <c r="I1008" t="s">
        <v>3690</v>
      </c>
      <c r="J1008" t="s">
        <v>3693</v>
      </c>
      <c r="K1008" t="s">
        <v>3700</v>
      </c>
      <c r="L1008">
        <v>3</v>
      </c>
      <c r="M1008">
        <v>72000</v>
      </c>
      <c r="N1008" t="s">
        <v>3703</v>
      </c>
      <c r="O1008" t="s">
        <v>3707</v>
      </c>
    </row>
    <row r="1009" spans="1:15" x14ac:dyDescent="0.35">
      <c r="A1009" t="s">
        <v>1022</v>
      </c>
      <c r="B1009" t="s">
        <v>1752</v>
      </c>
      <c r="C1009" t="s">
        <v>1935</v>
      </c>
      <c r="D1009" t="s">
        <v>3481</v>
      </c>
      <c r="E1009" t="s">
        <v>3672</v>
      </c>
      <c r="F1009">
        <v>22</v>
      </c>
      <c r="G1009" t="s">
        <v>3679</v>
      </c>
      <c r="H1009" t="s">
        <v>3684</v>
      </c>
      <c r="I1009" t="s">
        <v>3687</v>
      </c>
      <c r="J1009" t="s">
        <v>3693</v>
      </c>
      <c r="K1009" t="s">
        <v>3697</v>
      </c>
      <c r="L1009">
        <v>3</v>
      </c>
      <c r="M1009">
        <v>5000</v>
      </c>
      <c r="N1009" t="s">
        <v>3701</v>
      </c>
      <c r="O1009" t="s">
        <v>3707</v>
      </c>
    </row>
    <row r="1010" spans="1:15" x14ac:dyDescent="0.35">
      <c r="A1010" t="s">
        <v>1023</v>
      </c>
      <c r="B1010" t="s">
        <v>1753</v>
      </c>
      <c r="C1010" t="s">
        <v>2004</v>
      </c>
      <c r="D1010" t="s">
        <v>3482</v>
      </c>
      <c r="E1010" t="s">
        <v>3671</v>
      </c>
      <c r="F1010">
        <v>48</v>
      </c>
      <c r="G1010" t="s">
        <v>3679</v>
      </c>
      <c r="H1010" t="s">
        <v>3684</v>
      </c>
      <c r="I1010" t="s">
        <v>3685</v>
      </c>
      <c r="J1010" t="s">
        <v>3692</v>
      </c>
      <c r="K1010" t="s">
        <v>3695</v>
      </c>
      <c r="L1010">
        <v>1</v>
      </c>
      <c r="M1010">
        <v>12000</v>
      </c>
      <c r="N1010" t="s">
        <v>3703</v>
      </c>
      <c r="O1010" t="s">
        <v>3705</v>
      </c>
    </row>
    <row r="1011" spans="1:15" x14ac:dyDescent="0.35">
      <c r="A1011" t="s">
        <v>1024</v>
      </c>
      <c r="B1011" t="s">
        <v>1668</v>
      </c>
      <c r="C1011" t="s">
        <v>2434</v>
      </c>
      <c r="D1011" t="s">
        <v>3440</v>
      </c>
      <c r="E1011" t="s">
        <v>3671</v>
      </c>
      <c r="F1011">
        <v>24</v>
      </c>
      <c r="G1011" t="s">
        <v>3679</v>
      </c>
      <c r="H1011" t="s">
        <v>3684</v>
      </c>
      <c r="I1011" t="s">
        <v>3691</v>
      </c>
      <c r="J1011" t="s">
        <v>3693</v>
      </c>
      <c r="K1011" t="s">
        <v>3696</v>
      </c>
      <c r="L1011">
        <v>3</v>
      </c>
      <c r="M1011">
        <v>58000</v>
      </c>
      <c r="N1011" t="s">
        <v>3701</v>
      </c>
      <c r="O1011" t="s">
        <v>3707</v>
      </c>
    </row>
    <row r="1012" spans="1:15" x14ac:dyDescent="0.35">
      <c r="A1012" t="s">
        <v>1025</v>
      </c>
      <c r="B1012" t="s">
        <v>1393</v>
      </c>
      <c r="C1012" t="s">
        <v>2349</v>
      </c>
      <c r="D1012" t="s">
        <v>3483</v>
      </c>
      <c r="E1012" t="s">
        <v>3671</v>
      </c>
      <c r="F1012">
        <v>27</v>
      </c>
      <c r="G1012" t="s">
        <v>3677</v>
      </c>
      <c r="H1012" t="s">
        <v>3680</v>
      </c>
      <c r="I1012" t="s">
        <v>3689</v>
      </c>
      <c r="J1012" t="s">
        <v>3694</v>
      </c>
      <c r="K1012" t="s">
        <v>3699</v>
      </c>
      <c r="L1012">
        <v>4</v>
      </c>
      <c r="M1012">
        <v>1800</v>
      </c>
      <c r="N1012" t="s">
        <v>3704</v>
      </c>
      <c r="O1012" t="s">
        <v>3706</v>
      </c>
    </row>
    <row r="1013" spans="1:15" x14ac:dyDescent="0.35">
      <c r="A1013" t="s">
        <v>1026</v>
      </c>
      <c r="B1013" t="s">
        <v>1469</v>
      </c>
      <c r="C1013" t="s">
        <v>2104</v>
      </c>
      <c r="D1013" t="s">
        <v>3484</v>
      </c>
      <c r="E1013" t="s">
        <v>3672</v>
      </c>
      <c r="F1013">
        <v>39</v>
      </c>
      <c r="G1013" t="s">
        <v>3677</v>
      </c>
      <c r="H1013" t="s">
        <v>3680</v>
      </c>
      <c r="I1013" t="s">
        <v>3689</v>
      </c>
      <c r="J1013" t="s">
        <v>3694</v>
      </c>
      <c r="K1013" t="s">
        <v>3699</v>
      </c>
      <c r="L1013">
        <v>5</v>
      </c>
      <c r="M1013">
        <v>1800</v>
      </c>
      <c r="N1013" t="s">
        <v>3702</v>
      </c>
      <c r="O1013" t="s">
        <v>3706</v>
      </c>
    </row>
    <row r="1014" spans="1:15" x14ac:dyDescent="0.35">
      <c r="A1014" t="s">
        <v>1027</v>
      </c>
      <c r="B1014" t="s">
        <v>1619</v>
      </c>
      <c r="C1014" t="s">
        <v>2294</v>
      </c>
      <c r="D1014" t="s">
        <v>2651</v>
      </c>
      <c r="E1014" t="s">
        <v>3672</v>
      </c>
      <c r="F1014">
        <v>42</v>
      </c>
      <c r="G1014" t="s">
        <v>3679</v>
      </c>
      <c r="H1014" t="s">
        <v>3684</v>
      </c>
      <c r="I1014" t="s">
        <v>3685</v>
      </c>
      <c r="J1014" t="s">
        <v>3692</v>
      </c>
      <c r="K1014" t="s">
        <v>3695</v>
      </c>
      <c r="L1014">
        <v>1</v>
      </c>
      <c r="M1014">
        <v>12000</v>
      </c>
      <c r="N1014" t="s">
        <v>3701</v>
      </c>
      <c r="O1014" t="s">
        <v>3706</v>
      </c>
    </row>
    <row r="1015" spans="1:15" x14ac:dyDescent="0.35">
      <c r="A1015" t="s">
        <v>1028</v>
      </c>
      <c r="B1015" t="s">
        <v>1716</v>
      </c>
      <c r="C1015" t="s">
        <v>2147</v>
      </c>
      <c r="D1015" t="s">
        <v>3485</v>
      </c>
      <c r="E1015" t="s">
        <v>3672</v>
      </c>
      <c r="F1015">
        <v>34</v>
      </c>
      <c r="G1015" t="s">
        <v>3678</v>
      </c>
      <c r="H1015" t="s">
        <v>3683</v>
      </c>
      <c r="I1015" t="s">
        <v>3691</v>
      </c>
      <c r="J1015" t="s">
        <v>3693</v>
      </c>
      <c r="K1015" t="s">
        <v>3696</v>
      </c>
      <c r="L1015">
        <v>2</v>
      </c>
      <c r="M1015">
        <v>58000</v>
      </c>
      <c r="N1015" t="s">
        <v>3701</v>
      </c>
      <c r="O1015" t="s">
        <v>3705</v>
      </c>
    </row>
    <row r="1016" spans="1:15" x14ac:dyDescent="0.35">
      <c r="A1016" t="s">
        <v>1029</v>
      </c>
      <c r="B1016" t="s">
        <v>1340</v>
      </c>
      <c r="C1016" t="s">
        <v>2133</v>
      </c>
      <c r="D1016" t="s">
        <v>3486</v>
      </c>
      <c r="E1016" t="s">
        <v>3671</v>
      </c>
      <c r="F1016">
        <v>49</v>
      </c>
      <c r="G1016" t="s">
        <v>3679</v>
      </c>
      <c r="H1016" t="s">
        <v>3684</v>
      </c>
      <c r="I1016" t="s">
        <v>3686</v>
      </c>
      <c r="J1016" t="s">
        <v>3693</v>
      </c>
      <c r="K1016" t="s">
        <v>3696</v>
      </c>
      <c r="L1016">
        <v>4</v>
      </c>
      <c r="M1016">
        <v>65000</v>
      </c>
      <c r="N1016" t="s">
        <v>3702</v>
      </c>
      <c r="O1016" t="s">
        <v>3706</v>
      </c>
    </row>
    <row r="1017" spans="1:15" x14ac:dyDescent="0.35">
      <c r="A1017" t="s">
        <v>1030</v>
      </c>
      <c r="B1017" t="s">
        <v>1402</v>
      </c>
      <c r="C1017" t="s">
        <v>2237</v>
      </c>
      <c r="D1017" t="s">
        <v>3487</v>
      </c>
      <c r="E1017" t="s">
        <v>3671</v>
      </c>
      <c r="F1017">
        <v>21</v>
      </c>
      <c r="G1017" t="s">
        <v>3675</v>
      </c>
      <c r="H1017" t="s">
        <v>3681</v>
      </c>
      <c r="I1017" t="s">
        <v>3685</v>
      </c>
      <c r="J1017" t="s">
        <v>3692</v>
      </c>
      <c r="K1017" t="s">
        <v>3695</v>
      </c>
      <c r="L1017">
        <v>2</v>
      </c>
      <c r="M1017">
        <v>12000</v>
      </c>
      <c r="N1017" t="s">
        <v>3702</v>
      </c>
      <c r="O1017" t="s">
        <v>3705</v>
      </c>
    </row>
    <row r="1018" spans="1:15" x14ac:dyDescent="0.35">
      <c r="A1018" t="s">
        <v>1031</v>
      </c>
      <c r="B1018" t="s">
        <v>1218</v>
      </c>
      <c r="C1018" t="s">
        <v>2435</v>
      </c>
      <c r="D1018" t="s">
        <v>3488</v>
      </c>
      <c r="E1018" t="s">
        <v>3672</v>
      </c>
      <c r="F1018">
        <v>18</v>
      </c>
      <c r="G1018" t="s">
        <v>3673</v>
      </c>
      <c r="H1018" t="s">
        <v>3673</v>
      </c>
      <c r="I1018" t="s">
        <v>3689</v>
      </c>
      <c r="J1018" t="s">
        <v>3694</v>
      </c>
      <c r="K1018" t="s">
        <v>3699</v>
      </c>
      <c r="L1018">
        <v>4</v>
      </c>
      <c r="M1018">
        <v>1800</v>
      </c>
      <c r="N1018" t="s">
        <v>3702</v>
      </c>
      <c r="O1018" t="s">
        <v>3707</v>
      </c>
    </row>
    <row r="1019" spans="1:15" x14ac:dyDescent="0.35">
      <c r="A1019" t="s">
        <v>1032</v>
      </c>
      <c r="B1019" t="s">
        <v>1675</v>
      </c>
      <c r="C1019" t="s">
        <v>2296</v>
      </c>
      <c r="D1019" t="s">
        <v>3489</v>
      </c>
      <c r="E1019" t="s">
        <v>3672</v>
      </c>
      <c r="F1019">
        <v>60</v>
      </c>
      <c r="G1019" t="s">
        <v>3673</v>
      </c>
      <c r="H1019" t="s">
        <v>3673</v>
      </c>
      <c r="I1019" t="s">
        <v>3685</v>
      </c>
      <c r="J1019" t="s">
        <v>3692</v>
      </c>
      <c r="K1019" t="s">
        <v>3695</v>
      </c>
      <c r="L1019">
        <v>4</v>
      </c>
      <c r="M1019">
        <v>12000</v>
      </c>
      <c r="N1019" t="s">
        <v>3701</v>
      </c>
      <c r="O1019" t="s">
        <v>3707</v>
      </c>
    </row>
    <row r="1020" spans="1:15" x14ac:dyDescent="0.35">
      <c r="A1020" t="s">
        <v>1033</v>
      </c>
      <c r="B1020" t="s">
        <v>1754</v>
      </c>
      <c r="C1020" t="s">
        <v>2281</v>
      </c>
      <c r="D1020" t="s">
        <v>3490</v>
      </c>
      <c r="E1020" t="s">
        <v>3672</v>
      </c>
      <c r="F1020">
        <v>55</v>
      </c>
      <c r="G1020" t="s">
        <v>3679</v>
      </c>
      <c r="H1020" t="s">
        <v>3684</v>
      </c>
      <c r="I1020" t="s">
        <v>3691</v>
      </c>
      <c r="J1020" t="s">
        <v>3693</v>
      </c>
      <c r="K1020" t="s">
        <v>3696</v>
      </c>
      <c r="L1020">
        <v>3</v>
      </c>
      <c r="M1020">
        <v>58000</v>
      </c>
      <c r="N1020" t="s">
        <v>3703</v>
      </c>
      <c r="O1020" t="s">
        <v>3707</v>
      </c>
    </row>
    <row r="1021" spans="1:15" x14ac:dyDescent="0.35">
      <c r="A1021" t="s">
        <v>1034</v>
      </c>
      <c r="B1021" t="s">
        <v>1267</v>
      </c>
      <c r="C1021" t="s">
        <v>2274</v>
      </c>
      <c r="D1021" t="s">
        <v>3491</v>
      </c>
      <c r="E1021" t="s">
        <v>3672</v>
      </c>
      <c r="F1021">
        <v>59</v>
      </c>
      <c r="G1021" t="s">
        <v>3679</v>
      </c>
      <c r="H1021" t="s">
        <v>3684</v>
      </c>
      <c r="I1021" t="s">
        <v>3685</v>
      </c>
      <c r="J1021" t="s">
        <v>3692</v>
      </c>
      <c r="K1021" t="s">
        <v>3695</v>
      </c>
      <c r="L1021">
        <v>1</v>
      </c>
      <c r="M1021">
        <v>12000</v>
      </c>
      <c r="N1021" t="s">
        <v>3701</v>
      </c>
      <c r="O1021" t="s">
        <v>3707</v>
      </c>
    </row>
    <row r="1022" spans="1:15" x14ac:dyDescent="0.35">
      <c r="A1022" t="s">
        <v>1035</v>
      </c>
      <c r="B1022" t="s">
        <v>1755</v>
      </c>
      <c r="C1022" t="s">
        <v>2427</v>
      </c>
      <c r="D1022" t="s">
        <v>3492</v>
      </c>
      <c r="E1022" t="s">
        <v>3671</v>
      </c>
      <c r="F1022">
        <v>47</v>
      </c>
      <c r="G1022" t="s">
        <v>3677</v>
      </c>
      <c r="H1022" t="s">
        <v>3680</v>
      </c>
      <c r="I1022" t="s">
        <v>3686</v>
      </c>
      <c r="J1022" t="s">
        <v>3693</v>
      </c>
      <c r="K1022" t="s">
        <v>3696</v>
      </c>
      <c r="L1022">
        <v>3</v>
      </c>
      <c r="M1022">
        <v>65000</v>
      </c>
      <c r="N1022" t="s">
        <v>3704</v>
      </c>
      <c r="O1022" t="s">
        <v>3705</v>
      </c>
    </row>
    <row r="1023" spans="1:15" x14ac:dyDescent="0.35">
      <c r="A1023" t="s">
        <v>1036</v>
      </c>
      <c r="B1023" t="s">
        <v>1756</v>
      </c>
      <c r="C1023" t="s">
        <v>2436</v>
      </c>
      <c r="D1023" t="s">
        <v>3493</v>
      </c>
      <c r="E1023" t="s">
        <v>3672</v>
      </c>
      <c r="F1023">
        <v>34</v>
      </c>
      <c r="G1023" t="s">
        <v>3679</v>
      </c>
      <c r="H1023" t="s">
        <v>3684</v>
      </c>
      <c r="I1023" t="s">
        <v>3688</v>
      </c>
      <c r="J1023" t="s">
        <v>3694</v>
      </c>
      <c r="K1023" t="s">
        <v>3698</v>
      </c>
      <c r="L1023">
        <v>5</v>
      </c>
      <c r="M1023">
        <v>4500</v>
      </c>
      <c r="N1023" t="s">
        <v>3704</v>
      </c>
      <c r="O1023" t="s">
        <v>3705</v>
      </c>
    </row>
    <row r="1024" spans="1:15" x14ac:dyDescent="0.35">
      <c r="A1024" t="s">
        <v>1037</v>
      </c>
      <c r="B1024" t="s">
        <v>1744</v>
      </c>
      <c r="C1024" t="s">
        <v>2243</v>
      </c>
      <c r="D1024" t="s">
        <v>3494</v>
      </c>
      <c r="E1024" t="s">
        <v>3671</v>
      </c>
      <c r="F1024">
        <v>22</v>
      </c>
      <c r="G1024" t="s">
        <v>3677</v>
      </c>
      <c r="H1024" t="s">
        <v>3680</v>
      </c>
      <c r="I1024" t="s">
        <v>3685</v>
      </c>
      <c r="J1024" t="s">
        <v>3692</v>
      </c>
      <c r="K1024" t="s">
        <v>3695</v>
      </c>
      <c r="L1024">
        <v>4</v>
      </c>
      <c r="M1024">
        <v>12000</v>
      </c>
      <c r="N1024" t="s">
        <v>3702</v>
      </c>
      <c r="O1024" t="s">
        <v>3706</v>
      </c>
    </row>
    <row r="1025" spans="1:15" x14ac:dyDescent="0.35">
      <c r="A1025" t="s">
        <v>1038</v>
      </c>
      <c r="B1025" t="s">
        <v>1721</v>
      </c>
      <c r="C1025" t="s">
        <v>2437</v>
      </c>
      <c r="D1025" t="s">
        <v>3495</v>
      </c>
      <c r="E1025" t="s">
        <v>3672</v>
      </c>
      <c r="F1025">
        <v>31</v>
      </c>
      <c r="G1025" t="s">
        <v>3675</v>
      </c>
      <c r="H1025" t="s">
        <v>3681</v>
      </c>
      <c r="I1025" t="s">
        <v>3687</v>
      </c>
      <c r="J1025" t="s">
        <v>3693</v>
      </c>
      <c r="K1025" t="s">
        <v>3697</v>
      </c>
      <c r="L1025">
        <v>3</v>
      </c>
      <c r="M1025">
        <v>5000</v>
      </c>
      <c r="N1025" t="s">
        <v>3702</v>
      </c>
      <c r="O1025" t="s">
        <v>3705</v>
      </c>
    </row>
    <row r="1026" spans="1:15" x14ac:dyDescent="0.35">
      <c r="A1026" t="s">
        <v>1039</v>
      </c>
      <c r="B1026" t="s">
        <v>1637</v>
      </c>
      <c r="C1026" t="s">
        <v>2438</v>
      </c>
      <c r="D1026" t="s">
        <v>3496</v>
      </c>
      <c r="E1026" t="s">
        <v>3672</v>
      </c>
      <c r="F1026">
        <v>27</v>
      </c>
      <c r="G1026" t="s">
        <v>3674</v>
      </c>
      <c r="H1026" t="s">
        <v>3680</v>
      </c>
      <c r="I1026" t="s">
        <v>3687</v>
      </c>
      <c r="J1026" t="s">
        <v>3693</v>
      </c>
      <c r="K1026" t="s">
        <v>3697</v>
      </c>
      <c r="L1026">
        <v>1</v>
      </c>
      <c r="M1026">
        <v>5000</v>
      </c>
      <c r="N1026" t="s">
        <v>3704</v>
      </c>
      <c r="O1026" t="s">
        <v>3706</v>
      </c>
    </row>
    <row r="1027" spans="1:15" x14ac:dyDescent="0.35">
      <c r="A1027" t="s">
        <v>1040</v>
      </c>
      <c r="B1027" t="s">
        <v>1757</v>
      </c>
      <c r="C1027" t="s">
        <v>2256</v>
      </c>
      <c r="D1027" t="s">
        <v>3497</v>
      </c>
      <c r="E1027" t="s">
        <v>3672</v>
      </c>
      <c r="F1027">
        <v>32</v>
      </c>
      <c r="G1027" t="s">
        <v>3678</v>
      </c>
      <c r="H1027" t="s">
        <v>3683</v>
      </c>
      <c r="I1027" t="s">
        <v>3689</v>
      </c>
      <c r="J1027" t="s">
        <v>3694</v>
      </c>
      <c r="K1027" t="s">
        <v>3699</v>
      </c>
      <c r="L1027">
        <v>2</v>
      </c>
      <c r="M1027">
        <v>1800</v>
      </c>
      <c r="N1027" t="s">
        <v>3703</v>
      </c>
      <c r="O1027" t="s">
        <v>3706</v>
      </c>
    </row>
    <row r="1028" spans="1:15" x14ac:dyDescent="0.35">
      <c r="A1028" t="s">
        <v>1041</v>
      </c>
      <c r="B1028" t="s">
        <v>1404</v>
      </c>
      <c r="C1028" t="s">
        <v>2071</v>
      </c>
      <c r="D1028" t="s">
        <v>3498</v>
      </c>
      <c r="E1028" t="s">
        <v>3672</v>
      </c>
      <c r="F1028">
        <v>55</v>
      </c>
      <c r="G1028" t="s">
        <v>3675</v>
      </c>
      <c r="H1028" t="s">
        <v>3681</v>
      </c>
      <c r="I1028" t="s">
        <v>3685</v>
      </c>
      <c r="J1028" t="s">
        <v>3692</v>
      </c>
      <c r="K1028" t="s">
        <v>3695</v>
      </c>
      <c r="L1028">
        <v>3</v>
      </c>
      <c r="M1028">
        <v>12000</v>
      </c>
      <c r="N1028" t="s">
        <v>3702</v>
      </c>
      <c r="O1028" t="s">
        <v>3706</v>
      </c>
    </row>
    <row r="1029" spans="1:15" x14ac:dyDescent="0.35">
      <c r="A1029" t="s">
        <v>1042</v>
      </c>
      <c r="B1029" t="s">
        <v>1394</v>
      </c>
      <c r="C1029" t="s">
        <v>2431</v>
      </c>
      <c r="D1029" t="s">
        <v>3499</v>
      </c>
      <c r="E1029" t="s">
        <v>3671</v>
      </c>
      <c r="F1029">
        <v>48</v>
      </c>
      <c r="G1029" t="s">
        <v>3676</v>
      </c>
      <c r="H1029" t="s">
        <v>3682</v>
      </c>
      <c r="I1029" t="s">
        <v>3690</v>
      </c>
      <c r="J1029" t="s">
        <v>3693</v>
      </c>
      <c r="K1029" t="s">
        <v>3700</v>
      </c>
      <c r="L1029">
        <v>4</v>
      </c>
      <c r="M1029">
        <v>72000</v>
      </c>
      <c r="N1029" t="s">
        <v>3703</v>
      </c>
      <c r="O1029" t="s">
        <v>3705</v>
      </c>
    </row>
    <row r="1030" spans="1:15" x14ac:dyDescent="0.35">
      <c r="A1030" t="s">
        <v>1043</v>
      </c>
      <c r="B1030" t="s">
        <v>1695</v>
      </c>
      <c r="C1030" t="s">
        <v>2428</v>
      </c>
      <c r="D1030" t="s">
        <v>3500</v>
      </c>
      <c r="E1030" t="s">
        <v>3672</v>
      </c>
      <c r="F1030">
        <v>54</v>
      </c>
      <c r="G1030" t="s">
        <v>3674</v>
      </c>
      <c r="H1030" t="s">
        <v>3680</v>
      </c>
      <c r="I1030" t="s">
        <v>3691</v>
      </c>
      <c r="J1030" t="s">
        <v>3693</v>
      </c>
      <c r="K1030" t="s">
        <v>3696</v>
      </c>
      <c r="L1030">
        <v>2</v>
      </c>
      <c r="M1030">
        <v>58000</v>
      </c>
      <c r="N1030" t="s">
        <v>3704</v>
      </c>
      <c r="O1030" t="s">
        <v>3705</v>
      </c>
    </row>
    <row r="1031" spans="1:15" x14ac:dyDescent="0.35">
      <c r="A1031" t="s">
        <v>1044</v>
      </c>
      <c r="B1031" t="s">
        <v>1338</v>
      </c>
      <c r="C1031" t="s">
        <v>2390</v>
      </c>
      <c r="D1031" t="s">
        <v>3501</v>
      </c>
      <c r="E1031" t="s">
        <v>3672</v>
      </c>
      <c r="F1031">
        <v>24</v>
      </c>
      <c r="G1031" t="s">
        <v>3673</v>
      </c>
      <c r="H1031" t="s">
        <v>3673</v>
      </c>
      <c r="I1031" t="s">
        <v>3687</v>
      </c>
      <c r="J1031" t="s">
        <v>3693</v>
      </c>
      <c r="K1031" t="s">
        <v>3697</v>
      </c>
      <c r="L1031">
        <v>2</v>
      </c>
      <c r="M1031">
        <v>5000</v>
      </c>
      <c r="N1031" t="s">
        <v>3703</v>
      </c>
      <c r="O1031" t="s">
        <v>3705</v>
      </c>
    </row>
    <row r="1032" spans="1:15" x14ac:dyDescent="0.35">
      <c r="A1032" t="s">
        <v>1045</v>
      </c>
      <c r="B1032" t="s">
        <v>1661</v>
      </c>
      <c r="C1032" t="s">
        <v>2439</v>
      </c>
      <c r="D1032" t="s">
        <v>3502</v>
      </c>
      <c r="E1032" t="s">
        <v>3671</v>
      </c>
      <c r="F1032">
        <v>47</v>
      </c>
      <c r="G1032" t="s">
        <v>3677</v>
      </c>
      <c r="H1032" t="s">
        <v>3680</v>
      </c>
      <c r="I1032" t="s">
        <v>3686</v>
      </c>
      <c r="J1032" t="s">
        <v>3693</v>
      </c>
      <c r="K1032" t="s">
        <v>3696</v>
      </c>
      <c r="L1032">
        <v>4</v>
      </c>
      <c r="M1032">
        <v>65000</v>
      </c>
      <c r="N1032" t="s">
        <v>3701</v>
      </c>
      <c r="O1032" t="s">
        <v>3706</v>
      </c>
    </row>
    <row r="1033" spans="1:15" x14ac:dyDescent="0.35">
      <c r="A1033" t="s">
        <v>1046</v>
      </c>
      <c r="B1033" t="s">
        <v>1684</v>
      </c>
      <c r="C1033" t="s">
        <v>1824</v>
      </c>
      <c r="D1033" t="s">
        <v>3503</v>
      </c>
      <c r="E1033" t="s">
        <v>3672</v>
      </c>
      <c r="F1033">
        <v>46</v>
      </c>
      <c r="G1033" t="s">
        <v>3679</v>
      </c>
      <c r="H1033" t="s">
        <v>3684</v>
      </c>
      <c r="I1033" t="s">
        <v>3685</v>
      </c>
      <c r="J1033" t="s">
        <v>3692</v>
      </c>
      <c r="K1033" t="s">
        <v>3695</v>
      </c>
      <c r="L1033">
        <v>4</v>
      </c>
      <c r="M1033">
        <v>12000</v>
      </c>
      <c r="N1033" t="s">
        <v>3704</v>
      </c>
      <c r="O1033" t="s">
        <v>3706</v>
      </c>
    </row>
    <row r="1034" spans="1:15" x14ac:dyDescent="0.35">
      <c r="A1034" t="s">
        <v>1047</v>
      </c>
      <c r="B1034" t="s">
        <v>1714</v>
      </c>
      <c r="C1034" t="s">
        <v>2286</v>
      </c>
      <c r="D1034" t="s">
        <v>3504</v>
      </c>
      <c r="E1034" t="s">
        <v>3672</v>
      </c>
      <c r="F1034">
        <v>21</v>
      </c>
      <c r="G1034" t="s">
        <v>3679</v>
      </c>
      <c r="H1034" t="s">
        <v>3684</v>
      </c>
      <c r="I1034" t="s">
        <v>3688</v>
      </c>
      <c r="J1034" t="s">
        <v>3694</v>
      </c>
      <c r="K1034" t="s">
        <v>3698</v>
      </c>
      <c r="L1034">
        <v>4</v>
      </c>
      <c r="M1034">
        <v>4500</v>
      </c>
      <c r="N1034" t="s">
        <v>3703</v>
      </c>
      <c r="O1034" t="s">
        <v>3705</v>
      </c>
    </row>
    <row r="1035" spans="1:15" x14ac:dyDescent="0.35">
      <c r="A1035" t="s">
        <v>1048</v>
      </c>
      <c r="B1035" t="s">
        <v>1362</v>
      </c>
      <c r="C1035" t="s">
        <v>1934</v>
      </c>
      <c r="D1035" t="s">
        <v>3505</v>
      </c>
      <c r="E1035" t="s">
        <v>3672</v>
      </c>
      <c r="F1035">
        <v>32</v>
      </c>
      <c r="G1035" t="s">
        <v>3677</v>
      </c>
      <c r="H1035" t="s">
        <v>3680</v>
      </c>
      <c r="I1035" t="s">
        <v>3685</v>
      </c>
      <c r="J1035" t="s">
        <v>3692</v>
      </c>
      <c r="K1035" t="s">
        <v>3695</v>
      </c>
      <c r="L1035">
        <v>3</v>
      </c>
      <c r="M1035">
        <v>12000</v>
      </c>
      <c r="N1035" t="s">
        <v>3704</v>
      </c>
      <c r="O1035" t="s">
        <v>3706</v>
      </c>
    </row>
    <row r="1036" spans="1:15" x14ac:dyDescent="0.35">
      <c r="A1036" t="s">
        <v>1049</v>
      </c>
      <c r="B1036" t="s">
        <v>1239</v>
      </c>
      <c r="C1036" t="s">
        <v>2345</v>
      </c>
      <c r="D1036" t="s">
        <v>3506</v>
      </c>
      <c r="E1036" t="s">
        <v>3671</v>
      </c>
      <c r="F1036">
        <v>23</v>
      </c>
      <c r="G1036" t="s">
        <v>3673</v>
      </c>
      <c r="H1036" t="s">
        <v>3673</v>
      </c>
      <c r="I1036" t="s">
        <v>3689</v>
      </c>
      <c r="J1036" t="s">
        <v>3694</v>
      </c>
      <c r="K1036" t="s">
        <v>3699</v>
      </c>
      <c r="L1036">
        <v>4</v>
      </c>
      <c r="M1036">
        <v>1800</v>
      </c>
      <c r="N1036" t="s">
        <v>3701</v>
      </c>
      <c r="O1036" t="s">
        <v>3705</v>
      </c>
    </row>
    <row r="1037" spans="1:15" x14ac:dyDescent="0.35">
      <c r="A1037" t="s">
        <v>1050</v>
      </c>
      <c r="B1037" t="s">
        <v>1758</v>
      </c>
      <c r="C1037" t="s">
        <v>1828</v>
      </c>
      <c r="D1037" t="s">
        <v>3507</v>
      </c>
      <c r="E1037" t="s">
        <v>3671</v>
      </c>
      <c r="F1037">
        <v>45</v>
      </c>
      <c r="G1037" t="s">
        <v>3675</v>
      </c>
      <c r="H1037" t="s">
        <v>3681</v>
      </c>
      <c r="I1037" t="s">
        <v>3689</v>
      </c>
      <c r="J1037" t="s">
        <v>3694</v>
      </c>
      <c r="K1037" t="s">
        <v>3699</v>
      </c>
      <c r="L1037">
        <v>3</v>
      </c>
      <c r="M1037">
        <v>1800</v>
      </c>
      <c r="N1037" t="s">
        <v>3702</v>
      </c>
      <c r="O1037" t="s">
        <v>3706</v>
      </c>
    </row>
    <row r="1038" spans="1:15" x14ac:dyDescent="0.35">
      <c r="A1038" t="s">
        <v>1051</v>
      </c>
      <c r="B1038" t="s">
        <v>1301</v>
      </c>
      <c r="C1038" t="s">
        <v>1833</v>
      </c>
      <c r="D1038" t="s">
        <v>3508</v>
      </c>
      <c r="E1038" t="s">
        <v>3671</v>
      </c>
      <c r="F1038">
        <v>37</v>
      </c>
      <c r="G1038" t="s">
        <v>3673</v>
      </c>
      <c r="H1038" t="s">
        <v>3673</v>
      </c>
      <c r="I1038" t="s">
        <v>3687</v>
      </c>
      <c r="J1038" t="s">
        <v>3693</v>
      </c>
      <c r="K1038" t="s">
        <v>3697</v>
      </c>
      <c r="L1038">
        <v>3</v>
      </c>
      <c r="M1038">
        <v>5000</v>
      </c>
      <c r="N1038" t="s">
        <v>3701</v>
      </c>
      <c r="O1038" t="s">
        <v>3706</v>
      </c>
    </row>
    <row r="1039" spans="1:15" x14ac:dyDescent="0.35">
      <c r="A1039" t="s">
        <v>1052</v>
      </c>
      <c r="B1039" t="s">
        <v>1415</v>
      </c>
      <c r="C1039" t="s">
        <v>2334</v>
      </c>
      <c r="D1039" t="s">
        <v>3509</v>
      </c>
      <c r="E1039" t="s">
        <v>3671</v>
      </c>
      <c r="F1039">
        <v>32</v>
      </c>
      <c r="G1039" t="s">
        <v>3679</v>
      </c>
      <c r="H1039" t="s">
        <v>3684</v>
      </c>
      <c r="I1039" t="s">
        <v>3689</v>
      </c>
      <c r="J1039" t="s">
        <v>3694</v>
      </c>
      <c r="K1039" t="s">
        <v>3699</v>
      </c>
      <c r="L1039">
        <v>5</v>
      </c>
      <c r="M1039">
        <v>1800</v>
      </c>
      <c r="N1039" t="s">
        <v>3704</v>
      </c>
      <c r="O1039" t="s">
        <v>3707</v>
      </c>
    </row>
    <row r="1040" spans="1:15" x14ac:dyDescent="0.35">
      <c r="A1040" t="s">
        <v>1053</v>
      </c>
      <c r="B1040" t="s">
        <v>1428</v>
      </c>
      <c r="C1040" t="s">
        <v>2124</v>
      </c>
      <c r="D1040" t="s">
        <v>3510</v>
      </c>
      <c r="E1040" t="s">
        <v>3672</v>
      </c>
      <c r="F1040">
        <v>46</v>
      </c>
      <c r="G1040" t="s">
        <v>3675</v>
      </c>
      <c r="H1040" t="s">
        <v>3681</v>
      </c>
      <c r="I1040" t="s">
        <v>3690</v>
      </c>
      <c r="J1040" t="s">
        <v>3693</v>
      </c>
      <c r="K1040" t="s">
        <v>3700</v>
      </c>
      <c r="L1040">
        <v>5</v>
      </c>
      <c r="M1040">
        <v>72000</v>
      </c>
      <c r="N1040" t="s">
        <v>3701</v>
      </c>
      <c r="O1040" t="s">
        <v>3707</v>
      </c>
    </row>
    <row r="1041" spans="1:15" x14ac:dyDescent="0.35">
      <c r="A1041" t="s">
        <v>1054</v>
      </c>
      <c r="B1041" t="s">
        <v>1282</v>
      </c>
      <c r="C1041" t="s">
        <v>2440</v>
      </c>
      <c r="D1041" t="s">
        <v>3511</v>
      </c>
      <c r="E1041" t="s">
        <v>3672</v>
      </c>
      <c r="F1041">
        <v>53</v>
      </c>
      <c r="G1041" t="s">
        <v>3673</v>
      </c>
      <c r="H1041" t="s">
        <v>3673</v>
      </c>
      <c r="I1041" t="s">
        <v>3686</v>
      </c>
      <c r="J1041" t="s">
        <v>3693</v>
      </c>
      <c r="K1041" t="s">
        <v>3696</v>
      </c>
      <c r="L1041">
        <v>1</v>
      </c>
      <c r="M1041">
        <v>65000</v>
      </c>
      <c r="N1041" t="s">
        <v>3701</v>
      </c>
      <c r="O1041" t="s">
        <v>3705</v>
      </c>
    </row>
    <row r="1042" spans="1:15" x14ac:dyDescent="0.35">
      <c r="A1042" t="s">
        <v>1055</v>
      </c>
      <c r="B1042" t="s">
        <v>1492</v>
      </c>
      <c r="C1042" t="s">
        <v>2293</v>
      </c>
      <c r="D1042" t="s">
        <v>3512</v>
      </c>
      <c r="E1042" t="s">
        <v>3671</v>
      </c>
      <c r="F1042">
        <v>50</v>
      </c>
      <c r="G1042" t="s">
        <v>3675</v>
      </c>
      <c r="H1042" t="s">
        <v>3681</v>
      </c>
      <c r="I1042" t="s">
        <v>3688</v>
      </c>
      <c r="J1042" t="s">
        <v>3694</v>
      </c>
      <c r="K1042" t="s">
        <v>3698</v>
      </c>
      <c r="L1042">
        <v>5</v>
      </c>
      <c r="M1042">
        <v>4500</v>
      </c>
      <c r="N1042" t="s">
        <v>3702</v>
      </c>
      <c r="O1042" t="s">
        <v>3707</v>
      </c>
    </row>
    <row r="1043" spans="1:15" x14ac:dyDescent="0.35">
      <c r="A1043" t="s">
        <v>1056</v>
      </c>
      <c r="B1043" t="s">
        <v>1230</v>
      </c>
      <c r="C1043" t="s">
        <v>1833</v>
      </c>
      <c r="D1043" t="s">
        <v>3513</v>
      </c>
      <c r="E1043" t="s">
        <v>3671</v>
      </c>
      <c r="F1043">
        <v>25</v>
      </c>
      <c r="G1043" t="s">
        <v>3675</v>
      </c>
      <c r="H1043" t="s">
        <v>3681</v>
      </c>
      <c r="I1043" t="s">
        <v>3690</v>
      </c>
      <c r="J1043" t="s">
        <v>3693</v>
      </c>
      <c r="K1043" t="s">
        <v>3700</v>
      </c>
      <c r="L1043">
        <v>1</v>
      </c>
      <c r="M1043">
        <v>72000</v>
      </c>
      <c r="N1043" t="s">
        <v>3704</v>
      </c>
      <c r="O1043" t="s">
        <v>3705</v>
      </c>
    </row>
    <row r="1044" spans="1:15" x14ac:dyDescent="0.35">
      <c r="A1044" t="s">
        <v>1057</v>
      </c>
      <c r="B1044" t="s">
        <v>1722</v>
      </c>
      <c r="C1044" t="s">
        <v>1943</v>
      </c>
      <c r="D1044" t="s">
        <v>3514</v>
      </c>
      <c r="E1044" t="s">
        <v>3672</v>
      </c>
      <c r="F1044">
        <v>23</v>
      </c>
      <c r="G1044" t="s">
        <v>3673</v>
      </c>
      <c r="H1044" t="s">
        <v>3673</v>
      </c>
      <c r="I1044" t="s">
        <v>3685</v>
      </c>
      <c r="J1044" t="s">
        <v>3692</v>
      </c>
      <c r="K1044" t="s">
        <v>3695</v>
      </c>
      <c r="L1044">
        <v>1</v>
      </c>
      <c r="M1044">
        <v>12000</v>
      </c>
      <c r="N1044" t="s">
        <v>3704</v>
      </c>
      <c r="O1044" t="s">
        <v>3707</v>
      </c>
    </row>
    <row r="1045" spans="1:15" x14ac:dyDescent="0.35">
      <c r="A1045" t="s">
        <v>1058</v>
      </c>
      <c r="B1045" t="s">
        <v>1379</v>
      </c>
      <c r="C1045" t="s">
        <v>2082</v>
      </c>
      <c r="D1045" t="s">
        <v>3515</v>
      </c>
      <c r="E1045" t="s">
        <v>3671</v>
      </c>
      <c r="F1045">
        <v>40</v>
      </c>
      <c r="G1045" t="s">
        <v>3674</v>
      </c>
      <c r="H1045" t="s">
        <v>3680</v>
      </c>
      <c r="I1045" t="s">
        <v>3690</v>
      </c>
      <c r="J1045" t="s">
        <v>3693</v>
      </c>
      <c r="K1045" t="s">
        <v>3700</v>
      </c>
      <c r="L1045">
        <v>5</v>
      </c>
      <c r="M1045">
        <v>72000</v>
      </c>
      <c r="N1045" t="s">
        <v>3702</v>
      </c>
      <c r="O1045" t="s">
        <v>3706</v>
      </c>
    </row>
    <row r="1046" spans="1:15" x14ac:dyDescent="0.35">
      <c r="A1046" t="s">
        <v>1059</v>
      </c>
      <c r="B1046" t="s">
        <v>1704</v>
      </c>
      <c r="C1046" t="s">
        <v>2168</v>
      </c>
      <c r="D1046" t="s">
        <v>3516</v>
      </c>
      <c r="E1046" t="s">
        <v>3672</v>
      </c>
      <c r="F1046">
        <v>22</v>
      </c>
      <c r="G1046" t="s">
        <v>3677</v>
      </c>
      <c r="H1046" t="s">
        <v>3680</v>
      </c>
      <c r="I1046" t="s">
        <v>3690</v>
      </c>
      <c r="J1046" t="s">
        <v>3693</v>
      </c>
      <c r="K1046" t="s">
        <v>3700</v>
      </c>
      <c r="L1046">
        <v>1</v>
      </c>
      <c r="M1046">
        <v>72000</v>
      </c>
      <c r="N1046" t="s">
        <v>3704</v>
      </c>
      <c r="O1046" t="s">
        <v>3705</v>
      </c>
    </row>
    <row r="1047" spans="1:15" x14ac:dyDescent="0.35">
      <c r="A1047" t="s">
        <v>1060</v>
      </c>
      <c r="B1047" t="s">
        <v>1701</v>
      </c>
      <c r="C1047" t="s">
        <v>2046</v>
      </c>
      <c r="D1047" t="s">
        <v>3517</v>
      </c>
      <c r="E1047" t="s">
        <v>3672</v>
      </c>
      <c r="F1047">
        <v>27</v>
      </c>
      <c r="G1047" t="s">
        <v>3673</v>
      </c>
      <c r="H1047" t="s">
        <v>3673</v>
      </c>
      <c r="I1047" t="s">
        <v>3686</v>
      </c>
      <c r="J1047" t="s">
        <v>3693</v>
      </c>
      <c r="K1047" t="s">
        <v>3696</v>
      </c>
      <c r="L1047">
        <v>4</v>
      </c>
      <c r="M1047">
        <v>65000</v>
      </c>
      <c r="N1047" t="s">
        <v>3701</v>
      </c>
      <c r="O1047" t="s">
        <v>3706</v>
      </c>
    </row>
    <row r="1048" spans="1:15" x14ac:dyDescent="0.35">
      <c r="A1048" t="s">
        <v>1061</v>
      </c>
      <c r="B1048" t="s">
        <v>1453</v>
      </c>
      <c r="C1048" t="s">
        <v>2441</v>
      </c>
      <c r="D1048" t="s">
        <v>3518</v>
      </c>
      <c r="E1048" t="s">
        <v>3672</v>
      </c>
      <c r="F1048">
        <v>23</v>
      </c>
      <c r="G1048" t="s">
        <v>3673</v>
      </c>
      <c r="H1048" t="s">
        <v>3673</v>
      </c>
      <c r="I1048" t="s">
        <v>3691</v>
      </c>
      <c r="J1048" t="s">
        <v>3693</v>
      </c>
      <c r="K1048" t="s">
        <v>3696</v>
      </c>
      <c r="L1048">
        <v>2</v>
      </c>
      <c r="M1048">
        <v>58000</v>
      </c>
      <c r="N1048" t="s">
        <v>3702</v>
      </c>
      <c r="O1048" t="s">
        <v>3707</v>
      </c>
    </row>
    <row r="1049" spans="1:15" x14ac:dyDescent="0.35">
      <c r="A1049" t="s">
        <v>1062</v>
      </c>
      <c r="B1049" t="s">
        <v>1728</v>
      </c>
      <c r="C1049" t="s">
        <v>2374</v>
      </c>
      <c r="D1049" t="s">
        <v>3519</v>
      </c>
      <c r="E1049" t="s">
        <v>3672</v>
      </c>
      <c r="F1049">
        <v>57</v>
      </c>
      <c r="G1049" t="s">
        <v>3674</v>
      </c>
      <c r="H1049" t="s">
        <v>3680</v>
      </c>
      <c r="I1049" t="s">
        <v>3689</v>
      </c>
      <c r="J1049" t="s">
        <v>3694</v>
      </c>
      <c r="K1049" t="s">
        <v>3699</v>
      </c>
      <c r="L1049">
        <v>4</v>
      </c>
      <c r="M1049">
        <v>1800</v>
      </c>
      <c r="N1049" t="s">
        <v>3701</v>
      </c>
      <c r="O1049" t="s">
        <v>3706</v>
      </c>
    </row>
    <row r="1050" spans="1:15" x14ac:dyDescent="0.35">
      <c r="A1050" t="s">
        <v>1063</v>
      </c>
      <c r="B1050" t="s">
        <v>1248</v>
      </c>
      <c r="C1050" t="s">
        <v>2442</v>
      </c>
      <c r="D1050" t="s">
        <v>3520</v>
      </c>
      <c r="E1050" t="s">
        <v>3671</v>
      </c>
      <c r="F1050">
        <v>33</v>
      </c>
      <c r="G1050" t="s">
        <v>3676</v>
      </c>
      <c r="H1050" t="s">
        <v>3682</v>
      </c>
      <c r="I1050" t="s">
        <v>3686</v>
      </c>
      <c r="J1050" t="s">
        <v>3693</v>
      </c>
      <c r="K1050" t="s">
        <v>3696</v>
      </c>
      <c r="L1050">
        <v>3</v>
      </c>
      <c r="M1050">
        <v>65000</v>
      </c>
      <c r="N1050" t="s">
        <v>3704</v>
      </c>
      <c r="O1050" t="s">
        <v>3707</v>
      </c>
    </row>
    <row r="1051" spans="1:15" x14ac:dyDescent="0.35">
      <c r="A1051" t="s">
        <v>1064</v>
      </c>
      <c r="B1051" t="s">
        <v>1493</v>
      </c>
      <c r="C1051" t="s">
        <v>2266</v>
      </c>
      <c r="D1051" t="s">
        <v>3521</v>
      </c>
      <c r="E1051" t="s">
        <v>3671</v>
      </c>
      <c r="F1051">
        <v>53</v>
      </c>
      <c r="G1051" t="s">
        <v>3677</v>
      </c>
      <c r="H1051" t="s">
        <v>3680</v>
      </c>
      <c r="I1051" t="s">
        <v>3685</v>
      </c>
      <c r="J1051" t="s">
        <v>3692</v>
      </c>
      <c r="K1051" t="s">
        <v>3695</v>
      </c>
      <c r="L1051">
        <v>2</v>
      </c>
      <c r="M1051">
        <v>12000</v>
      </c>
      <c r="N1051" t="s">
        <v>3704</v>
      </c>
      <c r="O1051" t="s">
        <v>3705</v>
      </c>
    </row>
    <row r="1052" spans="1:15" x14ac:dyDescent="0.35">
      <c r="A1052" t="s">
        <v>1065</v>
      </c>
      <c r="B1052" t="s">
        <v>1759</v>
      </c>
      <c r="C1052" t="s">
        <v>2202</v>
      </c>
      <c r="D1052" t="s">
        <v>3522</v>
      </c>
      <c r="E1052" t="s">
        <v>3671</v>
      </c>
      <c r="F1052">
        <v>36</v>
      </c>
      <c r="G1052" t="s">
        <v>3677</v>
      </c>
      <c r="H1052" t="s">
        <v>3680</v>
      </c>
      <c r="I1052" t="s">
        <v>3685</v>
      </c>
      <c r="J1052" t="s">
        <v>3692</v>
      </c>
      <c r="K1052" t="s">
        <v>3695</v>
      </c>
      <c r="L1052">
        <v>5</v>
      </c>
      <c r="M1052">
        <v>12000</v>
      </c>
      <c r="N1052" t="s">
        <v>3702</v>
      </c>
      <c r="O1052" t="s">
        <v>3707</v>
      </c>
    </row>
    <row r="1053" spans="1:15" x14ac:dyDescent="0.35">
      <c r="A1053" t="s">
        <v>1066</v>
      </c>
      <c r="B1053" t="s">
        <v>1372</v>
      </c>
      <c r="C1053" t="s">
        <v>1818</v>
      </c>
      <c r="D1053" t="s">
        <v>3523</v>
      </c>
      <c r="E1053" t="s">
        <v>3671</v>
      </c>
      <c r="F1053">
        <v>35</v>
      </c>
      <c r="G1053" t="s">
        <v>3675</v>
      </c>
      <c r="H1053" t="s">
        <v>3681</v>
      </c>
      <c r="I1053" t="s">
        <v>3688</v>
      </c>
      <c r="J1053" t="s">
        <v>3694</v>
      </c>
      <c r="K1053" t="s">
        <v>3698</v>
      </c>
      <c r="L1053">
        <v>4</v>
      </c>
      <c r="M1053">
        <v>4500</v>
      </c>
      <c r="N1053" t="s">
        <v>3701</v>
      </c>
      <c r="O1053" t="s">
        <v>3707</v>
      </c>
    </row>
    <row r="1054" spans="1:15" x14ac:dyDescent="0.35">
      <c r="A1054" t="s">
        <v>1067</v>
      </c>
      <c r="B1054" t="s">
        <v>1338</v>
      </c>
      <c r="C1054" t="s">
        <v>2370</v>
      </c>
      <c r="D1054" t="s">
        <v>3524</v>
      </c>
      <c r="E1054" t="s">
        <v>3672</v>
      </c>
      <c r="F1054">
        <v>38</v>
      </c>
      <c r="G1054" t="s">
        <v>3673</v>
      </c>
      <c r="H1054" t="s">
        <v>3673</v>
      </c>
      <c r="I1054" t="s">
        <v>3688</v>
      </c>
      <c r="J1054" t="s">
        <v>3694</v>
      </c>
      <c r="K1054" t="s">
        <v>3698</v>
      </c>
      <c r="L1054">
        <v>4</v>
      </c>
      <c r="M1054">
        <v>4500</v>
      </c>
      <c r="N1054" t="s">
        <v>3704</v>
      </c>
      <c r="O1054" t="s">
        <v>3707</v>
      </c>
    </row>
    <row r="1055" spans="1:15" x14ac:dyDescent="0.35">
      <c r="A1055" t="s">
        <v>1068</v>
      </c>
      <c r="B1055" t="s">
        <v>1548</v>
      </c>
      <c r="C1055" t="s">
        <v>2136</v>
      </c>
      <c r="D1055" t="s">
        <v>3525</v>
      </c>
      <c r="E1055" t="s">
        <v>3672</v>
      </c>
      <c r="F1055">
        <v>50</v>
      </c>
      <c r="G1055" t="s">
        <v>3678</v>
      </c>
      <c r="H1055" t="s">
        <v>3683</v>
      </c>
      <c r="I1055" t="s">
        <v>3688</v>
      </c>
      <c r="J1055" t="s">
        <v>3694</v>
      </c>
      <c r="K1055" t="s">
        <v>3698</v>
      </c>
      <c r="L1055">
        <v>1</v>
      </c>
      <c r="M1055">
        <v>4500</v>
      </c>
      <c r="N1055" t="s">
        <v>3702</v>
      </c>
      <c r="O1055" t="s">
        <v>3707</v>
      </c>
    </row>
    <row r="1056" spans="1:15" x14ac:dyDescent="0.35">
      <c r="A1056" t="s">
        <v>1069</v>
      </c>
      <c r="B1056" t="s">
        <v>1266</v>
      </c>
      <c r="C1056" t="s">
        <v>1869</v>
      </c>
      <c r="D1056" t="s">
        <v>3526</v>
      </c>
      <c r="E1056" t="s">
        <v>3671</v>
      </c>
      <c r="F1056">
        <v>56</v>
      </c>
      <c r="G1056" t="s">
        <v>3674</v>
      </c>
      <c r="H1056" t="s">
        <v>3680</v>
      </c>
      <c r="I1056" t="s">
        <v>3688</v>
      </c>
      <c r="J1056" t="s">
        <v>3694</v>
      </c>
      <c r="K1056" t="s">
        <v>3698</v>
      </c>
      <c r="L1056">
        <v>3</v>
      </c>
      <c r="M1056">
        <v>4500</v>
      </c>
      <c r="N1056" t="s">
        <v>3701</v>
      </c>
      <c r="O1056" t="s">
        <v>3706</v>
      </c>
    </row>
    <row r="1057" spans="1:15" x14ac:dyDescent="0.35">
      <c r="A1057" t="s">
        <v>1070</v>
      </c>
      <c r="B1057" t="s">
        <v>1572</v>
      </c>
      <c r="C1057" t="s">
        <v>1872</v>
      </c>
      <c r="D1057" t="s">
        <v>3215</v>
      </c>
      <c r="E1057" t="s">
        <v>3671</v>
      </c>
      <c r="F1057">
        <v>25</v>
      </c>
      <c r="G1057" t="s">
        <v>3674</v>
      </c>
      <c r="H1057" t="s">
        <v>3680</v>
      </c>
      <c r="I1057" t="s">
        <v>3690</v>
      </c>
      <c r="J1057" t="s">
        <v>3693</v>
      </c>
      <c r="K1057" t="s">
        <v>3700</v>
      </c>
      <c r="L1057">
        <v>5</v>
      </c>
      <c r="M1057">
        <v>72000</v>
      </c>
      <c r="N1057" t="s">
        <v>3701</v>
      </c>
      <c r="O1057" t="s">
        <v>3707</v>
      </c>
    </row>
    <row r="1058" spans="1:15" x14ac:dyDescent="0.35">
      <c r="A1058" t="s">
        <v>1071</v>
      </c>
      <c r="B1058" t="s">
        <v>1760</v>
      </c>
      <c r="C1058" t="s">
        <v>2230</v>
      </c>
      <c r="D1058" t="s">
        <v>3527</v>
      </c>
      <c r="E1058" t="s">
        <v>3671</v>
      </c>
      <c r="F1058">
        <v>31</v>
      </c>
      <c r="G1058" t="s">
        <v>3675</v>
      </c>
      <c r="H1058" t="s">
        <v>3681</v>
      </c>
      <c r="I1058" t="s">
        <v>3691</v>
      </c>
      <c r="J1058" t="s">
        <v>3693</v>
      </c>
      <c r="K1058" t="s">
        <v>3696</v>
      </c>
      <c r="L1058">
        <v>5</v>
      </c>
      <c r="M1058">
        <v>58000</v>
      </c>
      <c r="N1058" t="s">
        <v>3702</v>
      </c>
      <c r="O1058" t="s">
        <v>3705</v>
      </c>
    </row>
    <row r="1059" spans="1:15" x14ac:dyDescent="0.35">
      <c r="A1059" t="s">
        <v>1072</v>
      </c>
      <c r="B1059" t="s">
        <v>1382</v>
      </c>
      <c r="C1059" t="s">
        <v>2443</v>
      </c>
      <c r="D1059" t="s">
        <v>3528</v>
      </c>
      <c r="E1059" t="s">
        <v>3671</v>
      </c>
      <c r="F1059">
        <v>49</v>
      </c>
      <c r="G1059" t="s">
        <v>3675</v>
      </c>
      <c r="H1059" t="s">
        <v>3681</v>
      </c>
      <c r="I1059" t="s">
        <v>3690</v>
      </c>
      <c r="J1059" t="s">
        <v>3693</v>
      </c>
      <c r="K1059" t="s">
        <v>3700</v>
      </c>
      <c r="L1059">
        <v>4</v>
      </c>
      <c r="M1059">
        <v>72000</v>
      </c>
      <c r="N1059" t="s">
        <v>3702</v>
      </c>
      <c r="O1059" t="s">
        <v>3707</v>
      </c>
    </row>
    <row r="1060" spans="1:15" x14ac:dyDescent="0.35">
      <c r="A1060" t="s">
        <v>1073</v>
      </c>
      <c r="B1060" t="s">
        <v>1546</v>
      </c>
      <c r="C1060" t="s">
        <v>1941</v>
      </c>
      <c r="D1060" t="s">
        <v>3529</v>
      </c>
      <c r="E1060" t="s">
        <v>3672</v>
      </c>
      <c r="F1060">
        <v>32</v>
      </c>
      <c r="G1060" t="s">
        <v>3679</v>
      </c>
      <c r="H1060" t="s">
        <v>3684</v>
      </c>
      <c r="I1060" t="s">
        <v>3686</v>
      </c>
      <c r="J1060" t="s">
        <v>3693</v>
      </c>
      <c r="K1060" t="s">
        <v>3696</v>
      </c>
      <c r="L1060">
        <v>1</v>
      </c>
      <c r="M1060">
        <v>65000</v>
      </c>
      <c r="N1060" t="s">
        <v>3703</v>
      </c>
      <c r="O1060" t="s">
        <v>3705</v>
      </c>
    </row>
    <row r="1061" spans="1:15" x14ac:dyDescent="0.35">
      <c r="A1061" t="s">
        <v>1074</v>
      </c>
      <c r="B1061" t="s">
        <v>1377</v>
      </c>
      <c r="C1061" t="s">
        <v>2301</v>
      </c>
      <c r="D1061" t="s">
        <v>3530</v>
      </c>
      <c r="E1061" t="s">
        <v>3672</v>
      </c>
      <c r="F1061">
        <v>26</v>
      </c>
      <c r="G1061" t="s">
        <v>3679</v>
      </c>
      <c r="H1061" t="s">
        <v>3684</v>
      </c>
      <c r="I1061" t="s">
        <v>3686</v>
      </c>
      <c r="J1061" t="s">
        <v>3693</v>
      </c>
      <c r="K1061" t="s">
        <v>3696</v>
      </c>
      <c r="L1061">
        <v>5</v>
      </c>
      <c r="M1061">
        <v>65000</v>
      </c>
      <c r="N1061" t="s">
        <v>3704</v>
      </c>
      <c r="O1061" t="s">
        <v>3706</v>
      </c>
    </row>
    <row r="1062" spans="1:15" x14ac:dyDescent="0.35">
      <c r="A1062" t="s">
        <v>1075</v>
      </c>
      <c r="B1062" t="s">
        <v>1380</v>
      </c>
      <c r="C1062" t="s">
        <v>2444</v>
      </c>
      <c r="D1062" t="s">
        <v>3531</v>
      </c>
      <c r="E1062" t="s">
        <v>3671</v>
      </c>
      <c r="F1062">
        <v>42</v>
      </c>
      <c r="G1062" t="s">
        <v>3678</v>
      </c>
      <c r="H1062" t="s">
        <v>3683</v>
      </c>
      <c r="I1062" t="s">
        <v>3686</v>
      </c>
      <c r="J1062" t="s">
        <v>3693</v>
      </c>
      <c r="K1062" t="s">
        <v>3696</v>
      </c>
      <c r="L1062">
        <v>5</v>
      </c>
      <c r="M1062">
        <v>65000</v>
      </c>
      <c r="N1062" t="s">
        <v>3702</v>
      </c>
      <c r="O1062" t="s">
        <v>3706</v>
      </c>
    </row>
    <row r="1063" spans="1:15" x14ac:dyDescent="0.35">
      <c r="A1063" t="s">
        <v>1076</v>
      </c>
      <c r="B1063" t="s">
        <v>1410</v>
      </c>
      <c r="C1063" t="s">
        <v>2022</v>
      </c>
      <c r="D1063" t="s">
        <v>3532</v>
      </c>
      <c r="E1063" t="s">
        <v>3672</v>
      </c>
      <c r="F1063">
        <v>42</v>
      </c>
      <c r="G1063" t="s">
        <v>3675</v>
      </c>
      <c r="H1063" t="s">
        <v>3681</v>
      </c>
      <c r="I1063" t="s">
        <v>3685</v>
      </c>
      <c r="J1063" t="s">
        <v>3692</v>
      </c>
      <c r="K1063" t="s">
        <v>3695</v>
      </c>
      <c r="L1063">
        <v>2</v>
      </c>
      <c r="M1063">
        <v>12000</v>
      </c>
      <c r="N1063" t="s">
        <v>3703</v>
      </c>
      <c r="O1063" t="s">
        <v>3705</v>
      </c>
    </row>
    <row r="1064" spans="1:15" x14ac:dyDescent="0.35">
      <c r="A1064" t="s">
        <v>1077</v>
      </c>
      <c r="B1064" t="s">
        <v>1225</v>
      </c>
      <c r="C1064" t="s">
        <v>2344</v>
      </c>
      <c r="D1064" t="s">
        <v>3533</v>
      </c>
      <c r="E1064" t="s">
        <v>3672</v>
      </c>
      <c r="F1064">
        <v>49</v>
      </c>
      <c r="G1064" t="s">
        <v>3674</v>
      </c>
      <c r="H1064" t="s">
        <v>3680</v>
      </c>
      <c r="I1064" t="s">
        <v>3686</v>
      </c>
      <c r="J1064" t="s">
        <v>3693</v>
      </c>
      <c r="K1064" t="s">
        <v>3696</v>
      </c>
      <c r="L1064">
        <v>5</v>
      </c>
      <c r="M1064">
        <v>65000</v>
      </c>
      <c r="N1064" t="s">
        <v>3703</v>
      </c>
      <c r="O1064" t="s">
        <v>3706</v>
      </c>
    </row>
    <row r="1065" spans="1:15" x14ac:dyDescent="0.35">
      <c r="A1065" t="s">
        <v>1078</v>
      </c>
      <c r="B1065" t="s">
        <v>1369</v>
      </c>
      <c r="C1065" t="s">
        <v>2271</v>
      </c>
      <c r="D1065" t="s">
        <v>3534</v>
      </c>
      <c r="E1065" t="s">
        <v>3671</v>
      </c>
      <c r="F1065">
        <v>34</v>
      </c>
      <c r="G1065" t="s">
        <v>3678</v>
      </c>
      <c r="H1065" t="s">
        <v>3683</v>
      </c>
      <c r="I1065" t="s">
        <v>3687</v>
      </c>
      <c r="J1065" t="s">
        <v>3693</v>
      </c>
      <c r="K1065" t="s">
        <v>3697</v>
      </c>
      <c r="L1065">
        <v>2</v>
      </c>
      <c r="M1065">
        <v>5000</v>
      </c>
      <c r="N1065" t="s">
        <v>3704</v>
      </c>
      <c r="O1065" t="s">
        <v>3706</v>
      </c>
    </row>
    <row r="1066" spans="1:15" x14ac:dyDescent="0.35">
      <c r="A1066" t="s">
        <v>1079</v>
      </c>
      <c r="B1066" t="s">
        <v>1699</v>
      </c>
      <c r="C1066" t="s">
        <v>2035</v>
      </c>
      <c r="D1066" t="s">
        <v>3535</v>
      </c>
      <c r="E1066" t="s">
        <v>3672</v>
      </c>
      <c r="F1066">
        <v>54</v>
      </c>
      <c r="G1066" t="s">
        <v>3678</v>
      </c>
      <c r="H1066" t="s">
        <v>3683</v>
      </c>
      <c r="I1066" t="s">
        <v>3686</v>
      </c>
      <c r="J1066" t="s">
        <v>3693</v>
      </c>
      <c r="K1066" t="s">
        <v>3696</v>
      </c>
      <c r="L1066">
        <v>1</v>
      </c>
      <c r="M1066">
        <v>65000</v>
      </c>
      <c r="N1066" t="s">
        <v>3703</v>
      </c>
      <c r="O1066" t="s">
        <v>3707</v>
      </c>
    </row>
    <row r="1067" spans="1:15" x14ac:dyDescent="0.35">
      <c r="A1067" t="s">
        <v>1080</v>
      </c>
      <c r="B1067" t="s">
        <v>1253</v>
      </c>
      <c r="C1067" t="s">
        <v>2234</v>
      </c>
      <c r="D1067" t="s">
        <v>3536</v>
      </c>
      <c r="E1067" t="s">
        <v>3672</v>
      </c>
      <c r="F1067">
        <v>38</v>
      </c>
      <c r="G1067" t="s">
        <v>3674</v>
      </c>
      <c r="H1067" t="s">
        <v>3680</v>
      </c>
      <c r="I1067" t="s">
        <v>3690</v>
      </c>
      <c r="J1067" t="s">
        <v>3693</v>
      </c>
      <c r="K1067" t="s">
        <v>3700</v>
      </c>
      <c r="L1067">
        <v>2</v>
      </c>
      <c r="M1067">
        <v>72000</v>
      </c>
      <c r="N1067" t="s">
        <v>3704</v>
      </c>
      <c r="O1067" t="s">
        <v>3707</v>
      </c>
    </row>
    <row r="1068" spans="1:15" x14ac:dyDescent="0.35">
      <c r="A1068" t="s">
        <v>1081</v>
      </c>
      <c r="B1068" t="s">
        <v>1732</v>
      </c>
      <c r="C1068" t="s">
        <v>2280</v>
      </c>
      <c r="D1068" t="s">
        <v>3537</v>
      </c>
      <c r="E1068" t="s">
        <v>3671</v>
      </c>
      <c r="F1068">
        <v>34</v>
      </c>
      <c r="G1068" t="s">
        <v>3676</v>
      </c>
      <c r="H1068" t="s">
        <v>3682</v>
      </c>
      <c r="I1068" t="s">
        <v>3688</v>
      </c>
      <c r="J1068" t="s">
        <v>3694</v>
      </c>
      <c r="K1068" t="s">
        <v>3698</v>
      </c>
      <c r="L1068">
        <v>4</v>
      </c>
      <c r="M1068">
        <v>4500</v>
      </c>
      <c r="N1068" t="s">
        <v>3702</v>
      </c>
      <c r="O1068" t="s">
        <v>3706</v>
      </c>
    </row>
    <row r="1069" spans="1:15" x14ac:dyDescent="0.35">
      <c r="A1069" t="s">
        <v>1082</v>
      </c>
      <c r="B1069" t="s">
        <v>1318</v>
      </c>
      <c r="C1069" t="s">
        <v>2127</v>
      </c>
      <c r="D1069" t="s">
        <v>3538</v>
      </c>
      <c r="E1069" t="s">
        <v>3672</v>
      </c>
      <c r="F1069">
        <v>57</v>
      </c>
      <c r="G1069" t="s">
        <v>3678</v>
      </c>
      <c r="H1069" t="s">
        <v>3683</v>
      </c>
      <c r="I1069" t="s">
        <v>3686</v>
      </c>
      <c r="J1069" t="s">
        <v>3693</v>
      </c>
      <c r="K1069" t="s">
        <v>3696</v>
      </c>
      <c r="L1069">
        <v>3</v>
      </c>
      <c r="M1069">
        <v>65000</v>
      </c>
      <c r="N1069" t="s">
        <v>3703</v>
      </c>
      <c r="O1069" t="s">
        <v>3707</v>
      </c>
    </row>
    <row r="1070" spans="1:15" x14ac:dyDescent="0.35">
      <c r="A1070" t="s">
        <v>1083</v>
      </c>
      <c r="B1070" t="s">
        <v>1252</v>
      </c>
      <c r="C1070" t="s">
        <v>1988</v>
      </c>
      <c r="D1070" t="s">
        <v>3539</v>
      </c>
      <c r="E1070" t="s">
        <v>3671</v>
      </c>
      <c r="F1070">
        <v>49</v>
      </c>
      <c r="G1070" t="s">
        <v>3674</v>
      </c>
      <c r="H1070" t="s">
        <v>3680</v>
      </c>
      <c r="I1070" t="s">
        <v>3686</v>
      </c>
      <c r="J1070" t="s">
        <v>3693</v>
      </c>
      <c r="K1070" t="s">
        <v>3696</v>
      </c>
      <c r="L1070">
        <v>3</v>
      </c>
      <c r="M1070">
        <v>65000</v>
      </c>
      <c r="N1070" t="s">
        <v>3703</v>
      </c>
      <c r="O1070" t="s">
        <v>3707</v>
      </c>
    </row>
    <row r="1071" spans="1:15" x14ac:dyDescent="0.35">
      <c r="A1071" t="s">
        <v>1084</v>
      </c>
      <c r="B1071" t="s">
        <v>1250</v>
      </c>
      <c r="C1071" t="s">
        <v>2445</v>
      </c>
      <c r="D1071" t="s">
        <v>3540</v>
      </c>
      <c r="E1071" t="s">
        <v>3671</v>
      </c>
      <c r="F1071">
        <v>30</v>
      </c>
      <c r="G1071" t="s">
        <v>3678</v>
      </c>
      <c r="H1071" t="s">
        <v>3683</v>
      </c>
      <c r="I1071" t="s">
        <v>3688</v>
      </c>
      <c r="J1071" t="s">
        <v>3694</v>
      </c>
      <c r="K1071" t="s">
        <v>3698</v>
      </c>
      <c r="L1071">
        <v>4</v>
      </c>
      <c r="M1071">
        <v>4500</v>
      </c>
      <c r="N1071" t="s">
        <v>3704</v>
      </c>
      <c r="O1071" t="s">
        <v>3705</v>
      </c>
    </row>
    <row r="1072" spans="1:15" x14ac:dyDescent="0.35">
      <c r="A1072" t="s">
        <v>1085</v>
      </c>
      <c r="B1072" t="s">
        <v>1632</v>
      </c>
      <c r="C1072" t="s">
        <v>2151</v>
      </c>
      <c r="D1072" t="s">
        <v>3541</v>
      </c>
      <c r="E1072" t="s">
        <v>3671</v>
      </c>
      <c r="F1072">
        <v>30</v>
      </c>
      <c r="G1072" t="s">
        <v>3673</v>
      </c>
      <c r="H1072" t="s">
        <v>3673</v>
      </c>
      <c r="I1072" t="s">
        <v>3685</v>
      </c>
      <c r="J1072" t="s">
        <v>3692</v>
      </c>
      <c r="K1072" t="s">
        <v>3695</v>
      </c>
      <c r="L1072">
        <v>3</v>
      </c>
      <c r="M1072">
        <v>12000</v>
      </c>
      <c r="N1072" t="s">
        <v>3702</v>
      </c>
      <c r="O1072" t="s">
        <v>3706</v>
      </c>
    </row>
    <row r="1073" spans="1:15" x14ac:dyDescent="0.35">
      <c r="A1073" t="s">
        <v>1086</v>
      </c>
      <c r="B1073" t="s">
        <v>1355</v>
      </c>
      <c r="C1073" t="s">
        <v>2103</v>
      </c>
      <c r="D1073" t="s">
        <v>3542</v>
      </c>
      <c r="E1073" t="s">
        <v>3672</v>
      </c>
      <c r="F1073">
        <v>55</v>
      </c>
      <c r="G1073" t="s">
        <v>3675</v>
      </c>
      <c r="H1073" t="s">
        <v>3681</v>
      </c>
      <c r="I1073" t="s">
        <v>3690</v>
      </c>
      <c r="J1073" t="s">
        <v>3693</v>
      </c>
      <c r="K1073" t="s">
        <v>3700</v>
      </c>
      <c r="L1073">
        <v>2</v>
      </c>
      <c r="M1073">
        <v>72000</v>
      </c>
      <c r="N1073" t="s">
        <v>3701</v>
      </c>
      <c r="O1073" t="s">
        <v>3706</v>
      </c>
    </row>
    <row r="1074" spans="1:15" x14ac:dyDescent="0.35">
      <c r="A1074" t="s">
        <v>1087</v>
      </c>
      <c r="B1074" t="s">
        <v>1265</v>
      </c>
      <c r="C1074" t="s">
        <v>1899</v>
      </c>
      <c r="D1074" t="s">
        <v>3543</v>
      </c>
      <c r="E1074" t="s">
        <v>3672</v>
      </c>
      <c r="F1074">
        <v>21</v>
      </c>
      <c r="G1074" t="s">
        <v>3674</v>
      </c>
      <c r="H1074" t="s">
        <v>3680</v>
      </c>
      <c r="I1074" t="s">
        <v>3690</v>
      </c>
      <c r="J1074" t="s">
        <v>3693</v>
      </c>
      <c r="K1074" t="s">
        <v>3700</v>
      </c>
      <c r="L1074">
        <v>5</v>
      </c>
      <c r="M1074">
        <v>72000</v>
      </c>
      <c r="N1074" t="s">
        <v>3703</v>
      </c>
      <c r="O1074" t="s">
        <v>3706</v>
      </c>
    </row>
    <row r="1075" spans="1:15" x14ac:dyDescent="0.35">
      <c r="A1075" t="s">
        <v>1088</v>
      </c>
      <c r="B1075" t="s">
        <v>1236</v>
      </c>
      <c r="C1075" t="s">
        <v>2446</v>
      </c>
      <c r="D1075" t="s">
        <v>3544</v>
      </c>
      <c r="E1075" t="s">
        <v>3671</v>
      </c>
      <c r="F1075">
        <v>39</v>
      </c>
      <c r="G1075" t="s">
        <v>3673</v>
      </c>
      <c r="H1075" t="s">
        <v>3673</v>
      </c>
      <c r="I1075" t="s">
        <v>3688</v>
      </c>
      <c r="J1075" t="s">
        <v>3694</v>
      </c>
      <c r="K1075" t="s">
        <v>3698</v>
      </c>
      <c r="L1075">
        <v>1</v>
      </c>
      <c r="M1075">
        <v>4500</v>
      </c>
      <c r="N1075" t="s">
        <v>3704</v>
      </c>
      <c r="O1075" t="s">
        <v>3706</v>
      </c>
    </row>
    <row r="1076" spans="1:15" x14ac:dyDescent="0.35">
      <c r="A1076" t="s">
        <v>1089</v>
      </c>
      <c r="B1076" t="s">
        <v>1385</v>
      </c>
      <c r="C1076" t="s">
        <v>2012</v>
      </c>
      <c r="D1076" t="s">
        <v>3545</v>
      </c>
      <c r="E1076" t="s">
        <v>3671</v>
      </c>
      <c r="F1076">
        <v>42</v>
      </c>
      <c r="G1076" t="s">
        <v>3675</v>
      </c>
      <c r="H1076" t="s">
        <v>3681</v>
      </c>
      <c r="I1076" t="s">
        <v>3689</v>
      </c>
      <c r="J1076" t="s">
        <v>3694</v>
      </c>
      <c r="K1076" t="s">
        <v>3699</v>
      </c>
      <c r="L1076">
        <v>2</v>
      </c>
      <c r="M1076">
        <v>1800</v>
      </c>
      <c r="N1076" t="s">
        <v>3701</v>
      </c>
      <c r="O1076" t="s">
        <v>3705</v>
      </c>
    </row>
    <row r="1077" spans="1:15" x14ac:dyDescent="0.35">
      <c r="A1077" t="s">
        <v>1090</v>
      </c>
      <c r="B1077" t="s">
        <v>1387</v>
      </c>
      <c r="C1077" t="s">
        <v>2430</v>
      </c>
      <c r="D1077" t="s">
        <v>3546</v>
      </c>
      <c r="E1077" t="s">
        <v>3672</v>
      </c>
      <c r="F1077">
        <v>52</v>
      </c>
      <c r="G1077" t="s">
        <v>3676</v>
      </c>
      <c r="H1077" t="s">
        <v>3682</v>
      </c>
      <c r="I1077" t="s">
        <v>3685</v>
      </c>
      <c r="J1077" t="s">
        <v>3692</v>
      </c>
      <c r="K1077" t="s">
        <v>3695</v>
      </c>
      <c r="L1077">
        <v>5</v>
      </c>
      <c r="M1077">
        <v>12000</v>
      </c>
      <c r="N1077" t="s">
        <v>3704</v>
      </c>
      <c r="O1077" t="s">
        <v>3705</v>
      </c>
    </row>
    <row r="1078" spans="1:15" x14ac:dyDescent="0.35">
      <c r="A1078" t="s">
        <v>1091</v>
      </c>
      <c r="B1078" t="s">
        <v>1373</v>
      </c>
      <c r="C1078" t="s">
        <v>2089</v>
      </c>
      <c r="D1078" t="s">
        <v>3547</v>
      </c>
      <c r="E1078" t="s">
        <v>3672</v>
      </c>
      <c r="F1078">
        <v>33</v>
      </c>
      <c r="G1078" t="s">
        <v>3673</v>
      </c>
      <c r="H1078" t="s">
        <v>3673</v>
      </c>
      <c r="I1078" t="s">
        <v>3686</v>
      </c>
      <c r="J1078" t="s">
        <v>3693</v>
      </c>
      <c r="K1078" t="s">
        <v>3696</v>
      </c>
      <c r="L1078">
        <v>1</v>
      </c>
      <c r="M1078">
        <v>65000</v>
      </c>
      <c r="N1078" t="s">
        <v>3702</v>
      </c>
      <c r="O1078" t="s">
        <v>3705</v>
      </c>
    </row>
    <row r="1079" spans="1:15" x14ac:dyDescent="0.35">
      <c r="A1079" t="s">
        <v>1092</v>
      </c>
      <c r="B1079" t="s">
        <v>1268</v>
      </c>
      <c r="C1079" t="s">
        <v>2198</v>
      </c>
      <c r="D1079" t="s">
        <v>3548</v>
      </c>
      <c r="E1079" t="s">
        <v>3671</v>
      </c>
      <c r="F1079">
        <v>30</v>
      </c>
      <c r="G1079" t="s">
        <v>3677</v>
      </c>
      <c r="H1079" t="s">
        <v>3680</v>
      </c>
      <c r="I1079" t="s">
        <v>3689</v>
      </c>
      <c r="J1079" t="s">
        <v>3694</v>
      </c>
      <c r="K1079" t="s">
        <v>3699</v>
      </c>
      <c r="L1079">
        <v>5</v>
      </c>
      <c r="M1079">
        <v>1800</v>
      </c>
      <c r="N1079" t="s">
        <v>3702</v>
      </c>
      <c r="O1079" t="s">
        <v>3707</v>
      </c>
    </row>
    <row r="1080" spans="1:15" x14ac:dyDescent="0.35">
      <c r="A1080" t="s">
        <v>1093</v>
      </c>
      <c r="B1080" t="s">
        <v>1458</v>
      </c>
      <c r="C1080" t="s">
        <v>2108</v>
      </c>
      <c r="D1080" t="s">
        <v>3549</v>
      </c>
      <c r="E1080" t="s">
        <v>3671</v>
      </c>
      <c r="F1080">
        <v>46</v>
      </c>
      <c r="G1080" t="s">
        <v>3676</v>
      </c>
      <c r="H1080" t="s">
        <v>3682</v>
      </c>
      <c r="I1080" t="s">
        <v>3688</v>
      </c>
      <c r="J1080" t="s">
        <v>3694</v>
      </c>
      <c r="K1080" t="s">
        <v>3698</v>
      </c>
      <c r="L1080">
        <v>3</v>
      </c>
      <c r="M1080">
        <v>4500</v>
      </c>
      <c r="N1080" t="s">
        <v>3702</v>
      </c>
      <c r="O1080" t="s">
        <v>3707</v>
      </c>
    </row>
    <row r="1081" spans="1:15" x14ac:dyDescent="0.35">
      <c r="A1081" t="s">
        <v>1094</v>
      </c>
      <c r="B1081" t="s">
        <v>1672</v>
      </c>
      <c r="C1081" t="s">
        <v>2323</v>
      </c>
      <c r="D1081" t="s">
        <v>3550</v>
      </c>
      <c r="E1081" t="s">
        <v>3672</v>
      </c>
      <c r="F1081">
        <v>40</v>
      </c>
      <c r="G1081" t="s">
        <v>3679</v>
      </c>
      <c r="H1081" t="s">
        <v>3684</v>
      </c>
      <c r="I1081" t="s">
        <v>3687</v>
      </c>
      <c r="J1081" t="s">
        <v>3693</v>
      </c>
      <c r="K1081" t="s">
        <v>3697</v>
      </c>
      <c r="L1081">
        <v>3</v>
      </c>
      <c r="M1081">
        <v>5000</v>
      </c>
      <c r="N1081" t="s">
        <v>3703</v>
      </c>
      <c r="O1081" t="s">
        <v>3707</v>
      </c>
    </row>
    <row r="1082" spans="1:15" x14ac:dyDescent="0.35">
      <c r="A1082" t="s">
        <v>1095</v>
      </c>
      <c r="B1082" t="s">
        <v>1614</v>
      </c>
      <c r="C1082" t="s">
        <v>2281</v>
      </c>
      <c r="D1082" t="s">
        <v>3551</v>
      </c>
      <c r="E1082" t="s">
        <v>3672</v>
      </c>
      <c r="F1082">
        <v>50</v>
      </c>
      <c r="G1082" t="s">
        <v>3679</v>
      </c>
      <c r="H1082" t="s">
        <v>3684</v>
      </c>
      <c r="I1082" t="s">
        <v>3686</v>
      </c>
      <c r="J1082" t="s">
        <v>3693</v>
      </c>
      <c r="K1082" t="s">
        <v>3696</v>
      </c>
      <c r="L1082">
        <v>5</v>
      </c>
      <c r="M1082">
        <v>65000</v>
      </c>
      <c r="N1082" t="s">
        <v>3701</v>
      </c>
      <c r="O1082" t="s">
        <v>3707</v>
      </c>
    </row>
    <row r="1083" spans="1:15" x14ac:dyDescent="0.35">
      <c r="A1083" t="s">
        <v>1096</v>
      </c>
      <c r="B1083" t="s">
        <v>1408</v>
      </c>
      <c r="C1083" t="s">
        <v>2430</v>
      </c>
      <c r="D1083" t="s">
        <v>3552</v>
      </c>
      <c r="E1083" t="s">
        <v>3671</v>
      </c>
      <c r="F1083">
        <v>39</v>
      </c>
      <c r="G1083" t="s">
        <v>3673</v>
      </c>
      <c r="H1083" t="s">
        <v>3673</v>
      </c>
      <c r="I1083" t="s">
        <v>3691</v>
      </c>
      <c r="J1083" t="s">
        <v>3693</v>
      </c>
      <c r="K1083" t="s">
        <v>3696</v>
      </c>
      <c r="L1083">
        <v>4</v>
      </c>
      <c r="M1083">
        <v>58000</v>
      </c>
      <c r="N1083" t="s">
        <v>3704</v>
      </c>
      <c r="O1083" t="s">
        <v>3706</v>
      </c>
    </row>
    <row r="1084" spans="1:15" x14ac:dyDescent="0.35">
      <c r="A1084" t="s">
        <v>1097</v>
      </c>
      <c r="B1084" t="s">
        <v>1244</v>
      </c>
      <c r="C1084" t="s">
        <v>1893</v>
      </c>
      <c r="D1084" t="s">
        <v>3553</v>
      </c>
      <c r="E1084" t="s">
        <v>3671</v>
      </c>
      <c r="F1084">
        <v>49</v>
      </c>
      <c r="G1084" t="s">
        <v>3676</v>
      </c>
      <c r="H1084" t="s">
        <v>3682</v>
      </c>
      <c r="I1084" t="s">
        <v>3688</v>
      </c>
      <c r="J1084" t="s">
        <v>3694</v>
      </c>
      <c r="K1084" t="s">
        <v>3698</v>
      </c>
      <c r="L1084">
        <v>2</v>
      </c>
      <c r="M1084">
        <v>4500</v>
      </c>
      <c r="N1084" t="s">
        <v>3701</v>
      </c>
      <c r="O1084" t="s">
        <v>3706</v>
      </c>
    </row>
    <row r="1085" spans="1:15" x14ac:dyDescent="0.35">
      <c r="A1085" t="s">
        <v>1098</v>
      </c>
      <c r="B1085" t="s">
        <v>1644</v>
      </c>
      <c r="C1085" t="s">
        <v>2435</v>
      </c>
      <c r="D1085" t="s">
        <v>3554</v>
      </c>
      <c r="E1085" t="s">
        <v>3671</v>
      </c>
      <c r="F1085">
        <v>40</v>
      </c>
      <c r="G1085" t="s">
        <v>3678</v>
      </c>
      <c r="H1085" t="s">
        <v>3683</v>
      </c>
      <c r="I1085" t="s">
        <v>3687</v>
      </c>
      <c r="J1085" t="s">
        <v>3693</v>
      </c>
      <c r="K1085" t="s">
        <v>3697</v>
      </c>
      <c r="L1085">
        <v>1</v>
      </c>
      <c r="M1085">
        <v>5000</v>
      </c>
      <c r="N1085" t="s">
        <v>3702</v>
      </c>
      <c r="O1085" t="s">
        <v>3705</v>
      </c>
    </row>
    <row r="1086" spans="1:15" x14ac:dyDescent="0.35">
      <c r="A1086" t="s">
        <v>1099</v>
      </c>
      <c r="B1086" t="s">
        <v>1648</v>
      </c>
      <c r="C1086" t="s">
        <v>1826</v>
      </c>
      <c r="D1086" t="s">
        <v>3555</v>
      </c>
      <c r="E1086" t="s">
        <v>3672</v>
      </c>
      <c r="F1086">
        <v>32</v>
      </c>
      <c r="G1086" t="s">
        <v>3679</v>
      </c>
      <c r="H1086" t="s">
        <v>3684</v>
      </c>
      <c r="I1086" t="s">
        <v>3691</v>
      </c>
      <c r="J1086" t="s">
        <v>3693</v>
      </c>
      <c r="K1086" t="s">
        <v>3696</v>
      </c>
      <c r="L1086">
        <v>1</v>
      </c>
      <c r="M1086">
        <v>58000</v>
      </c>
      <c r="N1086" t="s">
        <v>3702</v>
      </c>
      <c r="O1086" t="s">
        <v>3705</v>
      </c>
    </row>
    <row r="1087" spans="1:15" x14ac:dyDescent="0.35">
      <c r="A1087" t="s">
        <v>1100</v>
      </c>
      <c r="B1087" t="s">
        <v>1710</v>
      </c>
      <c r="C1087" t="s">
        <v>2376</v>
      </c>
      <c r="D1087" t="s">
        <v>3556</v>
      </c>
      <c r="E1087" t="s">
        <v>3671</v>
      </c>
      <c r="F1087">
        <v>32</v>
      </c>
      <c r="G1087" t="s">
        <v>3678</v>
      </c>
      <c r="H1087" t="s">
        <v>3683</v>
      </c>
      <c r="I1087" t="s">
        <v>3690</v>
      </c>
      <c r="J1087" t="s">
        <v>3693</v>
      </c>
      <c r="K1087" t="s">
        <v>3700</v>
      </c>
      <c r="L1087">
        <v>2</v>
      </c>
      <c r="M1087">
        <v>72000</v>
      </c>
      <c r="N1087" t="s">
        <v>3701</v>
      </c>
      <c r="O1087" t="s">
        <v>3707</v>
      </c>
    </row>
    <row r="1088" spans="1:15" x14ac:dyDescent="0.35">
      <c r="A1088" t="s">
        <v>1101</v>
      </c>
      <c r="B1088" t="s">
        <v>1510</v>
      </c>
      <c r="C1088" t="s">
        <v>2257</v>
      </c>
      <c r="D1088" t="s">
        <v>3557</v>
      </c>
      <c r="E1088" t="s">
        <v>3672</v>
      </c>
      <c r="F1088">
        <v>58</v>
      </c>
      <c r="G1088" t="s">
        <v>3675</v>
      </c>
      <c r="H1088" t="s">
        <v>3681</v>
      </c>
      <c r="I1088" t="s">
        <v>3688</v>
      </c>
      <c r="J1088" t="s">
        <v>3694</v>
      </c>
      <c r="K1088" t="s">
        <v>3698</v>
      </c>
      <c r="L1088">
        <v>5</v>
      </c>
      <c r="M1088">
        <v>4500</v>
      </c>
      <c r="N1088" t="s">
        <v>3704</v>
      </c>
      <c r="O1088" t="s">
        <v>3706</v>
      </c>
    </row>
    <row r="1089" spans="1:15" x14ac:dyDescent="0.35">
      <c r="A1089" t="s">
        <v>1102</v>
      </c>
      <c r="B1089" t="s">
        <v>1610</v>
      </c>
      <c r="C1089" t="s">
        <v>2130</v>
      </c>
      <c r="D1089" t="s">
        <v>3558</v>
      </c>
      <c r="E1089" t="s">
        <v>3671</v>
      </c>
      <c r="F1089">
        <v>49</v>
      </c>
      <c r="G1089" t="s">
        <v>3679</v>
      </c>
      <c r="H1089" t="s">
        <v>3684</v>
      </c>
      <c r="I1089" t="s">
        <v>3691</v>
      </c>
      <c r="J1089" t="s">
        <v>3693</v>
      </c>
      <c r="K1089" t="s">
        <v>3696</v>
      </c>
      <c r="L1089">
        <v>3</v>
      </c>
      <c r="M1089">
        <v>58000</v>
      </c>
      <c r="N1089" t="s">
        <v>3704</v>
      </c>
      <c r="O1089" t="s">
        <v>3705</v>
      </c>
    </row>
    <row r="1090" spans="1:15" x14ac:dyDescent="0.35">
      <c r="A1090" t="s">
        <v>1103</v>
      </c>
      <c r="B1090" t="s">
        <v>1557</v>
      </c>
      <c r="C1090" t="s">
        <v>2447</v>
      </c>
      <c r="D1090" t="s">
        <v>3559</v>
      </c>
      <c r="E1090" t="s">
        <v>3672</v>
      </c>
      <c r="F1090">
        <v>37</v>
      </c>
      <c r="G1090" t="s">
        <v>3674</v>
      </c>
      <c r="H1090" t="s">
        <v>3680</v>
      </c>
      <c r="I1090" t="s">
        <v>3689</v>
      </c>
      <c r="J1090" t="s">
        <v>3694</v>
      </c>
      <c r="K1090" t="s">
        <v>3699</v>
      </c>
      <c r="L1090">
        <v>1</v>
      </c>
      <c r="M1090">
        <v>1800</v>
      </c>
      <c r="N1090" t="s">
        <v>3702</v>
      </c>
      <c r="O1090" t="s">
        <v>3706</v>
      </c>
    </row>
    <row r="1091" spans="1:15" x14ac:dyDescent="0.35">
      <c r="A1091" t="s">
        <v>1104</v>
      </c>
      <c r="B1091" t="s">
        <v>1343</v>
      </c>
      <c r="C1091" t="s">
        <v>2448</v>
      </c>
      <c r="D1091" t="s">
        <v>3560</v>
      </c>
      <c r="E1091" t="s">
        <v>3672</v>
      </c>
      <c r="F1091">
        <v>28</v>
      </c>
      <c r="G1091" t="s">
        <v>3677</v>
      </c>
      <c r="H1091" t="s">
        <v>3680</v>
      </c>
      <c r="I1091" t="s">
        <v>3690</v>
      </c>
      <c r="J1091" t="s">
        <v>3693</v>
      </c>
      <c r="K1091" t="s">
        <v>3700</v>
      </c>
      <c r="L1091">
        <v>5</v>
      </c>
      <c r="M1091">
        <v>72000</v>
      </c>
      <c r="N1091" t="s">
        <v>3701</v>
      </c>
      <c r="O1091" t="s">
        <v>3707</v>
      </c>
    </row>
    <row r="1092" spans="1:15" x14ac:dyDescent="0.35">
      <c r="A1092" t="s">
        <v>1105</v>
      </c>
      <c r="B1092" t="s">
        <v>1362</v>
      </c>
      <c r="C1092" t="s">
        <v>1888</v>
      </c>
      <c r="D1092" t="s">
        <v>3561</v>
      </c>
      <c r="E1092" t="s">
        <v>3671</v>
      </c>
      <c r="F1092">
        <v>35</v>
      </c>
      <c r="G1092" t="s">
        <v>3676</v>
      </c>
      <c r="H1092" t="s">
        <v>3682</v>
      </c>
      <c r="I1092" t="s">
        <v>3688</v>
      </c>
      <c r="J1092" t="s">
        <v>3694</v>
      </c>
      <c r="K1092" t="s">
        <v>3698</v>
      </c>
      <c r="L1092">
        <v>1</v>
      </c>
      <c r="M1092">
        <v>4500</v>
      </c>
      <c r="N1092" t="s">
        <v>3703</v>
      </c>
      <c r="O1092" t="s">
        <v>3707</v>
      </c>
    </row>
    <row r="1093" spans="1:15" x14ac:dyDescent="0.35">
      <c r="A1093" t="s">
        <v>1106</v>
      </c>
      <c r="B1093" t="s">
        <v>1730</v>
      </c>
      <c r="C1093" t="s">
        <v>2449</v>
      </c>
      <c r="D1093" t="s">
        <v>3562</v>
      </c>
      <c r="E1093" t="s">
        <v>3671</v>
      </c>
      <c r="F1093">
        <v>57</v>
      </c>
      <c r="G1093" t="s">
        <v>3673</v>
      </c>
      <c r="H1093" t="s">
        <v>3673</v>
      </c>
      <c r="I1093" t="s">
        <v>3691</v>
      </c>
      <c r="J1093" t="s">
        <v>3693</v>
      </c>
      <c r="K1093" t="s">
        <v>3696</v>
      </c>
      <c r="L1093">
        <v>2</v>
      </c>
      <c r="M1093">
        <v>58000</v>
      </c>
      <c r="N1093" t="s">
        <v>3703</v>
      </c>
      <c r="O1093" t="s">
        <v>3705</v>
      </c>
    </row>
    <row r="1094" spans="1:15" x14ac:dyDescent="0.35">
      <c r="A1094" t="s">
        <v>1107</v>
      </c>
      <c r="B1094" t="s">
        <v>1761</v>
      </c>
      <c r="C1094" t="s">
        <v>2198</v>
      </c>
      <c r="D1094" t="s">
        <v>3563</v>
      </c>
      <c r="E1094" t="s">
        <v>3671</v>
      </c>
      <c r="F1094">
        <v>45</v>
      </c>
      <c r="G1094" t="s">
        <v>3675</v>
      </c>
      <c r="H1094" t="s">
        <v>3681</v>
      </c>
      <c r="I1094" t="s">
        <v>3688</v>
      </c>
      <c r="J1094" t="s">
        <v>3694</v>
      </c>
      <c r="K1094" t="s">
        <v>3698</v>
      </c>
      <c r="L1094">
        <v>3</v>
      </c>
      <c r="M1094">
        <v>4500</v>
      </c>
      <c r="N1094" t="s">
        <v>3702</v>
      </c>
      <c r="O1094" t="s">
        <v>3705</v>
      </c>
    </row>
    <row r="1095" spans="1:15" x14ac:dyDescent="0.35">
      <c r="A1095" t="s">
        <v>1108</v>
      </c>
      <c r="B1095" t="s">
        <v>1762</v>
      </c>
      <c r="C1095" t="s">
        <v>2234</v>
      </c>
      <c r="D1095" t="s">
        <v>3564</v>
      </c>
      <c r="E1095" t="s">
        <v>3671</v>
      </c>
      <c r="F1095">
        <v>35</v>
      </c>
      <c r="G1095" t="s">
        <v>3674</v>
      </c>
      <c r="H1095" t="s">
        <v>3680</v>
      </c>
      <c r="I1095" t="s">
        <v>3686</v>
      </c>
      <c r="J1095" t="s">
        <v>3693</v>
      </c>
      <c r="K1095" t="s">
        <v>3696</v>
      </c>
      <c r="L1095">
        <v>3</v>
      </c>
      <c r="M1095">
        <v>65000</v>
      </c>
      <c r="N1095" t="s">
        <v>3701</v>
      </c>
      <c r="O1095" t="s">
        <v>3707</v>
      </c>
    </row>
    <row r="1096" spans="1:15" x14ac:dyDescent="0.35">
      <c r="A1096" t="s">
        <v>1109</v>
      </c>
      <c r="B1096" t="s">
        <v>1458</v>
      </c>
      <c r="C1096" t="s">
        <v>2450</v>
      </c>
      <c r="D1096" t="s">
        <v>3565</v>
      </c>
      <c r="E1096" t="s">
        <v>3672</v>
      </c>
      <c r="F1096">
        <v>36</v>
      </c>
      <c r="G1096" t="s">
        <v>3677</v>
      </c>
      <c r="H1096" t="s">
        <v>3680</v>
      </c>
      <c r="I1096" t="s">
        <v>3686</v>
      </c>
      <c r="J1096" t="s">
        <v>3693</v>
      </c>
      <c r="K1096" t="s">
        <v>3696</v>
      </c>
      <c r="L1096">
        <v>5</v>
      </c>
      <c r="M1096">
        <v>65000</v>
      </c>
      <c r="N1096" t="s">
        <v>3704</v>
      </c>
      <c r="O1096" t="s">
        <v>3705</v>
      </c>
    </row>
    <row r="1097" spans="1:15" x14ac:dyDescent="0.35">
      <c r="A1097" t="s">
        <v>1110</v>
      </c>
      <c r="B1097" t="s">
        <v>1717</v>
      </c>
      <c r="C1097" t="s">
        <v>2451</v>
      </c>
      <c r="D1097" t="s">
        <v>3566</v>
      </c>
      <c r="E1097" t="s">
        <v>3671</v>
      </c>
      <c r="F1097">
        <v>21</v>
      </c>
      <c r="G1097" t="s">
        <v>3674</v>
      </c>
      <c r="H1097" t="s">
        <v>3680</v>
      </c>
      <c r="I1097" t="s">
        <v>3690</v>
      </c>
      <c r="J1097" t="s">
        <v>3693</v>
      </c>
      <c r="K1097" t="s">
        <v>3700</v>
      </c>
      <c r="L1097">
        <v>1</v>
      </c>
      <c r="M1097">
        <v>72000</v>
      </c>
      <c r="N1097" t="s">
        <v>3701</v>
      </c>
      <c r="O1097" t="s">
        <v>3707</v>
      </c>
    </row>
    <row r="1098" spans="1:15" x14ac:dyDescent="0.35">
      <c r="A1098" t="s">
        <v>1111</v>
      </c>
      <c r="B1098" t="s">
        <v>1285</v>
      </c>
      <c r="C1098" t="s">
        <v>2097</v>
      </c>
      <c r="D1098" t="s">
        <v>3567</v>
      </c>
      <c r="E1098" t="s">
        <v>3672</v>
      </c>
      <c r="F1098">
        <v>29</v>
      </c>
      <c r="G1098" t="s">
        <v>3676</v>
      </c>
      <c r="H1098" t="s">
        <v>3682</v>
      </c>
      <c r="I1098" t="s">
        <v>3685</v>
      </c>
      <c r="J1098" t="s">
        <v>3692</v>
      </c>
      <c r="K1098" t="s">
        <v>3695</v>
      </c>
      <c r="L1098">
        <v>3</v>
      </c>
      <c r="M1098">
        <v>12000</v>
      </c>
      <c r="N1098" t="s">
        <v>3702</v>
      </c>
      <c r="O1098" t="s">
        <v>3705</v>
      </c>
    </row>
    <row r="1099" spans="1:15" x14ac:dyDescent="0.35">
      <c r="A1099" t="s">
        <v>1112</v>
      </c>
      <c r="B1099" t="s">
        <v>1255</v>
      </c>
      <c r="C1099" t="s">
        <v>2214</v>
      </c>
      <c r="D1099" t="s">
        <v>3568</v>
      </c>
      <c r="E1099" t="s">
        <v>3672</v>
      </c>
      <c r="F1099">
        <v>21</v>
      </c>
      <c r="G1099" t="s">
        <v>3675</v>
      </c>
      <c r="H1099" t="s">
        <v>3681</v>
      </c>
      <c r="I1099" t="s">
        <v>3689</v>
      </c>
      <c r="J1099" t="s">
        <v>3694</v>
      </c>
      <c r="K1099" t="s">
        <v>3699</v>
      </c>
      <c r="L1099">
        <v>2</v>
      </c>
      <c r="M1099">
        <v>1800</v>
      </c>
      <c r="N1099" t="s">
        <v>3703</v>
      </c>
      <c r="O1099" t="s">
        <v>3705</v>
      </c>
    </row>
    <row r="1100" spans="1:15" x14ac:dyDescent="0.35">
      <c r="A1100" t="s">
        <v>1113</v>
      </c>
      <c r="B1100" t="s">
        <v>1656</v>
      </c>
      <c r="C1100" t="s">
        <v>2328</v>
      </c>
      <c r="D1100" t="s">
        <v>3569</v>
      </c>
      <c r="E1100" t="s">
        <v>3671</v>
      </c>
      <c r="F1100">
        <v>47</v>
      </c>
      <c r="G1100" t="s">
        <v>3677</v>
      </c>
      <c r="H1100" t="s">
        <v>3680</v>
      </c>
      <c r="I1100" t="s">
        <v>3691</v>
      </c>
      <c r="J1100" t="s">
        <v>3693</v>
      </c>
      <c r="K1100" t="s">
        <v>3696</v>
      </c>
      <c r="L1100">
        <v>1</v>
      </c>
      <c r="M1100">
        <v>58000</v>
      </c>
      <c r="N1100" t="s">
        <v>3701</v>
      </c>
      <c r="O1100" t="s">
        <v>3705</v>
      </c>
    </row>
    <row r="1101" spans="1:15" x14ac:dyDescent="0.35">
      <c r="A1101" t="s">
        <v>1114</v>
      </c>
      <c r="B1101" t="s">
        <v>1763</v>
      </c>
      <c r="C1101" t="s">
        <v>2355</v>
      </c>
      <c r="D1101" t="s">
        <v>3570</v>
      </c>
      <c r="E1101" t="s">
        <v>3671</v>
      </c>
      <c r="F1101">
        <v>53</v>
      </c>
      <c r="G1101" t="s">
        <v>3673</v>
      </c>
      <c r="H1101" t="s">
        <v>3673</v>
      </c>
      <c r="I1101" t="s">
        <v>3689</v>
      </c>
      <c r="J1101" t="s">
        <v>3694</v>
      </c>
      <c r="K1101" t="s">
        <v>3699</v>
      </c>
      <c r="L1101">
        <v>1</v>
      </c>
      <c r="M1101">
        <v>1800</v>
      </c>
      <c r="N1101" t="s">
        <v>3702</v>
      </c>
      <c r="O1101" t="s">
        <v>3705</v>
      </c>
    </row>
    <row r="1102" spans="1:15" x14ac:dyDescent="0.35">
      <c r="A1102" t="s">
        <v>1115</v>
      </c>
      <c r="B1102" t="s">
        <v>1432</v>
      </c>
      <c r="C1102" t="s">
        <v>2452</v>
      </c>
      <c r="D1102" t="s">
        <v>3571</v>
      </c>
      <c r="E1102" t="s">
        <v>3671</v>
      </c>
      <c r="F1102">
        <v>50</v>
      </c>
      <c r="G1102" t="s">
        <v>3673</v>
      </c>
      <c r="H1102" t="s">
        <v>3673</v>
      </c>
      <c r="I1102" t="s">
        <v>3687</v>
      </c>
      <c r="J1102" t="s">
        <v>3693</v>
      </c>
      <c r="K1102" t="s">
        <v>3697</v>
      </c>
      <c r="L1102">
        <v>5</v>
      </c>
      <c r="M1102">
        <v>5000</v>
      </c>
      <c r="N1102" t="s">
        <v>3703</v>
      </c>
      <c r="O1102" t="s">
        <v>3706</v>
      </c>
    </row>
    <row r="1103" spans="1:15" x14ac:dyDescent="0.35">
      <c r="A1103" t="s">
        <v>1116</v>
      </c>
      <c r="B1103" t="s">
        <v>1335</v>
      </c>
      <c r="C1103" t="s">
        <v>2135</v>
      </c>
      <c r="D1103" t="s">
        <v>3572</v>
      </c>
      <c r="E1103" t="s">
        <v>3671</v>
      </c>
      <c r="F1103">
        <v>57</v>
      </c>
      <c r="G1103" t="s">
        <v>3678</v>
      </c>
      <c r="H1103" t="s">
        <v>3683</v>
      </c>
      <c r="I1103" t="s">
        <v>3688</v>
      </c>
      <c r="J1103" t="s">
        <v>3694</v>
      </c>
      <c r="K1103" t="s">
        <v>3698</v>
      </c>
      <c r="L1103">
        <v>4</v>
      </c>
      <c r="M1103">
        <v>4500</v>
      </c>
      <c r="N1103" t="s">
        <v>3701</v>
      </c>
      <c r="O1103" t="s">
        <v>3705</v>
      </c>
    </row>
    <row r="1104" spans="1:15" x14ac:dyDescent="0.35">
      <c r="A1104" t="s">
        <v>1117</v>
      </c>
      <c r="B1104" t="s">
        <v>1642</v>
      </c>
      <c r="C1104" t="s">
        <v>2115</v>
      </c>
      <c r="D1104" t="s">
        <v>3573</v>
      </c>
      <c r="E1104" t="s">
        <v>3671</v>
      </c>
      <c r="F1104">
        <v>42</v>
      </c>
      <c r="G1104" t="s">
        <v>3675</v>
      </c>
      <c r="H1104" t="s">
        <v>3681</v>
      </c>
      <c r="I1104" t="s">
        <v>3691</v>
      </c>
      <c r="J1104" t="s">
        <v>3693</v>
      </c>
      <c r="K1104" t="s">
        <v>3696</v>
      </c>
      <c r="L1104">
        <v>3</v>
      </c>
      <c r="M1104">
        <v>58000</v>
      </c>
      <c r="N1104" t="s">
        <v>3701</v>
      </c>
      <c r="O1104" t="s">
        <v>3705</v>
      </c>
    </row>
    <row r="1105" spans="1:15" x14ac:dyDescent="0.35">
      <c r="A1105" t="s">
        <v>1118</v>
      </c>
      <c r="B1105" t="s">
        <v>1541</v>
      </c>
      <c r="C1105" t="s">
        <v>2285</v>
      </c>
      <c r="D1105" t="s">
        <v>3574</v>
      </c>
      <c r="E1105" t="s">
        <v>3671</v>
      </c>
      <c r="F1105">
        <v>50</v>
      </c>
      <c r="G1105" t="s">
        <v>3675</v>
      </c>
      <c r="H1105" t="s">
        <v>3681</v>
      </c>
      <c r="I1105" t="s">
        <v>3686</v>
      </c>
      <c r="J1105" t="s">
        <v>3693</v>
      </c>
      <c r="K1105" t="s">
        <v>3696</v>
      </c>
      <c r="L1105">
        <v>5</v>
      </c>
      <c r="M1105">
        <v>65000</v>
      </c>
      <c r="N1105" t="s">
        <v>3701</v>
      </c>
      <c r="O1105" t="s">
        <v>3706</v>
      </c>
    </row>
    <row r="1106" spans="1:15" x14ac:dyDescent="0.35">
      <c r="A1106" t="s">
        <v>1119</v>
      </c>
      <c r="B1106" t="s">
        <v>1675</v>
      </c>
      <c r="C1106" t="s">
        <v>2040</v>
      </c>
      <c r="D1106" t="s">
        <v>3575</v>
      </c>
      <c r="E1106" t="s">
        <v>3672</v>
      </c>
      <c r="F1106">
        <v>47</v>
      </c>
      <c r="G1106" t="s">
        <v>3675</v>
      </c>
      <c r="H1106" t="s">
        <v>3681</v>
      </c>
      <c r="I1106" t="s">
        <v>3686</v>
      </c>
      <c r="J1106" t="s">
        <v>3693</v>
      </c>
      <c r="K1106" t="s">
        <v>3696</v>
      </c>
      <c r="L1106">
        <v>1</v>
      </c>
      <c r="M1106">
        <v>65000</v>
      </c>
      <c r="N1106" t="s">
        <v>3701</v>
      </c>
      <c r="O1106" t="s">
        <v>3707</v>
      </c>
    </row>
    <row r="1107" spans="1:15" x14ac:dyDescent="0.35">
      <c r="A1107" t="s">
        <v>1120</v>
      </c>
      <c r="B1107" t="s">
        <v>1312</v>
      </c>
      <c r="C1107" t="s">
        <v>1857</v>
      </c>
      <c r="D1107" t="s">
        <v>3576</v>
      </c>
      <c r="E1107" t="s">
        <v>3671</v>
      </c>
      <c r="F1107">
        <v>31</v>
      </c>
      <c r="G1107" t="s">
        <v>3679</v>
      </c>
      <c r="H1107" t="s">
        <v>3684</v>
      </c>
      <c r="I1107" t="s">
        <v>3686</v>
      </c>
      <c r="J1107" t="s">
        <v>3693</v>
      </c>
      <c r="K1107" t="s">
        <v>3696</v>
      </c>
      <c r="L1107">
        <v>2</v>
      </c>
      <c r="M1107">
        <v>65000</v>
      </c>
      <c r="N1107" t="s">
        <v>3703</v>
      </c>
      <c r="O1107" t="s">
        <v>3707</v>
      </c>
    </row>
    <row r="1108" spans="1:15" x14ac:dyDescent="0.35">
      <c r="A1108" t="s">
        <v>1121</v>
      </c>
      <c r="B1108" t="s">
        <v>1720</v>
      </c>
      <c r="C1108" t="s">
        <v>2301</v>
      </c>
      <c r="D1108" t="s">
        <v>3577</v>
      </c>
      <c r="E1108" t="s">
        <v>3671</v>
      </c>
      <c r="F1108">
        <v>52</v>
      </c>
      <c r="G1108" t="s">
        <v>3678</v>
      </c>
      <c r="H1108" t="s">
        <v>3683</v>
      </c>
      <c r="I1108" t="s">
        <v>3685</v>
      </c>
      <c r="J1108" t="s">
        <v>3692</v>
      </c>
      <c r="K1108" t="s">
        <v>3695</v>
      </c>
      <c r="L1108">
        <v>5</v>
      </c>
      <c r="M1108">
        <v>12000</v>
      </c>
      <c r="N1108" t="s">
        <v>3701</v>
      </c>
      <c r="O1108" t="s">
        <v>3707</v>
      </c>
    </row>
    <row r="1109" spans="1:15" x14ac:dyDescent="0.35">
      <c r="A1109" t="s">
        <v>1122</v>
      </c>
      <c r="B1109" t="s">
        <v>1764</v>
      </c>
      <c r="C1109" t="s">
        <v>2271</v>
      </c>
      <c r="D1109" t="s">
        <v>3578</v>
      </c>
      <c r="E1109" t="s">
        <v>3671</v>
      </c>
      <c r="F1109">
        <v>49</v>
      </c>
      <c r="G1109" t="s">
        <v>3674</v>
      </c>
      <c r="H1109" t="s">
        <v>3680</v>
      </c>
      <c r="I1109" t="s">
        <v>3689</v>
      </c>
      <c r="J1109" t="s">
        <v>3694</v>
      </c>
      <c r="K1109" t="s">
        <v>3699</v>
      </c>
      <c r="L1109">
        <v>5</v>
      </c>
      <c r="M1109">
        <v>1800</v>
      </c>
      <c r="N1109" t="s">
        <v>3702</v>
      </c>
      <c r="O1109" t="s">
        <v>3706</v>
      </c>
    </row>
    <row r="1110" spans="1:15" x14ac:dyDescent="0.35">
      <c r="A1110" t="s">
        <v>1123</v>
      </c>
      <c r="B1110" t="s">
        <v>1389</v>
      </c>
      <c r="C1110" t="s">
        <v>2453</v>
      </c>
      <c r="D1110" t="s">
        <v>3579</v>
      </c>
      <c r="E1110" t="s">
        <v>3672</v>
      </c>
      <c r="F1110">
        <v>42</v>
      </c>
      <c r="G1110" t="s">
        <v>3678</v>
      </c>
      <c r="H1110" t="s">
        <v>3683</v>
      </c>
      <c r="I1110" t="s">
        <v>3685</v>
      </c>
      <c r="J1110" t="s">
        <v>3692</v>
      </c>
      <c r="K1110" t="s">
        <v>3695</v>
      </c>
      <c r="L1110">
        <v>1</v>
      </c>
      <c r="M1110">
        <v>12000</v>
      </c>
      <c r="N1110" t="s">
        <v>3703</v>
      </c>
      <c r="O1110" t="s">
        <v>3707</v>
      </c>
    </row>
    <row r="1111" spans="1:15" x14ac:dyDescent="0.35">
      <c r="A1111" t="s">
        <v>1124</v>
      </c>
      <c r="B1111" t="s">
        <v>1702</v>
      </c>
      <c r="C1111" t="s">
        <v>2454</v>
      </c>
      <c r="D1111" t="s">
        <v>3580</v>
      </c>
      <c r="E1111" t="s">
        <v>3672</v>
      </c>
      <c r="F1111">
        <v>32</v>
      </c>
      <c r="G1111" t="s">
        <v>3678</v>
      </c>
      <c r="H1111" t="s">
        <v>3683</v>
      </c>
      <c r="I1111" t="s">
        <v>3685</v>
      </c>
      <c r="J1111" t="s">
        <v>3692</v>
      </c>
      <c r="K1111" t="s">
        <v>3695</v>
      </c>
      <c r="L1111">
        <v>3</v>
      </c>
      <c r="M1111">
        <v>12000</v>
      </c>
      <c r="N1111" t="s">
        <v>3704</v>
      </c>
      <c r="O1111" t="s">
        <v>3705</v>
      </c>
    </row>
    <row r="1112" spans="1:15" x14ac:dyDescent="0.35">
      <c r="A1112" t="s">
        <v>1125</v>
      </c>
      <c r="B1112" t="s">
        <v>1435</v>
      </c>
      <c r="C1112" t="s">
        <v>2455</v>
      </c>
      <c r="D1112" t="s">
        <v>3581</v>
      </c>
      <c r="E1112" t="s">
        <v>3672</v>
      </c>
      <c r="F1112">
        <v>24</v>
      </c>
      <c r="G1112" t="s">
        <v>3679</v>
      </c>
      <c r="H1112" t="s">
        <v>3684</v>
      </c>
      <c r="I1112" t="s">
        <v>3686</v>
      </c>
      <c r="J1112" t="s">
        <v>3693</v>
      </c>
      <c r="K1112" t="s">
        <v>3696</v>
      </c>
      <c r="L1112">
        <v>5</v>
      </c>
      <c r="M1112">
        <v>65000</v>
      </c>
      <c r="N1112" t="s">
        <v>3702</v>
      </c>
      <c r="O1112" t="s">
        <v>3706</v>
      </c>
    </row>
    <row r="1113" spans="1:15" x14ac:dyDescent="0.35">
      <c r="A1113" t="s">
        <v>1126</v>
      </c>
      <c r="B1113" t="s">
        <v>1372</v>
      </c>
      <c r="C1113" t="s">
        <v>2456</v>
      </c>
      <c r="D1113" t="s">
        <v>3582</v>
      </c>
      <c r="E1113" t="s">
        <v>3671</v>
      </c>
      <c r="F1113">
        <v>25</v>
      </c>
      <c r="G1113" t="s">
        <v>3678</v>
      </c>
      <c r="H1113" t="s">
        <v>3683</v>
      </c>
      <c r="I1113" t="s">
        <v>3691</v>
      </c>
      <c r="J1113" t="s">
        <v>3693</v>
      </c>
      <c r="K1113" t="s">
        <v>3696</v>
      </c>
      <c r="L1113">
        <v>4</v>
      </c>
      <c r="M1113">
        <v>58000</v>
      </c>
      <c r="N1113" t="s">
        <v>3701</v>
      </c>
      <c r="O1113" t="s">
        <v>3707</v>
      </c>
    </row>
    <row r="1114" spans="1:15" x14ac:dyDescent="0.35">
      <c r="A1114" t="s">
        <v>1127</v>
      </c>
      <c r="B1114" t="s">
        <v>1765</v>
      </c>
      <c r="C1114" t="s">
        <v>2102</v>
      </c>
      <c r="D1114" t="s">
        <v>3583</v>
      </c>
      <c r="E1114" t="s">
        <v>3671</v>
      </c>
      <c r="F1114">
        <v>40</v>
      </c>
      <c r="G1114" t="s">
        <v>3676</v>
      </c>
      <c r="H1114" t="s">
        <v>3682</v>
      </c>
      <c r="I1114" t="s">
        <v>3686</v>
      </c>
      <c r="J1114" t="s">
        <v>3693</v>
      </c>
      <c r="K1114" t="s">
        <v>3696</v>
      </c>
      <c r="L1114">
        <v>4</v>
      </c>
      <c r="M1114">
        <v>65000</v>
      </c>
      <c r="N1114" t="s">
        <v>3704</v>
      </c>
      <c r="O1114" t="s">
        <v>3707</v>
      </c>
    </row>
    <row r="1115" spans="1:15" x14ac:dyDescent="0.35">
      <c r="A1115" t="s">
        <v>1128</v>
      </c>
      <c r="B1115" t="s">
        <v>1334</v>
      </c>
      <c r="C1115" t="s">
        <v>2240</v>
      </c>
      <c r="D1115" t="s">
        <v>3584</v>
      </c>
      <c r="E1115" t="s">
        <v>3672</v>
      </c>
      <c r="F1115">
        <v>56</v>
      </c>
      <c r="G1115" t="s">
        <v>3674</v>
      </c>
      <c r="H1115" t="s">
        <v>3680</v>
      </c>
      <c r="I1115" t="s">
        <v>3685</v>
      </c>
      <c r="J1115" t="s">
        <v>3692</v>
      </c>
      <c r="K1115" t="s">
        <v>3695</v>
      </c>
      <c r="L1115">
        <v>5</v>
      </c>
      <c r="M1115">
        <v>12000</v>
      </c>
      <c r="N1115" t="s">
        <v>3702</v>
      </c>
      <c r="O1115" t="s">
        <v>3706</v>
      </c>
    </row>
    <row r="1116" spans="1:15" x14ac:dyDescent="0.35">
      <c r="A1116" t="s">
        <v>1129</v>
      </c>
      <c r="B1116" t="s">
        <v>1683</v>
      </c>
      <c r="C1116" t="s">
        <v>2286</v>
      </c>
      <c r="D1116" t="s">
        <v>3585</v>
      </c>
      <c r="E1116" t="s">
        <v>3671</v>
      </c>
      <c r="F1116">
        <v>19</v>
      </c>
      <c r="G1116" t="s">
        <v>3675</v>
      </c>
      <c r="H1116" t="s">
        <v>3681</v>
      </c>
      <c r="I1116" t="s">
        <v>3689</v>
      </c>
      <c r="J1116" t="s">
        <v>3694</v>
      </c>
      <c r="K1116" t="s">
        <v>3699</v>
      </c>
      <c r="L1116">
        <v>3</v>
      </c>
      <c r="M1116">
        <v>1800</v>
      </c>
      <c r="N1116" t="s">
        <v>3704</v>
      </c>
      <c r="O1116" t="s">
        <v>3707</v>
      </c>
    </row>
    <row r="1117" spans="1:15" x14ac:dyDescent="0.35">
      <c r="A1117" t="s">
        <v>1130</v>
      </c>
      <c r="B1117" t="s">
        <v>1663</v>
      </c>
      <c r="C1117" t="s">
        <v>2080</v>
      </c>
      <c r="D1117" t="s">
        <v>3586</v>
      </c>
      <c r="E1117" t="s">
        <v>3671</v>
      </c>
      <c r="F1117">
        <v>32</v>
      </c>
      <c r="G1117" t="s">
        <v>3676</v>
      </c>
      <c r="H1117" t="s">
        <v>3682</v>
      </c>
      <c r="I1117" t="s">
        <v>3688</v>
      </c>
      <c r="J1117" t="s">
        <v>3694</v>
      </c>
      <c r="K1117" t="s">
        <v>3698</v>
      </c>
      <c r="L1117">
        <v>5</v>
      </c>
      <c r="M1117">
        <v>4500</v>
      </c>
      <c r="N1117" t="s">
        <v>3703</v>
      </c>
      <c r="O1117" t="s">
        <v>3705</v>
      </c>
    </row>
    <row r="1118" spans="1:15" x14ac:dyDescent="0.35">
      <c r="A1118" t="s">
        <v>1131</v>
      </c>
      <c r="B1118" t="s">
        <v>1237</v>
      </c>
      <c r="C1118" t="s">
        <v>2457</v>
      </c>
      <c r="D1118" t="s">
        <v>3587</v>
      </c>
      <c r="E1118" t="s">
        <v>3672</v>
      </c>
      <c r="F1118">
        <v>38</v>
      </c>
      <c r="G1118" t="s">
        <v>3674</v>
      </c>
      <c r="H1118" t="s">
        <v>3680</v>
      </c>
      <c r="I1118" t="s">
        <v>3689</v>
      </c>
      <c r="J1118" t="s">
        <v>3694</v>
      </c>
      <c r="K1118" t="s">
        <v>3699</v>
      </c>
      <c r="L1118">
        <v>4</v>
      </c>
      <c r="M1118">
        <v>1800</v>
      </c>
      <c r="N1118" t="s">
        <v>3703</v>
      </c>
      <c r="O1118" t="s">
        <v>3705</v>
      </c>
    </row>
    <row r="1119" spans="1:15" x14ac:dyDescent="0.35">
      <c r="A1119" t="s">
        <v>1132</v>
      </c>
      <c r="B1119" t="s">
        <v>1337</v>
      </c>
      <c r="C1119" t="s">
        <v>2458</v>
      </c>
      <c r="D1119" t="s">
        <v>3588</v>
      </c>
      <c r="E1119" t="s">
        <v>3671</v>
      </c>
      <c r="F1119">
        <v>24</v>
      </c>
      <c r="G1119" t="s">
        <v>3676</v>
      </c>
      <c r="H1119" t="s">
        <v>3682</v>
      </c>
      <c r="I1119" t="s">
        <v>3691</v>
      </c>
      <c r="J1119" t="s">
        <v>3693</v>
      </c>
      <c r="K1119" t="s">
        <v>3696</v>
      </c>
      <c r="L1119">
        <v>2</v>
      </c>
      <c r="M1119">
        <v>58000</v>
      </c>
      <c r="N1119" t="s">
        <v>3702</v>
      </c>
      <c r="O1119" t="s">
        <v>3707</v>
      </c>
    </row>
    <row r="1120" spans="1:15" x14ac:dyDescent="0.35">
      <c r="A1120" t="s">
        <v>1133</v>
      </c>
      <c r="B1120" t="s">
        <v>1302</v>
      </c>
      <c r="C1120" t="s">
        <v>2436</v>
      </c>
      <c r="D1120" t="s">
        <v>3589</v>
      </c>
      <c r="E1120" t="s">
        <v>3671</v>
      </c>
      <c r="F1120">
        <v>58</v>
      </c>
      <c r="G1120" t="s">
        <v>3679</v>
      </c>
      <c r="H1120" t="s">
        <v>3684</v>
      </c>
      <c r="I1120" t="s">
        <v>3688</v>
      </c>
      <c r="J1120" t="s">
        <v>3694</v>
      </c>
      <c r="K1120" t="s">
        <v>3698</v>
      </c>
      <c r="L1120">
        <v>5</v>
      </c>
      <c r="M1120">
        <v>4500</v>
      </c>
      <c r="N1120" t="s">
        <v>3701</v>
      </c>
      <c r="O1120" t="s">
        <v>3705</v>
      </c>
    </row>
    <row r="1121" spans="1:15" x14ac:dyDescent="0.35">
      <c r="A1121" t="s">
        <v>1134</v>
      </c>
      <c r="B1121" t="s">
        <v>1762</v>
      </c>
      <c r="C1121" t="s">
        <v>2459</v>
      </c>
      <c r="D1121" t="s">
        <v>3590</v>
      </c>
      <c r="E1121" t="s">
        <v>3671</v>
      </c>
      <c r="F1121">
        <v>27</v>
      </c>
      <c r="G1121" t="s">
        <v>3675</v>
      </c>
      <c r="H1121" t="s">
        <v>3681</v>
      </c>
      <c r="I1121" t="s">
        <v>3687</v>
      </c>
      <c r="J1121" t="s">
        <v>3693</v>
      </c>
      <c r="K1121" t="s">
        <v>3697</v>
      </c>
      <c r="L1121">
        <v>4</v>
      </c>
      <c r="M1121">
        <v>5000</v>
      </c>
      <c r="N1121" t="s">
        <v>3703</v>
      </c>
      <c r="O1121" t="s">
        <v>3706</v>
      </c>
    </row>
    <row r="1122" spans="1:15" x14ac:dyDescent="0.35">
      <c r="A1122" t="s">
        <v>1135</v>
      </c>
      <c r="B1122" t="s">
        <v>1234</v>
      </c>
      <c r="C1122" t="s">
        <v>2460</v>
      </c>
      <c r="D1122" t="s">
        <v>3591</v>
      </c>
      <c r="E1122" t="s">
        <v>3671</v>
      </c>
      <c r="F1122">
        <v>43</v>
      </c>
      <c r="G1122" t="s">
        <v>3676</v>
      </c>
      <c r="H1122" t="s">
        <v>3682</v>
      </c>
      <c r="I1122" t="s">
        <v>3686</v>
      </c>
      <c r="J1122" t="s">
        <v>3693</v>
      </c>
      <c r="K1122" t="s">
        <v>3696</v>
      </c>
      <c r="L1122">
        <v>3</v>
      </c>
      <c r="M1122">
        <v>65000</v>
      </c>
      <c r="N1122" t="s">
        <v>3703</v>
      </c>
      <c r="O1122" t="s">
        <v>3705</v>
      </c>
    </row>
    <row r="1123" spans="1:15" x14ac:dyDescent="0.35">
      <c r="A1123" t="s">
        <v>1136</v>
      </c>
      <c r="B1123" t="s">
        <v>1655</v>
      </c>
      <c r="C1123" t="s">
        <v>2080</v>
      </c>
      <c r="D1123" t="s">
        <v>3592</v>
      </c>
      <c r="E1123" t="s">
        <v>3671</v>
      </c>
      <c r="F1123">
        <v>50</v>
      </c>
      <c r="G1123" t="s">
        <v>3674</v>
      </c>
      <c r="H1123" t="s">
        <v>3680</v>
      </c>
      <c r="I1123" t="s">
        <v>3691</v>
      </c>
      <c r="J1123" t="s">
        <v>3693</v>
      </c>
      <c r="K1123" t="s">
        <v>3696</v>
      </c>
      <c r="L1123">
        <v>3</v>
      </c>
      <c r="M1123">
        <v>58000</v>
      </c>
      <c r="N1123" t="s">
        <v>3702</v>
      </c>
      <c r="O1123" t="s">
        <v>3707</v>
      </c>
    </row>
    <row r="1124" spans="1:15" x14ac:dyDescent="0.35">
      <c r="A1124" t="s">
        <v>1137</v>
      </c>
      <c r="B1124" t="s">
        <v>1766</v>
      </c>
      <c r="C1124" t="s">
        <v>1858</v>
      </c>
      <c r="D1124" t="s">
        <v>3593</v>
      </c>
      <c r="E1124" t="s">
        <v>3672</v>
      </c>
      <c r="F1124">
        <v>53</v>
      </c>
      <c r="G1124" t="s">
        <v>3677</v>
      </c>
      <c r="H1124" t="s">
        <v>3680</v>
      </c>
      <c r="I1124" t="s">
        <v>3687</v>
      </c>
      <c r="J1124" t="s">
        <v>3693</v>
      </c>
      <c r="K1124" t="s">
        <v>3697</v>
      </c>
      <c r="L1124">
        <v>2</v>
      </c>
      <c r="M1124">
        <v>5000</v>
      </c>
      <c r="N1124" t="s">
        <v>3702</v>
      </c>
      <c r="O1124" t="s">
        <v>3706</v>
      </c>
    </row>
    <row r="1125" spans="1:15" x14ac:dyDescent="0.35">
      <c r="A1125" t="s">
        <v>1138</v>
      </c>
      <c r="B1125" t="s">
        <v>1657</v>
      </c>
      <c r="C1125" t="s">
        <v>2218</v>
      </c>
      <c r="D1125" t="s">
        <v>3594</v>
      </c>
      <c r="E1125" t="s">
        <v>3672</v>
      </c>
      <c r="F1125">
        <v>37</v>
      </c>
      <c r="G1125" t="s">
        <v>3679</v>
      </c>
      <c r="H1125" t="s">
        <v>3684</v>
      </c>
      <c r="I1125" t="s">
        <v>3688</v>
      </c>
      <c r="J1125" t="s">
        <v>3694</v>
      </c>
      <c r="K1125" t="s">
        <v>3698</v>
      </c>
      <c r="L1125">
        <v>2</v>
      </c>
      <c r="M1125">
        <v>4500</v>
      </c>
      <c r="N1125" t="s">
        <v>3702</v>
      </c>
      <c r="O1125" t="s">
        <v>3706</v>
      </c>
    </row>
    <row r="1126" spans="1:15" x14ac:dyDescent="0.35">
      <c r="A1126" t="s">
        <v>1139</v>
      </c>
      <c r="B1126" t="s">
        <v>1620</v>
      </c>
      <c r="C1126" t="s">
        <v>2461</v>
      </c>
      <c r="D1126" t="s">
        <v>3595</v>
      </c>
      <c r="E1126" t="s">
        <v>3671</v>
      </c>
      <c r="F1126">
        <v>39</v>
      </c>
      <c r="G1126" t="s">
        <v>3679</v>
      </c>
      <c r="H1126" t="s">
        <v>3684</v>
      </c>
      <c r="I1126" t="s">
        <v>3690</v>
      </c>
      <c r="J1126" t="s">
        <v>3693</v>
      </c>
      <c r="K1126" t="s">
        <v>3700</v>
      </c>
      <c r="L1126">
        <v>5</v>
      </c>
      <c r="M1126">
        <v>72000</v>
      </c>
      <c r="N1126" t="s">
        <v>3704</v>
      </c>
      <c r="O1126" t="s">
        <v>3705</v>
      </c>
    </row>
    <row r="1127" spans="1:15" x14ac:dyDescent="0.35">
      <c r="A1127" t="s">
        <v>1140</v>
      </c>
      <c r="B1127" t="s">
        <v>1394</v>
      </c>
      <c r="C1127" t="s">
        <v>2021</v>
      </c>
      <c r="D1127" t="s">
        <v>3596</v>
      </c>
      <c r="E1127" t="s">
        <v>3671</v>
      </c>
      <c r="F1127">
        <v>42</v>
      </c>
      <c r="G1127" t="s">
        <v>3679</v>
      </c>
      <c r="H1127" t="s">
        <v>3684</v>
      </c>
      <c r="I1127" t="s">
        <v>3691</v>
      </c>
      <c r="J1127" t="s">
        <v>3693</v>
      </c>
      <c r="K1127" t="s">
        <v>3696</v>
      </c>
      <c r="L1127">
        <v>2</v>
      </c>
      <c r="M1127">
        <v>58000</v>
      </c>
      <c r="N1127" t="s">
        <v>3702</v>
      </c>
      <c r="O1127" t="s">
        <v>3707</v>
      </c>
    </row>
    <row r="1128" spans="1:15" x14ac:dyDescent="0.35">
      <c r="A1128" t="s">
        <v>1141</v>
      </c>
      <c r="B1128" t="s">
        <v>1465</v>
      </c>
      <c r="C1128" t="s">
        <v>2082</v>
      </c>
      <c r="D1128" t="s">
        <v>3597</v>
      </c>
      <c r="E1128" t="s">
        <v>3672</v>
      </c>
      <c r="F1128">
        <v>43</v>
      </c>
      <c r="G1128" t="s">
        <v>3675</v>
      </c>
      <c r="H1128" t="s">
        <v>3681</v>
      </c>
      <c r="I1128" t="s">
        <v>3688</v>
      </c>
      <c r="J1128" t="s">
        <v>3694</v>
      </c>
      <c r="K1128" t="s">
        <v>3698</v>
      </c>
      <c r="L1128">
        <v>5</v>
      </c>
      <c r="M1128">
        <v>4500</v>
      </c>
      <c r="N1128" t="s">
        <v>3702</v>
      </c>
      <c r="O1128" t="s">
        <v>3707</v>
      </c>
    </row>
    <row r="1129" spans="1:15" x14ac:dyDescent="0.35">
      <c r="A1129" t="s">
        <v>1142</v>
      </c>
      <c r="B1129" t="s">
        <v>1767</v>
      </c>
      <c r="C1129" t="s">
        <v>1998</v>
      </c>
      <c r="D1129" t="s">
        <v>3598</v>
      </c>
      <c r="E1129" t="s">
        <v>3672</v>
      </c>
      <c r="F1129">
        <v>35</v>
      </c>
      <c r="G1129" t="s">
        <v>3678</v>
      </c>
      <c r="H1129" t="s">
        <v>3683</v>
      </c>
      <c r="I1129" t="s">
        <v>3688</v>
      </c>
      <c r="J1129" t="s">
        <v>3694</v>
      </c>
      <c r="K1129" t="s">
        <v>3698</v>
      </c>
      <c r="L1129">
        <v>4</v>
      </c>
      <c r="M1129">
        <v>4500</v>
      </c>
      <c r="N1129" t="s">
        <v>3701</v>
      </c>
      <c r="O1129" t="s">
        <v>3707</v>
      </c>
    </row>
    <row r="1130" spans="1:15" x14ac:dyDescent="0.35">
      <c r="A1130" t="s">
        <v>1143</v>
      </c>
      <c r="B1130" t="s">
        <v>1700</v>
      </c>
      <c r="C1130" t="s">
        <v>2452</v>
      </c>
      <c r="D1130" t="s">
        <v>3599</v>
      </c>
      <c r="E1130" t="s">
        <v>3672</v>
      </c>
      <c r="F1130">
        <v>19</v>
      </c>
      <c r="G1130" t="s">
        <v>3673</v>
      </c>
      <c r="H1130" t="s">
        <v>3673</v>
      </c>
      <c r="I1130" t="s">
        <v>3685</v>
      </c>
      <c r="J1130" t="s">
        <v>3692</v>
      </c>
      <c r="K1130" t="s">
        <v>3695</v>
      </c>
      <c r="L1130">
        <v>1</v>
      </c>
      <c r="M1130">
        <v>12000</v>
      </c>
      <c r="N1130" t="s">
        <v>3701</v>
      </c>
      <c r="O1130" t="s">
        <v>3705</v>
      </c>
    </row>
    <row r="1131" spans="1:15" x14ac:dyDescent="0.35">
      <c r="A1131" t="s">
        <v>1144</v>
      </c>
      <c r="B1131" t="s">
        <v>1374</v>
      </c>
      <c r="C1131" t="s">
        <v>2366</v>
      </c>
      <c r="D1131" t="s">
        <v>3600</v>
      </c>
      <c r="E1131" t="s">
        <v>3672</v>
      </c>
      <c r="F1131">
        <v>23</v>
      </c>
      <c r="G1131" t="s">
        <v>3675</v>
      </c>
      <c r="H1131" t="s">
        <v>3681</v>
      </c>
      <c r="I1131" t="s">
        <v>3687</v>
      </c>
      <c r="J1131" t="s">
        <v>3693</v>
      </c>
      <c r="K1131" t="s">
        <v>3697</v>
      </c>
      <c r="L1131">
        <v>4</v>
      </c>
      <c r="M1131">
        <v>5000</v>
      </c>
      <c r="N1131" t="s">
        <v>3702</v>
      </c>
      <c r="O1131" t="s">
        <v>3705</v>
      </c>
    </row>
    <row r="1132" spans="1:15" x14ac:dyDescent="0.35">
      <c r="A1132" t="s">
        <v>1145</v>
      </c>
      <c r="B1132" t="s">
        <v>1768</v>
      </c>
      <c r="C1132" t="s">
        <v>2223</v>
      </c>
      <c r="D1132" t="s">
        <v>3601</v>
      </c>
      <c r="E1132" t="s">
        <v>3672</v>
      </c>
      <c r="F1132">
        <v>27</v>
      </c>
      <c r="G1132" t="s">
        <v>3677</v>
      </c>
      <c r="H1132" t="s">
        <v>3680</v>
      </c>
      <c r="I1132" t="s">
        <v>3689</v>
      </c>
      <c r="J1132" t="s">
        <v>3694</v>
      </c>
      <c r="K1132" t="s">
        <v>3699</v>
      </c>
      <c r="L1132">
        <v>4</v>
      </c>
      <c r="M1132">
        <v>1800</v>
      </c>
      <c r="N1132" t="s">
        <v>3703</v>
      </c>
      <c r="O1132" t="s">
        <v>3706</v>
      </c>
    </row>
    <row r="1133" spans="1:15" x14ac:dyDescent="0.35">
      <c r="A1133" t="s">
        <v>1146</v>
      </c>
      <c r="B1133" t="s">
        <v>1612</v>
      </c>
      <c r="C1133" t="s">
        <v>2420</v>
      </c>
      <c r="D1133" t="s">
        <v>3602</v>
      </c>
      <c r="E1133" t="s">
        <v>3672</v>
      </c>
      <c r="F1133">
        <v>25</v>
      </c>
      <c r="G1133" t="s">
        <v>3678</v>
      </c>
      <c r="H1133" t="s">
        <v>3683</v>
      </c>
      <c r="I1133" t="s">
        <v>3690</v>
      </c>
      <c r="J1133" t="s">
        <v>3693</v>
      </c>
      <c r="K1133" t="s">
        <v>3700</v>
      </c>
      <c r="L1133">
        <v>3</v>
      </c>
      <c r="M1133">
        <v>72000</v>
      </c>
      <c r="N1133" t="s">
        <v>3702</v>
      </c>
      <c r="O1133" t="s">
        <v>3706</v>
      </c>
    </row>
    <row r="1134" spans="1:15" x14ac:dyDescent="0.35">
      <c r="A1134" t="s">
        <v>1147</v>
      </c>
      <c r="B1134" t="s">
        <v>1769</v>
      </c>
      <c r="C1134" t="s">
        <v>2462</v>
      </c>
      <c r="D1134" t="s">
        <v>3603</v>
      </c>
      <c r="E1134" t="s">
        <v>3672</v>
      </c>
      <c r="F1134">
        <v>34</v>
      </c>
      <c r="G1134" t="s">
        <v>3675</v>
      </c>
      <c r="H1134" t="s">
        <v>3681</v>
      </c>
      <c r="I1134" t="s">
        <v>3685</v>
      </c>
      <c r="J1134" t="s">
        <v>3692</v>
      </c>
      <c r="K1134" t="s">
        <v>3695</v>
      </c>
      <c r="L1134">
        <v>2</v>
      </c>
      <c r="M1134">
        <v>12000</v>
      </c>
      <c r="N1134" t="s">
        <v>3702</v>
      </c>
      <c r="O1134" t="s">
        <v>3705</v>
      </c>
    </row>
    <row r="1135" spans="1:15" x14ac:dyDescent="0.35">
      <c r="A1135" t="s">
        <v>1148</v>
      </c>
      <c r="B1135" t="s">
        <v>1523</v>
      </c>
      <c r="C1135" t="s">
        <v>2093</v>
      </c>
      <c r="D1135" t="s">
        <v>3604</v>
      </c>
      <c r="E1135" t="s">
        <v>3671</v>
      </c>
      <c r="F1135">
        <v>48</v>
      </c>
      <c r="G1135" t="s">
        <v>3676</v>
      </c>
      <c r="H1135" t="s">
        <v>3682</v>
      </c>
      <c r="I1135" t="s">
        <v>3691</v>
      </c>
      <c r="J1135" t="s">
        <v>3693</v>
      </c>
      <c r="K1135" t="s">
        <v>3696</v>
      </c>
      <c r="L1135">
        <v>1</v>
      </c>
      <c r="M1135">
        <v>58000</v>
      </c>
      <c r="N1135" t="s">
        <v>3701</v>
      </c>
      <c r="O1135" t="s">
        <v>3707</v>
      </c>
    </row>
    <row r="1136" spans="1:15" x14ac:dyDescent="0.35">
      <c r="A1136" t="s">
        <v>1149</v>
      </c>
      <c r="B1136" t="s">
        <v>1525</v>
      </c>
      <c r="C1136" t="s">
        <v>2463</v>
      </c>
      <c r="D1136" t="s">
        <v>3605</v>
      </c>
      <c r="E1136" t="s">
        <v>3671</v>
      </c>
      <c r="F1136">
        <v>38</v>
      </c>
      <c r="G1136" t="s">
        <v>3674</v>
      </c>
      <c r="H1136" t="s">
        <v>3680</v>
      </c>
      <c r="I1136" t="s">
        <v>3687</v>
      </c>
      <c r="J1136" t="s">
        <v>3693</v>
      </c>
      <c r="K1136" t="s">
        <v>3697</v>
      </c>
      <c r="L1136">
        <v>1</v>
      </c>
      <c r="M1136">
        <v>5000</v>
      </c>
      <c r="N1136" t="s">
        <v>3704</v>
      </c>
      <c r="O1136" t="s">
        <v>3707</v>
      </c>
    </row>
    <row r="1137" spans="1:15" x14ac:dyDescent="0.35">
      <c r="A1137" t="s">
        <v>1150</v>
      </c>
      <c r="B1137" t="s">
        <v>1717</v>
      </c>
      <c r="C1137" t="s">
        <v>2245</v>
      </c>
      <c r="D1137" t="s">
        <v>3606</v>
      </c>
      <c r="E1137" t="s">
        <v>3672</v>
      </c>
      <c r="F1137">
        <v>37</v>
      </c>
      <c r="G1137" t="s">
        <v>3673</v>
      </c>
      <c r="H1137" t="s">
        <v>3673</v>
      </c>
      <c r="I1137" t="s">
        <v>3688</v>
      </c>
      <c r="J1137" t="s">
        <v>3694</v>
      </c>
      <c r="K1137" t="s">
        <v>3698</v>
      </c>
      <c r="L1137">
        <v>2</v>
      </c>
      <c r="M1137">
        <v>4500</v>
      </c>
      <c r="N1137" t="s">
        <v>3701</v>
      </c>
      <c r="O1137" t="s">
        <v>3707</v>
      </c>
    </row>
    <row r="1138" spans="1:15" x14ac:dyDescent="0.35">
      <c r="A1138" t="s">
        <v>1151</v>
      </c>
      <c r="B1138" t="s">
        <v>1770</v>
      </c>
      <c r="C1138" t="s">
        <v>1972</v>
      </c>
      <c r="D1138" t="s">
        <v>3607</v>
      </c>
      <c r="E1138" t="s">
        <v>3672</v>
      </c>
      <c r="F1138">
        <v>43</v>
      </c>
      <c r="G1138" t="s">
        <v>3675</v>
      </c>
      <c r="H1138" t="s">
        <v>3681</v>
      </c>
      <c r="I1138" t="s">
        <v>3689</v>
      </c>
      <c r="J1138" t="s">
        <v>3694</v>
      </c>
      <c r="K1138" t="s">
        <v>3699</v>
      </c>
      <c r="L1138">
        <v>3</v>
      </c>
      <c r="M1138">
        <v>1800</v>
      </c>
      <c r="N1138" t="s">
        <v>3701</v>
      </c>
      <c r="O1138" t="s">
        <v>3705</v>
      </c>
    </row>
    <row r="1139" spans="1:15" x14ac:dyDescent="0.35">
      <c r="A1139" t="s">
        <v>1152</v>
      </c>
      <c r="B1139" t="s">
        <v>1771</v>
      </c>
      <c r="C1139" t="s">
        <v>2441</v>
      </c>
      <c r="D1139" t="s">
        <v>3608</v>
      </c>
      <c r="E1139" t="s">
        <v>3671</v>
      </c>
      <c r="F1139">
        <v>47</v>
      </c>
      <c r="G1139" t="s">
        <v>3679</v>
      </c>
      <c r="H1139" t="s">
        <v>3684</v>
      </c>
      <c r="I1139" t="s">
        <v>3687</v>
      </c>
      <c r="J1139" t="s">
        <v>3693</v>
      </c>
      <c r="K1139" t="s">
        <v>3697</v>
      </c>
      <c r="L1139">
        <v>5</v>
      </c>
      <c r="M1139">
        <v>5000</v>
      </c>
      <c r="N1139" t="s">
        <v>3704</v>
      </c>
      <c r="O1139" t="s">
        <v>3705</v>
      </c>
    </row>
    <row r="1140" spans="1:15" x14ac:dyDescent="0.35">
      <c r="A1140" t="s">
        <v>1153</v>
      </c>
      <c r="B1140" t="s">
        <v>1410</v>
      </c>
      <c r="C1140" t="s">
        <v>1956</v>
      </c>
      <c r="D1140" t="s">
        <v>3609</v>
      </c>
      <c r="E1140" t="s">
        <v>3672</v>
      </c>
      <c r="F1140">
        <v>21</v>
      </c>
      <c r="G1140" t="s">
        <v>3674</v>
      </c>
      <c r="H1140" t="s">
        <v>3680</v>
      </c>
      <c r="I1140" t="s">
        <v>3688</v>
      </c>
      <c r="J1140" t="s">
        <v>3694</v>
      </c>
      <c r="K1140" t="s">
        <v>3698</v>
      </c>
      <c r="L1140">
        <v>3</v>
      </c>
      <c r="M1140">
        <v>4500</v>
      </c>
      <c r="N1140" t="s">
        <v>3701</v>
      </c>
      <c r="O1140" t="s">
        <v>3706</v>
      </c>
    </row>
    <row r="1141" spans="1:15" x14ac:dyDescent="0.35">
      <c r="A1141" t="s">
        <v>1154</v>
      </c>
      <c r="B1141" t="s">
        <v>1542</v>
      </c>
      <c r="C1141" t="s">
        <v>2189</v>
      </c>
      <c r="D1141" t="s">
        <v>3610</v>
      </c>
      <c r="E1141" t="s">
        <v>3671</v>
      </c>
      <c r="F1141">
        <v>57</v>
      </c>
      <c r="G1141" t="s">
        <v>3675</v>
      </c>
      <c r="H1141" t="s">
        <v>3681</v>
      </c>
      <c r="I1141" t="s">
        <v>3691</v>
      </c>
      <c r="J1141" t="s">
        <v>3693</v>
      </c>
      <c r="K1141" t="s">
        <v>3696</v>
      </c>
      <c r="L1141">
        <v>5</v>
      </c>
      <c r="M1141">
        <v>58000</v>
      </c>
      <c r="N1141" t="s">
        <v>3701</v>
      </c>
      <c r="O1141" t="s">
        <v>3707</v>
      </c>
    </row>
    <row r="1142" spans="1:15" x14ac:dyDescent="0.35">
      <c r="A1142" t="s">
        <v>1155</v>
      </c>
      <c r="B1142" t="s">
        <v>1253</v>
      </c>
      <c r="C1142" t="s">
        <v>1809</v>
      </c>
      <c r="D1142" t="s">
        <v>3611</v>
      </c>
      <c r="E1142" t="s">
        <v>3672</v>
      </c>
      <c r="F1142">
        <v>46</v>
      </c>
      <c r="G1142" t="s">
        <v>3678</v>
      </c>
      <c r="H1142" t="s">
        <v>3683</v>
      </c>
      <c r="I1142" t="s">
        <v>3688</v>
      </c>
      <c r="J1142" t="s">
        <v>3694</v>
      </c>
      <c r="K1142" t="s">
        <v>3698</v>
      </c>
      <c r="L1142">
        <v>3</v>
      </c>
      <c r="M1142">
        <v>4500</v>
      </c>
      <c r="N1142" t="s">
        <v>3703</v>
      </c>
      <c r="O1142" t="s">
        <v>3706</v>
      </c>
    </row>
    <row r="1143" spans="1:15" x14ac:dyDescent="0.35">
      <c r="A1143" t="s">
        <v>1156</v>
      </c>
      <c r="B1143" t="s">
        <v>1772</v>
      </c>
      <c r="C1143" t="s">
        <v>1854</v>
      </c>
      <c r="D1143" t="s">
        <v>3612</v>
      </c>
      <c r="E1143" t="s">
        <v>3671</v>
      </c>
      <c r="F1143">
        <v>39</v>
      </c>
      <c r="G1143" t="s">
        <v>3679</v>
      </c>
      <c r="H1143" t="s">
        <v>3684</v>
      </c>
      <c r="I1143" t="s">
        <v>3691</v>
      </c>
      <c r="J1143" t="s">
        <v>3693</v>
      </c>
      <c r="K1143" t="s">
        <v>3696</v>
      </c>
      <c r="L1143">
        <v>1</v>
      </c>
      <c r="M1143">
        <v>58000</v>
      </c>
      <c r="N1143" t="s">
        <v>3703</v>
      </c>
      <c r="O1143" t="s">
        <v>3707</v>
      </c>
    </row>
    <row r="1144" spans="1:15" x14ac:dyDescent="0.35">
      <c r="A1144" t="s">
        <v>1157</v>
      </c>
      <c r="B1144" t="s">
        <v>1773</v>
      </c>
      <c r="C1144" t="s">
        <v>2186</v>
      </c>
      <c r="D1144" t="s">
        <v>3613</v>
      </c>
      <c r="E1144" t="s">
        <v>3672</v>
      </c>
      <c r="F1144">
        <v>58</v>
      </c>
      <c r="G1144" t="s">
        <v>3673</v>
      </c>
      <c r="H1144" t="s">
        <v>3673</v>
      </c>
      <c r="I1144" t="s">
        <v>3688</v>
      </c>
      <c r="J1144" t="s">
        <v>3694</v>
      </c>
      <c r="K1144" t="s">
        <v>3698</v>
      </c>
      <c r="L1144">
        <v>5</v>
      </c>
      <c r="M1144">
        <v>4500</v>
      </c>
      <c r="N1144" t="s">
        <v>3703</v>
      </c>
      <c r="O1144" t="s">
        <v>3707</v>
      </c>
    </row>
    <row r="1145" spans="1:15" x14ac:dyDescent="0.35">
      <c r="A1145" t="s">
        <v>1158</v>
      </c>
      <c r="B1145" t="s">
        <v>1509</v>
      </c>
      <c r="C1145" t="s">
        <v>1909</v>
      </c>
      <c r="D1145" t="s">
        <v>3614</v>
      </c>
      <c r="E1145" t="s">
        <v>3671</v>
      </c>
      <c r="F1145">
        <v>31</v>
      </c>
      <c r="G1145" t="s">
        <v>3677</v>
      </c>
      <c r="H1145" t="s">
        <v>3680</v>
      </c>
      <c r="I1145" t="s">
        <v>3688</v>
      </c>
      <c r="J1145" t="s">
        <v>3694</v>
      </c>
      <c r="K1145" t="s">
        <v>3698</v>
      </c>
      <c r="L1145">
        <v>5</v>
      </c>
      <c r="M1145">
        <v>4500</v>
      </c>
      <c r="N1145" t="s">
        <v>3701</v>
      </c>
      <c r="O1145" t="s">
        <v>3707</v>
      </c>
    </row>
    <row r="1146" spans="1:15" x14ac:dyDescent="0.35">
      <c r="A1146" t="s">
        <v>1159</v>
      </c>
      <c r="B1146" t="s">
        <v>1545</v>
      </c>
      <c r="C1146" t="s">
        <v>1937</v>
      </c>
      <c r="D1146" t="s">
        <v>3615</v>
      </c>
      <c r="E1146" t="s">
        <v>3671</v>
      </c>
      <c r="F1146">
        <v>24</v>
      </c>
      <c r="G1146" t="s">
        <v>3674</v>
      </c>
      <c r="H1146" t="s">
        <v>3680</v>
      </c>
      <c r="I1146" t="s">
        <v>3688</v>
      </c>
      <c r="J1146" t="s">
        <v>3694</v>
      </c>
      <c r="K1146" t="s">
        <v>3698</v>
      </c>
      <c r="L1146">
        <v>1</v>
      </c>
      <c r="M1146">
        <v>4500</v>
      </c>
      <c r="N1146" t="s">
        <v>3703</v>
      </c>
      <c r="O1146" t="s">
        <v>3707</v>
      </c>
    </row>
    <row r="1147" spans="1:15" x14ac:dyDescent="0.35">
      <c r="A1147" t="s">
        <v>1160</v>
      </c>
      <c r="B1147" t="s">
        <v>1774</v>
      </c>
      <c r="C1147" t="s">
        <v>2464</v>
      </c>
      <c r="D1147" t="s">
        <v>3616</v>
      </c>
      <c r="E1147" t="s">
        <v>3672</v>
      </c>
      <c r="F1147">
        <v>33</v>
      </c>
      <c r="G1147" t="s">
        <v>3676</v>
      </c>
      <c r="H1147" t="s">
        <v>3682</v>
      </c>
      <c r="I1147" t="s">
        <v>3687</v>
      </c>
      <c r="J1147" t="s">
        <v>3693</v>
      </c>
      <c r="K1147" t="s">
        <v>3697</v>
      </c>
      <c r="L1147">
        <v>4</v>
      </c>
      <c r="M1147">
        <v>5000</v>
      </c>
      <c r="N1147" t="s">
        <v>3704</v>
      </c>
      <c r="O1147" t="s">
        <v>3707</v>
      </c>
    </row>
    <row r="1148" spans="1:15" x14ac:dyDescent="0.35">
      <c r="A1148" t="s">
        <v>1161</v>
      </c>
      <c r="B1148" t="s">
        <v>1307</v>
      </c>
      <c r="C1148" t="s">
        <v>2242</v>
      </c>
      <c r="D1148" t="s">
        <v>3617</v>
      </c>
      <c r="E1148" t="s">
        <v>3671</v>
      </c>
      <c r="F1148">
        <v>32</v>
      </c>
      <c r="G1148" t="s">
        <v>3676</v>
      </c>
      <c r="H1148" t="s">
        <v>3682</v>
      </c>
      <c r="I1148" t="s">
        <v>3689</v>
      </c>
      <c r="J1148" t="s">
        <v>3694</v>
      </c>
      <c r="K1148" t="s">
        <v>3699</v>
      </c>
      <c r="L1148">
        <v>5</v>
      </c>
      <c r="M1148">
        <v>1800</v>
      </c>
      <c r="N1148" t="s">
        <v>3702</v>
      </c>
      <c r="O1148" t="s">
        <v>3705</v>
      </c>
    </row>
    <row r="1149" spans="1:15" x14ac:dyDescent="0.35">
      <c r="A1149" t="s">
        <v>1162</v>
      </c>
      <c r="B1149" t="s">
        <v>1315</v>
      </c>
      <c r="C1149" t="s">
        <v>1922</v>
      </c>
      <c r="D1149" t="s">
        <v>3618</v>
      </c>
      <c r="E1149" t="s">
        <v>3672</v>
      </c>
      <c r="F1149">
        <v>51</v>
      </c>
      <c r="G1149" t="s">
        <v>3676</v>
      </c>
      <c r="H1149" t="s">
        <v>3682</v>
      </c>
      <c r="I1149" t="s">
        <v>3686</v>
      </c>
      <c r="J1149" t="s">
        <v>3693</v>
      </c>
      <c r="K1149" t="s">
        <v>3696</v>
      </c>
      <c r="L1149">
        <v>4</v>
      </c>
      <c r="M1149">
        <v>65000</v>
      </c>
      <c r="N1149" t="s">
        <v>3703</v>
      </c>
      <c r="O1149" t="s">
        <v>3705</v>
      </c>
    </row>
    <row r="1150" spans="1:15" x14ac:dyDescent="0.35">
      <c r="A1150" t="s">
        <v>1163</v>
      </c>
      <c r="B1150" t="s">
        <v>1489</v>
      </c>
      <c r="C1150" t="s">
        <v>1976</v>
      </c>
      <c r="D1150" t="s">
        <v>3619</v>
      </c>
      <c r="E1150" t="s">
        <v>3671</v>
      </c>
      <c r="F1150">
        <v>26</v>
      </c>
      <c r="G1150" t="s">
        <v>3674</v>
      </c>
      <c r="H1150" t="s">
        <v>3680</v>
      </c>
      <c r="I1150" t="s">
        <v>3685</v>
      </c>
      <c r="J1150" t="s">
        <v>3692</v>
      </c>
      <c r="K1150" t="s">
        <v>3695</v>
      </c>
      <c r="L1150">
        <v>5</v>
      </c>
      <c r="M1150">
        <v>12000</v>
      </c>
      <c r="N1150" t="s">
        <v>3704</v>
      </c>
      <c r="O1150" t="s">
        <v>3705</v>
      </c>
    </row>
    <row r="1151" spans="1:15" x14ac:dyDescent="0.35">
      <c r="A1151" t="s">
        <v>1164</v>
      </c>
      <c r="B1151" t="s">
        <v>1310</v>
      </c>
      <c r="C1151" t="s">
        <v>2465</v>
      </c>
      <c r="D1151" t="s">
        <v>3620</v>
      </c>
      <c r="E1151" t="s">
        <v>3672</v>
      </c>
      <c r="F1151">
        <v>19</v>
      </c>
      <c r="G1151" t="s">
        <v>3677</v>
      </c>
      <c r="H1151" t="s">
        <v>3680</v>
      </c>
      <c r="I1151" t="s">
        <v>3686</v>
      </c>
      <c r="J1151" t="s">
        <v>3693</v>
      </c>
      <c r="K1151" t="s">
        <v>3696</v>
      </c>
      <c r="L1151">
        <v>2</v>
      </c>
      <c r="M1151">
        <v>65000</v>
      </c>
      <c r="N1151" t="s">
        <v>3704</v>
      </c>
      <c r="O1151" t="s">
        <v>3706</v>
      </c>
    </row>
    <row r="1152" spans="1:15" x14ac:dyDescent="0.35">
      <c r="A1152" t="s">
        <v>1165</v>
      </c>
      <c r="B1152" t="s">
        <v>1518</v>
      </c>
      <c r="C1152" t="s">
        <v>2213</v>
      </c>
      <c r="D1152" t="s">
        <v>3621</v>
      </c>
      <c r="E1152" t="s">
        <v>3671</v>
      </c>
      <c r="F1152">
        <v>35</v>
      </c>
      <c r="G1152" t="s">
        <v>3678</v>
      </c>
      <c r="H1152" t="s">
        <v>3683</v>
      </c>
      <c r="I1152" t="s">
        <v>3685</v>
      </c>
      <c r="J1152" t="s">
        <v>3692</v>
      </c>
      <c r="K1152" t="s">
        <v>3695</v>
      </c>
      <c r="L1152">
        <v>1</v>
      </c>
      <c r="M1152">
        <v>12000</v>
      </c>
      <c r="N1152" t="s">
        <v>3701</v>
      </c>
      <c r="O1152" t="s">
        <v>3706</v>
      </c>
    </row>
    <row r="1153" spans="1:15" x14ac:dyDescent="0.35">
      <c r="A1153" t="s">
        <v>1166</v>
      </c>
      <c r="B1153" t="s">
        <v>1398</v>
      </c>
      <c r="C1153" t="s">
        <v>2466</v>
      </c>
      <c r="D1153" t="s">
        <v>3622</v>
      </c>
      <c r="E1153" t="s">
        <v>3671</v>
      </c>
      <c r="F1153">
        <v>41</v>
      </c>
      <c r="G1153" t="s">
        <v>3678</v>
      </c>
      <c r="H1153" t="s">
        <v>3683</v>
      </c>
      <c r="I1153" t="s">
        <v>3691</v>
      </c>
      <c r="J1153" t="s">
        <v>3693</v>
      </c>
      <c r="K1153" t="s">
        <v>3696</v>
      </c>
      <c r="L1153">
        <v>2</v>
      </c>
      <c r="M1153">
        <v>58000</v>
      </c>
      <c r="N1153" t="s">
        <v>3703</v>
      </c>
      <c r="O1153" t="s">
        <v>3706</v>
      </c>
    </row>
    <row r="1154" spans="1:15" x14ac:dyDescent="0.35">
      <c r="A1154" t="s">
        <v>1167</v>
      </c>
      <c r="B1154" t="s">
        <v>1775</v>
      </c>
      <c r="C1154" t="s">
        <v>1824</v>
      </c>
      <c r="D1154" t="s">
        <v>3623</v>
      </c>
      <c r="E1154" t="s">
        <v>3672</v>
      </c>
      <c r="F1154">
        <v>53</v>
      </c>
      <c r="G1154" t="s">
        <v>3679</v>
      </c>
      <c r="H1154" t="s">
        <v>3684</v>
      </c>
      <c r="I1154" t="s">
        <v>3685</v>
      </c>
      <c r="J1154" t="s">
        <v>3692</v>
      </c>
      <c r="K1154" t="s">
        <v>3695</v>
      </c>
      <c r="L1154">
        <v>1</v>
      </c>
      <c r="M1154">
        <v>12000</v>
      </c>
      <c r="N1154" t="s">
        <v>3701</v>
      </c>
      <c r="O1154" t="s">
        <v>3707</v>
      </c>
    </row>
    <row r="1155" spans="1:15" x14ac:dyDescent="0.35">
      <c r="A1155" t="s">
        <v>1168</v>
      </c>
      <c r="B1155" t="s">
        <v>1776</v>
      </c>
      <c r="C1155" t="s">
        <v>2033</v>
      </c>
      <c r="D1155" t="s">
        <v>3624</v>
      </c>
      <c r="E1155" t="s">
        <v>3672</v>
      </c>
      <c r="F1155">
        <v>55</v>
      </c>
      <c r="G1155" t="s">
        <v>3673</v>
      </c>
      <c r="H1155" t="s">
        <v>3673</v>
      </c>
      <c r="I1155" t="s">
        <v>3689</v>
      </c>
      <c r="J1155" t="s">
        <v>3694</v>
      </c>
      <c r="K1155" t="s">
        <v>3699</v>
      </c>
      <c r="L1155">
        <v>3</v>
      </c>
      <c r="M1155">
        <v>1800</v>
      </c>
      <c r="N1155" t="s">
        <v>3704</v>
      </c>
      <c r="O1155" t="s">
        <v>3705</v>
      </c>
    </row>
    <row r="1156" spans="1:15" x14ac:dyDescent="0.35">
      <c r="A1156" t="s">
        <v>1169</v>
      </c>
      <c r="B1156" t="s">
        <v>1777</v>
      </c>
      <c r="C1156" t="s">
        <v>2111</v>
      </c>
      <c r="D1156" t="s">
        <v>3625</v>
      </c>
      <c r="E1156" t="s">
        <v>3672</v>
      </c>
      <c r="F1156">
        <v>35</v>
      </c>
      <c r="G1156" t="s">
        <v>3674</v>
      </c>
      <c r="H1156" t="s">
        <v>3680</v>
      </c>
      <c r="I1156" t="s">
        <v>3689</v>
      </c>
      <c r="J1156" t="s">
        <v>3694</v>
      </c>
      <c r="K1156" t="s">
        <v>3699</v>
      </c>
      <c r="L1156">
        <v>5</v>
      </c>
      <c r="M1156">
        <v>1800</v>
      </c>
      <c r="N1156" t="s">
        <v>3703</v>
      </c>
      <c r="O1156" t="s">
        <v>3706</v>
      </c>
    </row>
    <row r="1157" spans="1:15" x14ac:dyDescent="0.35">
      <c r="A1157" t="s">
        <v>1170</v>
      </c>
      <c r="B1157" t="s">
        <v>1663</v>
      </c>
      <c r="C1157" t="s">
        <v>2025</v>
      </c>
      <c r="D1157" t="s">
        <v>3626</v>
      </c>
      <c r="E1157" t="s">
        <v>3672</v>
      </c>
      <c r="F1157">
        <v>33</v>
      </c>
      <c r="G1157" t="s">
        <v>3673</v>
      </c>
      <c r="H1157" t="s">
        <v>3673</v>
      </c>
      <c r="I1157" t="s">
        <v>3687</v>
      </c>
      <c r="J1157" t="s">
        <v>3693</v>
      </c>
      <c r="K1157" t="s">
        <v>3697</v>
      </c>
      <c r="L1157">
        <v>4</v>
      </c>
      <c r="M1157">
        <v>5000</v>
      </c>
      <c r="N1157" t="s">
        <v>3703</v>
      </c>
      <c r="O1157" t="s">
        <v>3706</v>
      </c>
    </row>
    <row r="1158" spans="1:15" x14ac:dyDescent="0.35">
      <c r="A1158" t="s">
        <v>1171</v>
      </c>
      <c r="B1158" t="s">
        <v>1263</v>
      </c>
      <c r="C1158" t="s">
        <v>1988</v>
      </c>
      <c r="D1158" t="s">
        <v>3627</v>
      </c>
      <c r="E1158" t="s">
        <v>3671</v>
      </c>
      <c r="F1158">
        <v>52</v>
      </c>
      <c r="G1158" t="s">
        <v>3674</v>
      </c>
      <c r="H1158" t="s">
        <v>3680</v>
      </c>
      <c r="I1158" t="s">
        <v>3691</v>
      </c>
      <c r="J1158" t="s">
        <v>3693</v>
      </c>
      <c r="K1158" t="s">
        <v>3696</v>
      </c>
      <c r="L1158">
        <v>3</v>
      </c>
      <c r="M1158">
        <v>58000</v>
      </c>
      <c r="N1158" t="s">
        <v>3701</v>
      </c>
      <c r="O1158" t="s">
        <v>3705</v>
      </c>
    </row>
    <row r="1159" spans="1:15" x14ac:dyDescent="0.35">
      <c r="A1159" t="s">
        <v>1172</v>
      </c>
      <c r="B1159" t="s">
        <v>1630</v>
      </c>
      <c r="C1159" t="s">
        <v>2270</v>
      </c>
      <c r="D1159" t="s">
        <v>3628</v>
      </c>
      <c r="E1159" t="s">
        <v>3671</v>
      </c>
      <c r="F1159">
        <v>54</v>
      </c>
      <c r="G1159" t="s">
        <v>3673</v>
      </c>
      <c r="H1159" t="s">
        <v>3673</v>
      </c>
      <c r="I1159" t="s">
        <v>3688</v>
      </c>
      <c r="J1159" t="s">
        <v>3694</v>
      </c>
      <c r="K1159" t="s">
        <v>3698</v>
      </c>
      <c r="L1159">
        <v>5</v>
      </c>
      <c r="M1159">
        <v>4500</v>
      </c>
      <c r="N1159" t="s">
        <v>3701</v>
      </c>
      <c r="O1159" t="s">
        <v>3706</v>
      </c>
    </row>
    <row r="1160" spans="1:15" x14ac:dyDescent="0.35">
      <c r="A1160" t="s">
        <v>1173</v>
      </c>
      <c r="B1160" t="s">
        <v>1760</v>
      </c>
      <c r="C1160" t="s">
        <v>2325</v>
      </c>
      <c r="D1160" t="s">
        <v>3629</v>
      </c>
      <c r="E1160" t="s">
        <v>3671</v>
      </c>
      <c r="F1160">
        <v>35</v>
      </c>
      <c r="G1160" t="s">
        <v>3675</v>
      </c>
      <c r="H1160" t="s">
        <v>3681</v>
      </c>
      <c r="I1160" t="s">
        <v>3688</v>
      </c>
      <c r="J1160" t="s">
        <v>3694</v>
      </c>
      <c r="K1160" t="s">
        <v>3698</v>
      </c>
      <c r="L1160">
        <v>3</v>
      </c>
      <c r="M1160">
        <v>4500</v>
      </c>
      <c r="N1160" t="s">
        <v>3703</v>
      </c>
      <c r="O1160" t="s">
        <v>3707</v>
      </c>
    </row>
    <row r="1161" spans="1:15" x14ac:dyDescent="0.35">
      <c r="A1161" t="s">
        <v>1174</v>
      </c>
      <c r="B1161" t="s">
        <v>1519</v>
      </c>
      <c r="C1161" t="s">
        <v>1983</v>
      </c>
      <c r="D1161" t="s">
        <v>3630</v>
      </c>
      <c r="E1161" t="s">
        <v>3671</v>
      </c>
      <c r="F1161">
        <v>59</v>
      </c>
      <c r="G1161" t="s">
        <v>3676</v>
      </c>
      <c r="H1161" t="s">
        <v>3682</v>
      </c>
      <c r="I1161" t="s">
        <v>3687</v>
      </c>
      <c r="J1161" t="s">
        <v>3693</v>
      </c>
      <c r="K1161" t="s">
        <v>3697</v>
      </c>
      <c r="L1161">
        <v>1</v>
      </c>
      <c r="M1161">
        <v>5000</v>
      </c>
      <c r="N1161" t="s">
        <v>3704</v>
      </c>
      <c r="O1161" t="s">
        <v>3706</v>
      </c>
    </row>
    <row r="1162" spans="1:15" x14ac:dyDescent="0.35">
      <c r="A1162" t="s">
        <v>1175</v>
      </c>
      <c r="B1162" t="s">
        <v>1374</v>
      </c>
      <c r="C1162" t="s">
        <v>2467</v>
      </c>
      <c r="D1162" t="s">
        <v>3631</v>
      </c>
      <c r="E1162" t="s">
        <v>3671</v>
      </c>
      <c r="F1162">
        <v>31</v>
      </c>
      <c r="G1162" t="s">
        <v>3678</v>
      </c>
      <c r="H1162" t="s">
        <v>3683</v>
      </c>
      <c r="I1162" t="s">
        <v>3691</v>
      </c>
      <c r="J1162" t="s">
        <v>3693</v>
      </c>
      <c r="K1162" t="s">
        <v>3696</v>
      </c>
      <c r="L1162">
        <v>5</v>
      </c>
      <c r="M1162">
        <v>58000</v>
      </c>
      <c r="N1162" t="s">
        <v>3702</v>
      </c>
      <c r="O1162" t="s">
        <v>3707</v>
      </c>
    </row>
    <row r="1163" spans="1:15" x14ac:dyDescent="0.35">
      <c r="A1163" t="s">
        <v>1176</v>
      </c>
      <c r="B1163" t="s">
        <v>1433</v>
      </c>
      <c r="C1163" t="s">
        <v>2345</v>
      </c>
      <c r="D1163" t="s">
        <v>3632</v>
      </c>
      <c r="E1163" t="s">
        <v>3671</v>
      </c>
      <c r="F1163">
        <v>30</v>
      </c>
      <c r="G1163" t="s">
        <v>3676</v>
      </c>
      <c r="H1163" t="s">
        <v>3682</v>
      </c>
      <c r="I1163" t="s">
        <v>3686</v>
      </c>
      <c r="J1163" t="s">
        <v>3693</v>
      </c>
      <c r="K1163" t="s">
        <v>3696</v>
      </c>
      <c r="L1163">
        <v>5</v>
      </c>
      <c r="M1163">
        <v>65000</v>
      </c>
      <c r="N1163" t="s">
        <v>3701</v>
      </c>
      <c r="O1163" t="s">
        <v>3707</v>
      </c>
    </row>
    <row r="1164" spans="1:15" x14ac:dyDescent="0.35">
      <c r="A1164" t="s">
        <v>1177</v>
      </c>
      <c r="B1164" t="s">
        <v>1705</v>
      </c>
      <c r="C1164" t="s">
        <v>2206</v>
      </c>
      <c r="D1164" t="s">
        <v>3633</v>
      </c>
      <c r="E1164" t="s">
        <v>3672</v>
      </c>
      <c r="F1164">
        <v>28</v>
      </c>
      <c r="G1164" t="s">
        <v>3676</v>
      </c>
      <c r="H1164" t="s">
        <v>3682</v>
      </c>
      <c r="I1164" t="s">
        <v>3689</v>
      </c>
      <c r="J1164" t="s">
        <v>3694</v>
      </c>
      <c r="K1164" t="s">
        <v>3699</v>
      </c>
      <c r="L1164">
        <v>3</v>
      </c>
      <c r="M1164">
        <v>1800</v>
      </c>
      <c r="N1164" t="s">
        <v>3702</v>
      </c>
      <c r="O1164" t="s">
        <v>3707</v>
      </c>
    </row>
    <row r="1165" spans="1:15" x14ac:dyDescent="0.35">
      <c r="A1165" t="s">
        <v>1178</v>
      </c>
      <c r="B1165" t="s">
        <v>1460</v>
      </c>
      <c r="C1165" t="s">
        <v>2468</v>
      </c>
      <c r="D1165" t="s">
        <v>3634</v>
      </c>
      <c r="E1165" t="s">
        <v>3672</v>
      </c>
      <c r="F1165">
        <v>27</v>
      </c>
      <c r="G1165" t="s">
        <v>3673</v>
      </c>
      <c r="H1165" t="s">
        <v>3673</v>
      </c>
      <c r="I1165" t="s">
        <v>3685</v>
      </c>
      <c r="J1165" t="s">
        <v>3692</v>
      </c>
      <c r="K1165" t="s">
        <v>3695</v>
      </c>
      <c r="L1165">
        <v>5</v>
      </c>
      <c r="M1165">
        <v>12000</v>
      </c>
      <c r="N1165" t="s">
        <v>3702</v>
      </c>
      <c r="O1165" t="s">
        <v>3707</v>
      </c>
    </row>
    <row r="1166" spans="1:15" x14ac:dyDescent="0.35">
      <c r="A1166" t="s">
        <v>1179</v>
      </c>
      <c r="B1166" t="s">
        <v>1775</v>
      </c>
      <c r="C1166" t="s">
        <v>1818</v>
      </c>
      <c r="D1166" t="s">
        <v>3635</v>
      </c>
      <c r="E1166" t="s">
        <v>3672</v>
      </c>
      <c r="F1166">
        <v>60</v>
      </c>
      <c r="G1166" t="s">
        <v>3679</v>
      </c>
      <c r="H1166" t="s">
        <v>3684</v>
      </c>
      <c r="I1166" t="s">
        <v>3685</v>
      </c>
      <c r="J1166" t="s">
        <v>3692</v>
      </c>
      <c r="K1166" t="s">
        <v>3695</v>
      </c>
      <c r="L1166">
        <v>4</v>
      </c>
      <c r="M1166">
        <v>12000</v>
      </c>
      <c r="N1166" t="s">
        <v>3702</v>
      </c>
      <c r="O1166" t="s">
        <v>3706</v>
      </c>
    </row>
    <row r="1167" spans="1:15" x14ac:dyDescent="0.35">
      <c r="A1167" t="s">
        <v>1180</v>
      </c>
      <c r="B1167" t="s">
        <v>1235</v>
      </c>
      <c r="C1167" t="s">
        <v>2469</v>
      </c>
      <c r="D1167" t="s">
        <v>3636</v>
      </c>
      <c r="E1167" t="s">
        <v>3671</v>
      </c>
      <c r="F1167">
        <v>40</v>
      </c>
      <c r="G1167" t="s">
        <v>3679</v>
      </c>
      <c r="H1167" t="s">
        <v>3684</v>
      </c>
      <c r="I1167" t="s">
        <v>3689</v>
      </c>
      <c r="J1167" t="s">
        <v>3694</v>
      </c>
      <c r="K1167" t="s">
        <v>3699</v>
      </c>
      <c r="L1167">
        <v>3</v>
      </c>
      <c r="M1167">
        <v>1800</v>
      </c>
      <c r="N1167" t="s">
        <v>3703</v>
      </c>
      <c r="O1167" t="s">
        <v>3707</v>
      </c>
    </row>
    <row r="1168" spans="1:15" x14ac:dyDescent="0.35">
      <c r="A1168" t="s">
        <v>1181</v>
      </c>
      <c r="B1168" t="s">
        <v>1778</v>
      </c>
      <c r="C1168" t="s">
        <v>2162</v>
      </c>
      <c r="D1168" t="s">
        <v>3637</v>
      </c>
      <c r="E1168" t="s">
        <v>3671</v>
      </c>
      <c r="F1168">
        <v>24</v>
      </c>
      <c r="G1168" t="s">
        <v>3674</v>
      </c>
      <c r="H1168" t="s">
        <v>3680</v>
      </c>
      <c r="I1168" t="s">
        <v>3686</v>
      </c>
      <c r="J1168" t="s">
        <v>3693</v>
      </c>
      <c r="K1168" t="s">
        <v>3696</v>
      </c>
      <c r="L1168">
        <v>5</v>
      </c>
      <c r="M1168">
        <v>65000</v>
      </c>
      <c r="N1168" t="s">
        <v>3701</v>
      </c>
      <c r="O1168" t="s">
        <v>3707</v>
      </c>
    </row>
    <row r="1169" spans="1:15" x14ac:dyDescent="0.35">
      <c r="A1169" t="s">
        <v>1182</v>
      </c>
      <c r="B1169" t="s">
        <v>1725</v>
      </c>
      <c r="C1169" t="s">
        <v>2071</v>
      </c>
      <c r="D1169" t="s">
        <v>3638</v>
      </c>
      <c r="E1169" t="s">
        <v>3671</v>
      </c>
      <c r="F1169">
        <v>39</v>
      </c>
      <c r="G1169" t="s">
        <v>3679</v>
      </c>
      <c r="H1169" t="s">
        <v>3684</v>
      </c>
      <c r="I1169" t="s">
        <v>3690</v>
      </c>
      <c r="J1169" t="s">
        <v>3693</v>
      </c>
      <c r="K1169" t="s">
        <v>3700</v>
      </c>
      <c r="L1169">
        <v>3</v>
      </c>
      <c r="M1169">
        <v>72000</v>
      </c>
      <c r="N1169" t="s">
        <v>3702</v>
      </c>
      <c r="O1169" t="s">
        <v>3705</v>
      </c>
    </row>
    <row r="1170" spans="1:15" x14ac:dyDescent="0.35">
      <c r="A1170" t="s">
        <v>1183</v>
      </c>
      <c r="B1170" t="s">
        <v>1520</v>
      </c>
      <c r="C1170" t="s">
        <v>2470</v>
      </c>
      <c r="D1170" t="s">
        <v>3639</v>
      </c>
      <c r="E1170" t="s">
        <v>3671</v>
      </c>
      <c r="F1170">
        <v>44</v>
      </c>
      <c r="G1170" t="s">
        <v>3677</v>
      </c>
      <c r="H1170" t="s">
        <v>3680</v>
      </c>
      <c r="I1170" t="s">
        <v>3685</v>
      </c>
      <c r="J1170" t="s">
        <v>3692</v>
      </c>
      <c r="K1170" t="s">
        <v>3695</v>
      </c>
      <c r="L1170">
        <v>2</v>
      </c>
      <c r="M1170">
        <v>12000</v>
      </c>
      <c r="N1170" t="s">
        <v>3701</v>
      </c>
      <c r="O1170" t="s">
        <v>3706</v>
      </c>
    </row>
    <row r="1171" spans="1:15" x14ac:dyDescent="0.35">
      <c r="A1171" t="s">
        <v>1184</v>
      </c>
      <c r="B1171" t="s">
        <v>1505</v>
      </c>
      <c r="C1171" t="s">
        <v>2471</v>
      </c>
      <c r="D1171" t="s">
        <v>3640</v>
      </c>
      <c r="E1171" t="s">
        <v>3672</v>
      </c>
      <c r="F1171">
        <v>22</v>
      </c>
      <c r="G1171" t="s">
        <v>3677</v>
      </c>
      <c r="H1171" t="s">
        <v>3680</v>
      </c>
      <c r="I1171" t="s">
        <v>3691</v>
      </c>
      <c r="J1171" t="s">
        <v>3693</v>
      </c>
      <c r="K1171" t="s">
        <v>3696</v>
      </c>
      <c r="L1171">
        <v>2</v>
      </c>
      <c r="M1171">
        <v>58000</v>
      </c>
      <c r="N1171" t="s">
        <v>3701</v>
      </c>
      <c r="O1171" t="s">
        <v>3707</v>
      </c>
    </row>
    <row r="1172" spans="1:15" x14ac:dyDescent="0.35">
      <c r="A1172" t="s">
        <v>1185</v>
      </c>
      <c r="B1172" t="s">
        <v>1779</v>
      </c>
      <c r="C1172" t="s">
        <v>1873</v>
      </c>
      <c r="D1172" t="s">
        <v>3641</v>
      </c>
      <c r="E1172" t="s">
        <v>3671</v>
      </c>
      <c r="F1172">
        <v>38</v>
      </c>
      <c r="G1172" t="s">
        <v>3677</v>
      </c>
      <c r="H1172" t="s">
        <v>3680</v>
      </c>
      <c r="I1172" t="s">
        <v>3685</v>
      </c>
      <c r="J1172" t="s">
        <v>3692</v>
      </c>
      <c r="K1172" t="s">
        <v>3695</v>
      </c>
      <c r="L1172">
        <v>3</v>
      </c>
      <c r="M1172">
        <v>12000</v>
      </c>
      <c r="N1172" t="s">
        <v>3702</v>
      </c>
      <c r="O1172" t="s">
        <v>3706</v>
      </c>
    </row>
    <row r="1173" spans="1:15" x14ac:dyDescent="0.35">
      <c r="A1173" t="s">
        <v>1186</v>
      </c>
      <c r="B1173" t="s">
        <v>1337</v>
      </c>
      <c r="C1173" t="s">
        <v>2472</v>
      </c>
      <c r="D1173" t="s">
        <v>3642</v>
      </c>
      <c r="E1173" t="s">
        <v>3671</v>
      </c>
      <c r="F1173">
        <v>49</v>
      </c>
      <c r="G1173" t="s">
        <v>3677</v>
      </c>
      <c r="H1173" t="s">
        <v>3680</v>
      </c>
      <c r="I1173" t="s">
        <v>3686</v>
      </c>
      <c r="J1173" t="s">
        <v>3693</v>
      </c>
      <c r="K1173" t="s">
        <v>3696</v>
      </c>
      <c r="L1173">
        <v>1</v>
      </c>
      <c r="M1173">
        <v>65000</v>
      </c>
      <c r="N1173" t="s">
        <v>3702</v>
      </c>
      <c r="O1173" t="s">
        <v>3706</v>
      </c>
    </row>
    <row r="1174" spans="1:15" x14ac:dyDescent="0.35">
      <c r="A1174" t="s">
        <v>1187</v>
      </c>
      <c r="B1174" t="s">
        <v>1780</v>
      </c>
      <c r="C1174" t="s">
        <v>2140</v>
      </c>
      <c r="D1174" t="s">
        <v>3643</v>
      </c>
      <c r="E1174" t="s">
        <v>3671</v>
      </c>
      <c r="F1174">
        <v>20</v>
      </c>
      <c r="G1174" t="s">
        <v>3673</v>
      </c>
      <c r="H1174" t="s">
        <v>3673</v>
      </c>
      <c r="I1174" t="s">
        <v>3691</v>
      </c>
      <c r="J1174" t="s">
        <v>3693</v>
      </c>
      <c r="K1174" t="s">
        <v>3696</v>
      </c>
      <c r="L1174">
        <v>4</v>
      </c>
      <c r="M1174">
        <v>58000</v>
      </c>
      <c r="N1174" t="s">
        <v>3704</v>
      </c>
      <c r="O1174" t="s">
        <v>3705</v>
      </c>
    </row>
    <row r="1175" spans="1:15" x14ac:dyDescent="0.35">
      <c r="A1175" t="s">
        <v>1188</v>
      </c>
      <c r="B1175" t="s">
        <v>1254</v>
      </c>
      <c r="C1175" t="s">
        <v>1891</v>
      </c>
      <c r="D1175" t="s">
        <v>3644</v>
      </c>
      <c r="E1175" t="s">
        <v>3672</v>
      </c>
      <c r="F1175">
        <v>45</v>
      </c>
      <c r="G1175" t="s">
        <v>3674</v>
      </c>
      <c r="H1175" t="s">
        <v>3680</v>
      </c>
      <c r="I1175" t="s">
        <v>3686</v>
      </c>
      <c r="J1175" t="s">
        <v>3693</v>
      </c>
      <c r="K1175" t="s">
        <v>3696</v>
      </c>
      <c r="L1175">
        <v>3</v>
      </c>
      <c r="M1175">
        <v>65000</v>
      </c>
      <c r="N1175" t="s">
        <v>3703</v>
      </c>
      <c r="O1175" t="s">
        <v>3707</v>
      </c>
    </row>
    <row r="1176" spans="1:15" x14ac:dyDescent="0.35">
      <c r="A1176" t="s">
        <v>1189</v>
      </c>
      <c r="B1176" t="s">
        <v>1510</v>
      </c>
      <c r="C1176" t="s">
        <v>2473</v>
      </c>
      <c r="D1176" t="s">
        <v>3645</v>
      </c>
      <c r="E1176" t="s">
        <v>3672</v>
      </c>
      <c r="F1176">
        <v>20</v>
      </c>
      <c r="G1176" t="s">
        <v>3673</v>
      </c>
      <c r="H1176" t="s">
        <v>3673</v>
      </c>
      <c r="I1176" t="s">
        <v>3691</v>
      </c>
      <c r="J1176" t="s">
        <v>3693</v>
      </c>
      <c r="K1176" t="s">
        <v>3696</v>
      </c>
      <c r="L1176">
        <v>1</v>
      </c>
      <c r="M1176">
        <v>58000</v>
      </c>
      <c r="N1176" t="s">
        <v>3703</v>
      </c>
      <c r="O1176" t="s">
        <v>3707</v>
      </c>
    </row>
    <row r="1177" spans="1:15" x14ac:dyDescent="0.35">
      <c r="A1177" t="s">
        <v>1190</v>
      </c>
      <c r="B1177" t="s">
        <v>1323</v>
      </c>
      <c r="C1177" t="s">
        <v>2474</v>
      </c>
      <c r="D1177" t="s">
        <v>3646</v>
      </c>
      <c r="E1177" t="s">
        <v>3672</v>
      </c>
      <c r="F1177">
        <v>48</v>
      </c>
      <c r="G1177" t="s">
        <v>3676</v>
      </c>
      <c r="H1177" t="s">
        <v>3682</v>
      </c>
      <c r="I1177" t="s">
        <v>3687</v>
      </c>
      <c r="J1177" t="s">
        <v>3693</v>
      </c>
      <c r="K1177" t="s">
        <v>3697</v>
      </c>
      <c r="L1177">
        <v>2</v>
      </c>
      <c r="M1177">
        <v>5000</v>
      </c>
      <c r="N1177" t="s">
        <v>3703</v>
      </c>
      <c r="O1177" t="s">
        <v>3706</v>
      </c>
    </row>
    <row r="1178" spans="1:15" x14ac:dyDescent="0.35">
      <c r="A1178" t="s">
        <v>1191</v>
      </c>
      <c r="B1178" t="s">
        <v>1358</v>
      </c>
      <c r="C1178" t="s">
        <v>2191</v>
      </c>
      <c r="D1178" t="s">
        <v>3647</v>
      </c>
      <c r="E1178" t="s">
        <v>3671</v>
      </c>
      <c r="F1178">
        <v>40</v>
      </c>
      <c r="G1178" t="s">
        <v>3675</v>
      </c>
      <c r="H1178" t="s">
        <v>3681</v>
      </c>
      <c r="I1178" t="s">
        <v>3690</v>
      </c>
      <c r="J1178" t="s">
        <v>3693</v>
      </c>
      <c r="K1178" t="s">
        <v>3700</v>
      </c>
      <c r="L1178">
        <v>2</v>
      </c>
      <c r="M1178">
        <v>72000</v>
      </c>
      <c r="N1178" t="s">
        <v>3703</v>
      </c>
      <c r="O1178" t="s">
        <v>3706</v>
      </c>
    </row>
    <row r="1179" spans="1:15" x14ac:dyDescent="0.35">
      <c r="A1179" t="s">
        <v>1192</v>
      </c>
      <c r="B1179" t="s">
        <v>1350</v>
      </c>
      <c r="C1179" t="s">
        <v>2475</v>
      </c>
      <c r="D1179" t="s">
        <v>3648</v>
      </c>
      <c r="E1179" t="s">
        <v>3672</v>
      </c>
      <c r="F1179">
        <v>27</v>
      </c>
      <c r="G1179" t="s">
        <v>3676</v>
      </c>
      <c r="H1179" t="s">
        <v>3682</v>
      </c>
      <c r="I1179" t="s">
        <v>3687</v>
      </c>
      <c r="J1179" t="s">
        <v>3693</v>
      </c>
      <c r="K1179" t="s">
        <v>3697</v>
      </c>
      <c r="L1179">
        <v>3</v>
      </c>
      <c r="M1179">
        <v>5000</v>
      </c>
      <c r="N1179" t="s">
        <v>3701</v>
      </c>
      <c r="O1179" t="s">
        <v>3706</v>
      </c>
    </row>
    <row r="1180" spans="1:15" x14ac:dyDescent="0.35">
      <c r="A1180" t="s">
        <v>1193</v>
      </c>
      <c r="B1180" t="s">
        <v>1329</v>
      </c>
      <c r="C1180" t="s">
        <v>2065</v>
      </c>
      <c r="D1180" t="s">
        <v>3649</v>
      </c>
      <c r="E1180" t="s">
        <v>3671</v>
      </c>
      <c r="F1180">
        <v>54</v>
      </c>
      <c r="G1180" t="s">
        <v>3678</v>
      </c>
      <c r="H1180" t="s">
        <v>3683</v>
      </c>
      <c r="I1180" t="s">
        <v>3685</v>
      </c>
      <c r="J1180" t="s">
        <v>3692</v>
      </c>
      <c r="K1180" t="s">
        <v>3695</v>
      </c>
      <c r="L1180">
        <v>4</v>
      </c>
      <c r="M1180">
        <v>12000</v>
      </c>
      <c r="N1180" t="s">
        <v>3703</v>
      </c>
      <c r="O1180" t="s">
        <v>3707</v>
      </c>
    </row>
    <row r="1181" spans="1:15" x14ac:dyDescent="0.35">
      <c r="A1181" t="s">
        <v>1194</v>
      </c>
      <c r="B1181" t="s">
        <v>1349</v>
      </c>
      <c r="C1181" t="s">
        <v>2139</v>
      </c>
      <c r="D1181" t="s">
        <v>3650</v>
      </c>
      <c r="E1181" t="s">
        <v>3672</v>
      </c>
      <c r="F1181">
        <v>54</v>
      </c>
      <c r="G1181" t="s">
        <v>3679</v>
      </c>
      <c r="H1181" t="s">
        <v>3684</v>
      </c>
      <c r="I1181" t="s">
        <v>3690</v>
      </c>
      <c r="J1181" t="s">
        <v>3693</v>
      </c>
      <c r="K1181" t="s">
        <v>3700</v>
      </c>
      <c r="L1181">
        <v>5</v>
      </c>
      <c r="M1181">
        <v>72000</v>
      </c>
      <c r="N1181" t="s">
        <v>3702</v>
      </c>
      <c r="O1181" t="s">
        <v>3706</v>
      </c>
    </row>
    <row r="1182" spans="1:15" x14ac:dyDescent="0.35">
      <c r="A1182" t="s">
        <v>1195</v>
      </c>
      <c r="B1182" t="s">
        <v>1781</v>
      </c>
      <c r="C1182" t="s">
        <v>2021</v>
      </c>
      <c r="D1182" t="s">
        <v>3651</v>
      </c>
      <c r="E1182" t="s">
        <v>3671</v>
      </c>
      <c r="F1182">
        <v>50</v>
      </c>
      <c r="G1182" t="s">
        <v>3678</v>
      </c>
      <c r="H1182" t="s">
        <v>3683</v>
      </c>
      <c r="I1182" t="s">
        <v>3686</v>
      </c>
      <c r="J1182" t="s">
        <v>3693</v>
      </c>
      <c r="K1182" t="s">
        <v>3696</v>
      </c>
      <c r="L1182">
        <v>2</v>
      </c>
      <c r="M1182">
        <v>65000</v>
      </c>
      <c r="N1182" t="s">
        <v>3702</v>
      </c>
      <c r="O1182" t="s">
        <v>3707</v>
      </c>
    </row>
    <row r="1183" spans="1:15" x14ac:dyDescent="0.35">
      <c r="A1183" t="s">
        <v>1196</v>
      </c>
      <c r="B1183" t="s">
        <v>1541</v>
      </c>
      <c r="C1183" t="s">
        <v>2476</v>
      </c>
      <c r="D1183" t="s">
        <v>3652</v>
      </c>
      <c r="E1183" t="s">
        <v>3671</v>
      </c>
      <c r="F1183">
        <v>48</v>
      </c>
      <c r="G1183" t="s">
        <v>3675</v>
      </c>
      <c r="H1183" t="s">
        <v>3681</v>
      </c>
      <c r="I1183" t="s">
        <v>3690</v>
      </c>
      <c r="J1183" t="s">
        <v>3693</v>
      </c>
      <c r="K1183" t="s">
        <v>3700</v>
      </c>
      <c r="L1183">
        <v>3</v>
      </c>
      <c r="M1183">
        <v>72000</v>
      </c>
      <c r="N1183" t="s">
        <v>3701</v>
      </c>
      <c r="O1183" t="s">
        <v>3705</v>
      </c>
    </row>
    <row r="1184" spans="1:15" x14ac:dyDescent="0.35">
      <c r="A1184" t="s">
        <v>1197</v>
      </c>
      <c r="B1184" t="s">
        <v>1623</v>
      </c>
      <c r="C1184" t="s">
        <v>2477</v>
      </c>
      <c r="D1184" t="s">
        <v>3653</v>
      </c>
      <c r="E1184" t="s">
        <v>3671</v>
      </c>
      <c r="F1184">
        <v>57</v>
      </c>
      <c r="G1184" t="s">
        <v>3676</v>
      </c>
      <c r="H1184" t="s">
        <v>3682</v>
      </c>
      <c r="I1184" t="s">
        <v>3685</v>
      </c>
      <c r="J1184" t="s">
        <v>3692</v>
      </c>
      <c r="K1184" t="s">
        <v>3695</v>
      </c>
      <c r="L1184">
        <v>3</v>
      </c>
      <c r="M1184">
        <v>12000</v>
      </c>
      <c r="N1184" t="s">
        <v>3704</v>
      </c>
      <c r="O1184" t="s">
        <v>3707</v>
      </c>
    </row>
    <row r="1185" spans="1:15" x14ac:dyDescent="0.35">
      <c r="A1185" t="s">
        <v>1198</v>
      </c>
      <c r="B1185" t="s">
        <v>1363</v>
      </c>
      <c r="C1185" t="s">
        <v>2046</v>
      </c>
      <c r="D1185" t="s">
        <v>3654</v>
      </c>
      <c r="E1185" t="s">
        <v>3672</v>
      </c>
      <c r="F1185">
        <v>48</v>
      </c>
      <c r="G1185" t="s">
        <v>3673</v>
      </c>
      <c r="H1185" t="s">
        <v>3673</v>
      </c>
      <c r="I1185" t="s">
        <v>3688</v>
      </c>
      <c r="J1185" t="s">
        <v>3694</v>
      </c>
      <c r="K1185" t="s">
        <v>3698</v>
      </c>
      <c r="L1185">
        <v>3</v>
      </c>
      <c r="M1185">
        <v>4500</v>
      </c>
      <c r="N1185" t="s">
        <v>3704</v>
      </c>
      <c r="O1185" t="s">
        <v>3705</v>
      </c>
    </row>
    <row r="1186" spans="1:15" x14ac:dyDescent="0.35">
      <c r="A1186" t="s">
        <v>1199</v>
      </c>
      <c r="B1186" t="s">
        <v>1258</v>
      </c>
      <c r="C1186" t="s">
        <v>1798</v>
      </c>
      <c r="D1186" t="s">
        <v>3655</v>
      </c>
      <c r="E1186" t="s">
        <v>3671</v>
      </c>
      <c r="F1186">
        <v>46</v>
      </c>
      <c r="G1186" t="s">
        <v>3679</v>
      </c>
      <c r="H1186" t="s">
        <v>3684</v>
      </c>
      <c r="I1186" t="s">
        <v>3691</v>
      </c>
      <c r="J1186" t="s">
        <v>3693</v>
      </c>
      <c r="K1186" t="s">
        <v>3696</v>
      </c>
      <c r="L1186">
        <v>2</v>
      </c>
      <c r="M1186">
        <v>58000</v>
      </c>
      <c r="N1186" t="s">
        <v>3704</v>
      </c>
      <c r="O1186" t="s">
        <v>3707</v>
      </c>
    </row>
    <row r="1187" spans="1:15" x14ac:dyDescent="0.35">
      <c r="A1187" t="s">
        <v>1200</v>
      </c>
      <c r="B1187" t="s">
        <v>1782</v>
      </c>
      <c r="C1187" t="s">
        <v>2288</v>
      </c>
      <c r="D1187" t="s">
        <v>3656</v>
      </c>
      <c r="E1187" t="s">
        <v>3672</v>
      </c>
      <c r="F1187">
        <v>29</v>
      </c>
      <c r="G1187" t="s">
        <v>3675</v>
      </c>
      <c r="H1187" t="s">
        <v>3681</v>
      </c>
      <c r="I1187" t="s">
        <v>3685</v>
      </c>
      <c r="J1187" t="s">
        <v>3692</v>
      </c>
      <c r="K1187" t="s">
        <v>3695</v>
      </c>
      <c r="L1187">
        <v>4</v>
      </c>
      <c r="M1187">
        <v>12000</v>
      </c>
      <c r="N1187" t="s">
        <v>3704</v>
      </c>
      <c r="O1187" t="s">
        <v>3706</v>
      </c>
    </row>
    <row r="1188" spans="1:15" x14ac:dyDescent="0.35">
      <c r="A1188" t="s">
        <v>1201</v>
      </c>
      <c r="B1188" t="s">
        <v>1783</v>
      </c>
      <c r="C1188" t="s">
        <v>2478</v>
      </c>
      <c r="D1188" t="s">
        <v>3657</v>
      </c>
      <c r="E1188" t="s">
        <v>3672</v>
      </c>
      <c r="F1188">
        <v>47</v>
      </c>
      <c r="G1188" t="s">
        <v>3676</v>
      </c>
      <c r="H1188" t="s">
        <v>3682</v>
      </c>
      <c r="I1188" t="s">
        <v>3689</v>
      </c>
      <c r="J1188" t="s">
        <v>3694</v>
      </c>
      <c r="K1188" t="s">
        <v>3699</v>
      </c>
      <c r="L1188">
        <v>5</v>
      </c>
      <c r="M1188">
        <v>1800</v>
      </c>
      <c r="N1188" t="s">
        <v>3702</v>
      </c>
      <c r="O1188" t="s">
        <v>3705</v>
      </c>
    </row>
    <row r="1189" spans="1:15" x14ac:dyDescent="0.35">
      <c r="A1189" t="s">
        <v>1202</v>
      </c>
      <c r="B1189" t="s">
        <v>1784</v>
      </c>
      <c r="C1189" t="s">
        <v>2479</v>
      </c>
      <c r="D1189" t="s">
        <v>3658</v>
      </c>
      <c r="E1189" t="s">
        <v>3671</v>
      </c>
      <c r="F1189">
        <v>48</v>
      </c>
      <c r="G1189" t="s">
        <v>3673</v>
      </c>
      <c r="H1189" t="s">
        <v>3673</v>
      </c>
      <c r="I1189" t="s">
        <v>3686</v>
      </c>
      <c r="J1189" t="s">
        <v>3693</v>
      </c>
      <c r="K1189" t="s">
        <v>3696</v>
      </c>
      <c r="L1189">
        <v>3</v>
      </c>
      <c r="M1189">
        <v>65000</v>
      </c>
      <c r="N1189" t="s">
        <v>3704</v>
      </c>
      <c r="O1189" t="s">
        <v>3706</v>
      </c>
    </row>
    <row r="1190" spans="1:15" x14ac:dyDescent="0.35">
      <c r="A1190" t="s">
        <v>1203</v>
      </c>
      <c r="B1190" t="s">
        <v>1747</v>
      </c>
      <c r="C1190" t="s">
        <v>2480</v>
      </c>
      <c r="D1190" t="s">
        <v>3659</v>
      </c>
      <c r="E1190" t="s">
        <v>3672</v>
      </c>
      <c r="F1190">
        <v>30</v>
      </c>
      <c r="G1190" t="s">
        <v>3676</v>
      </c>
      <c r="H1190" t="s">
        <v>3682</v>
      </c>
      <c r="I1190" t="s">
        <v>3690</v>
      </c>
      <c r="J1190" t="s">
        <v>3693</v>
      </c>
      <c r="K1190" t="s">
        <v>3700</v>
      </c>
      <c r="L1190">
        <v>3</v>
      </c>
      <c r="M1190">
        <v>72000</v>
      </c>
      <c r="N1190" t="s">
        <v>3703</v>
      </c>
      <c r="O1190" t="s">
        <v>3706</v>
      </c>
    </row>
    <row r="1191" spans="1:15" x14ac:dyDescent="0.35">
      <c r="A1191" t="s">
        <v>1204</v>
      </c>
      <c r="B1191" t="s">
        <v>1785</v>
      </c>
      <c r="C1191" t="s">
        <v>1895</v>
      </c>
      <c r="D1191" t="s">
        <v>3660</v>
      </c>
      <c r="E1191" t="s">
        <v>3671</v>
      </c>
      <c r="F1191">
        <v>57</v>
      </c>
      <c r="G1191" t="s">
        <v>3678</v>
      </c>
      <c r="H1191" t="s">
        <v>3683</v>
      </c>
      <c r="I1191" t="s">
        <v>3686</v>
      </c>
      <c r="J1191" t="s">
        <v>3693</v>
      </c>
      <c r="K1191" t="s">
        <v>3696</v>
      </c>
      <c r="L1191">
        <v>1</v>
      </c>
      <c r="M1191">
        <v>65000</v>
      </c>
      <c r="N1191" t="s">
        <v>3703</v>
      </c>
      <c r="O1191" t="s">
        <v>3707</v>
      </c>
    </row>
    <row r="1192" spans="1:15" x14ac:dyDescent="0.35">
      <c r="A1192" t="s">
        <v>1205</v>
      </c>
      <c r="B1192" t="s">
        <v>1786</v>
      </c>
      <c r="C1192" t="s">
        <v>2026</v>
      </c>
      <c r="D1192" t="s">
        <v>3661</v>
      </c>
      <c r="E1192" t="s">
        <v>3672</v>
      </c>
      <c r="F1192">
        <v>46</v>
      </c>
      <c r="G1192" t="s">
        <v>3679</v>
      </c>
      <c r="H1192" t="s">
        <v>3684</v>
      </c>
      <c r="I1192" t="s">
        <v>3687</v>
      </c>
      <c r="J1192" t="s">
        <v>3693</v>
      </c>
      <c r="K1192" t="s">
        <v>3697</v>
      </c>
      <c r="L1192">
        <v>3</v>
      </c>
      <c r="M1192">
        <v>5000</v>
      </c>
      <c r="N1192" t="s">
        <v>3704</v>
      </c>
      <c r="O1192" t="s">
        <v>3707</v>
      </c>
    </row>
    <row r="1193" spans="1:15" x14ac:dyDescent="0.35">
      <c r="A1193" t="s">
        <v>1206</v>
      </c>
      <c r="B1193" t="s">
        <v>1219</v>
      </c>
      <c r="C1193" t="s">
        <v>2316</v>
      </c>
      <c r="D1193" t="s">
        <v>3662</v>
      </c>
      <c r="E1193" t="s">
        <v>3672</v>
      </c>
      <c r="F1193">
        <v>58</v>
      </c>
      <c r="G1193" t="s">
        <v>3678</v>
      </c>
      <c r="H1193" t="s">
        <v>3683</v>
      </c>
      <c r="I1193" t="s">
        <v>3685</v>
      </c>
      <c r="J1193" t="s">
        <v>3692</v>
      </c>
      <c r="K1193" t="s">
        <v>3695</v>
      </c>
      <c r="L1193">
        <v>1</v>
      </c>
      <c r="M1193">
        <v>12000</v>
      </c>
      <c r="N1193" t="s">
        <v>3701</v>
      </c>
      <c r="O1193" t="s">
        <v>3707</v>
      </c>
    </row>
    <row r="1194" spans="1:15" x14ac:dyDescent="0.35">
      <c r="A1194" t="s">
        <v>1207</v>
      </c>
      <c r="B1194" t="s">
        <v>1758</v>
      </c>
      <c r="C1194" t="s">
        <v>2258</v>
      </c>
      <c r="D1194" t="s">
        <v>3663</v>
      </c>
      <c r="E1194" t="s">
        <v>3671</v>
      </c>
      <c r="F1194">
        <v>33</v>
      </c>
      <c r="G1194" t="s">
        <v>3675</v>
      </c>
      <c r="H1194" t="s">
        <v>3681</v>
      </c>
      <c r="I1194" t="s">
        <v>3688</v>
      </c>
      <c r="J1194" t="s">
        <v>3694</v>
      </c>
      <c r="K1194" t="s">
        <v>3698</v>
      </c>
      <c r="L1194">
        <v>3</v>
      </c>
      <c r="M1194">
        <v>4500</v>
      </c>
      <c r="N1194" t="s">
        <v>3701</v>
      </c>
      <c r="O1194" t="s">
        <v>3705</v>
      </c>
    </row>
    <row r="1195" spans="1:15" x14ac:dyDescent="0.35">
      <c r="A1195" t="s">
        <v>1208</v>
      </c>
      <c r="B1195" t="s">
        <v>1564</v>
      </c>
      <c r="C1195" t="s">
        <v>2269</v>
      </c>
      <c r="D1195" t="s">
        <v>3664</v>
      </c>
      <c r="E1195" t="s">
        <v>3671</v>
      </c>
      <c r="F1195">
        <v>32</v>
      </c>
      <c r="G1195" t="s">
        <v>3678</v>
      </c>
      <c r="H1195" t="s">
        <v>3683</v>
      </c>
      <c r="I1195" t="s">
        <v>3691</v>
      </c>
      <c r="J1195" t="s">
        <v>3693</v>
      </c>
      <c r="K1195" t="s">
        <v>3696</v>
      </c>
      <c r="L1195">
        <v>1</v>
      </c>
      <c r="M1195">
        <v>58000</v>
      </c>
      <c r="N1195" t="s">
        <v>3702</v>
      </c>
      <c r="O1195" t="s">
        <v>3705</v>
      </c>
    </row>
    <row r="1196" spans="1:15" x14ac:dyDescent="0.35">
      <c r="A1196" t="s">
        <v>1209</v>
      </c>
      <c r="B1196" t="s">
        <v>1783</v>
      </c>
      <c r="C1196" t="s">
        <v>2374</v>
      </c>
      <c r="D1196" t="s">
        <v>3665</v>
      </c>
      <c r="E1196" t="s">
        <v>3672</v>
      </c>
      <c r="F1196">
        <v>59</v>
      </c>
      <c r="G1196" t="s">
        <v>3676</v>
      </c>
      <c r="H1196" t="s">
        <v>3682</v>
      </c>
      <c r="I1196" t="s">
        <v>3686</v>
      </c>
      <c r="J1196" t="s">
        <v>3693</v>
      </c>
      <c r="K1196" t="s">
        <v>3696</v>
      </c>
      <c r="L1196">
        <v>2</v>
      </c>
      <c r="M1196">
        <v>65000</v>
      </c>
      <c r="N1196" t="s">
        <v>3703</v>
      </c>
      <c r="O1196" t="s">
        <v>3707</v>
      </c>
    </row>
    <row r="1197" spans="1:15" x14ac:dyDescent="0.35">
      <c r="A1197" t="s">
        <v>1210</v>
      </c>
      <c r="B1197" t="s">
        <v>1491</v>
      </c>
      <c r="C1197" t="s">
        <v>1887</v>
      </c>
      <c r="D1197" t="s">
        <v>3666</v>
      </c>
      <c r="E1197" t="s">
        <v>3672</v>
      </c>
      <c r="F1197">
        <v>49</v>
      </c>
      <c r="G1197" t="s">
        <v>3673</v>
      </c>
      <c r="H1197" t="s">
        <v>3673</v>
      </c>
      <c r="I1197" t="s">
        <v>3686</v>
      </c>
      <c r="J1197" t="s">
        <v>3693</v>
      </c>
      <c r="K1197" t="s">
        <v>3696</v>
      </c>
      <c r="L1197">
        <v>3</v>
      </c>
      <c r="M1197">
        <v>65000</v>
      </c>
      <c r="N1197" t="s">
        <v>3703</v>
      </c>
      <c r="O1197" t="s">
        <v>3705</v>
      </c>
    </row>
    <row r="1198" spans="1:15" x14ac:dyDescent="0.35">
      <c r="A1198" t="s">
        <v>1211</v>
      </c>
      <c r="B1198" t="s">
        <v>1787</v>
      </c>
      <c r="C1198" t="s">
        <v>2481</v>
      </c>
      <c r="D1198" t="s">
        <v>3667</v>
      </c>
      <c r="E1198" t="s">
        <v>3672</v>
      </c>
      <c r="F1198">
        <v>59</v>
      </c>
      <c r="G1198" t="s">
        <v>3676</v>
      </c>
      <c r="H1198" t="s">
        <v>3682</v>
      </c>
      <c r="I1198" t="s">
        <v>3689</v>
      </c>
      <c r="J1198" t="s">
        <v>3694</v>
      </c>
      <c r="K1198" t="s">
        <v>3699</v>
      </c>
      <c r="L1198">
        <v>2</v>
      </c>
      <c r="M1198">
        <v>1800</v>
      </c>
      <c r="N1198" t="s">
        <v>3704</v>
      </c>
      <c r="O1198" t="s">
        <v>3706</v>
      </c>
    </row>
    <row r="1199" spans="1:15" x14ac:dyDescent="0.35">
      <c r="A1199" t="s">
        <v>1212</v>
      </c>
      <c r="B1199" t="s">
        <v>1729</v>
      </c>
      <c r="C1199" t="s">
        <v>1957</v>
      </c>
      <c r="D1199" t="s">
        <v>3668</v>
      </c>
      <c r="E1199" t="s">
        <v>3671</v>
      </c>
      <c r="F1199">
        <v>32</v>
      </c>
      <c r="G1199" t="s">
        <v>3675</v>
      </c>
      <c r="H1199" t="s">
        <v>3681</v>
      </c>
      <c r="I1199" t="s">
        <v>3690</v>
      </c>
      <c r="J1199" t="s">
        <v>3693</v>
      </c>
      <c r="K1199" t="s">
        <v>3700</v>
      </c>
      <c r="L1199">
        <v>4</v>
      </c>
      <c r="M1199">
        <v>72000</v>
      </c>
      <c r="N1199" t="s">
        <v>3702</v>
      </c>
      <c r="O1199" t="s">
        <v>3707</v>
      </c>
    </row>
    <row r="1200" spans="1:15" x14ac:dyDescent="0.35">
      <c r="A1200" t="s">
        <v>1213</v>
      </c>
      <c r="B1200" t="s">
        <v>1322</v>
      </c>
      <c r="C1200" t="s">
        <v>2482</v>
      </c>
      <c r="D1200" t="s">
        <v>3669</v>
      </c>
      <c r="E1200" t="s">
        <v>3671</v>
      </c>
      <c r="F1200">
        <v>51</v>
      </c>
      <c r="G1200" t="s">
        <v>3678</v>
      </c>
      <c r="H1200" t="s">
        <v>3683</v>
      </c>
      <c r="I1200" t="s">
        <v>3685</v>
      </c>
      <c r="J1200" t="s">
        <v>3692</v>
      </c>
      <c r="K1200" t="s">
        <v>3695</v>
      </c>
      <c r="L1200">
        <v>1</v>
      </c>
      <c r="M1200">
        <v>12000</v>
      </c>
      <c r="N1200" t="s">
        <v>3703</v>
      </c>
      <c r="O1200" t="s">
        <v>3706</v>
      </c>
    </row>
    <row r="1201" spans="1:15" x14ac:dyDescent="0.35">
      <c r="A1201" t="s">
        <v>1214</v>
      </c>
      <c r="B1201" t="s">
        <v>1368</v>
      </c>
      <c r="C1201" t="s">
        <v>2151</v>
      </c>
      <c r="D1201" t="s">
        <v>3670</v>
      </c>
      <c r="E1201" t="s">
        <v>3671</v>
      </c>
      <c r="F1201">
        <v>55</v>
      </c>
      <c r="G1201" t="s">
        <v>3673</v>
      </c>
      <c r="H1201" t="s">
        <v>3673</v>
      </c>
      <c r="I1201" t="s">
        <v>3688</v>
      </c>
      <c r="J1201" t="s">
        <v>3694</v>
      </c>
      <c r="K1201" t="s">
        <v>3698</v>
      </c>
      <c r="L1201">
        <v>5</v>
      </c>
      <c r="M1201">
        <v>4500</v>
      </c>
      <c r="N1201" t="s">
        <v>3703</v>
      </c>
      <c r="O1201" t="s">
        <v>3707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0143-660E-480F-9B53-CDB8F6B0102A}">
  <dimension ref="A1:T1201"/>
  <sheetViews>
    <sheetView topLeftCell="A1182" zoomScale="98" zoomScaleNormal="98" workbookViewId="0">
      <selection activeCell="P2" sqref="P2:P1201"/>
    </sheetView>
  </sheetViews>
  <sheetFormatPr defaultRowHeight="14.5" x14ac:dyDescent="0.35"/>
  <cols>
    <col min="1" max="1" width="12.453125" bestFit="1" customWidth="1"/>
    <col min="2" max="2" width="14.7265625" bestFit="1" customWidth="1"/>
    <col min="3" max="3" width="10.81640625" bestFit="1" customWidth="1"/>
    <col min="4" max="4" width="21.08984375" bestFit="1" customWidth="1"/>
    <col min="5" max="5" width="7" bestFit="1" customWidth="1"/>
    <col min="6" max="6" width="3.90625" bestFit="1" customWidth="1"/>
    <col min="7" max="7" width="10" bestFit="1" customWidth="1"/>
    <col min="8" max="8" width="11.6328125" bestFit="1" customWidth="1"/>
    <col min="9" max="9" width="17.81640625" bestFit="1" customWidth="1"/>
    <col min="10" max="10" width="9.7265625" bestFit="1" customWidth="1"/>
    <col min="11" max="11" width="11.36328125" bestFit="1" customWidth="1"/>
    <col min="12" max="12" width="8.1796875" bestFit="1" customWidth="1"/>
    <col min="13" max="13" width="6.08984375" bestFit="1" customWidth="1"/>
    <col min="14" max="14" width="13.26953125" bestFit="1" customWidth="1"/>
    <col min="15" max="15" width="11" bestFit="1" customWidth="1"/>
    <col min="16" max="16" width="10.54296875" bestFit="1" customWidth="1"/>
    <col min="17" max="17" width="18.6328125" bestFit="1" customWidth="1"/>
  </cols>
  <sheetData>
    <row r="1" spans="1:20" s="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3708</v>
      </c>
      <c r="Q1" s="4" t="s">
        <v>3709</v>
      </c>
      <c r="R1" s="4" t="s">
        <v>3710</v>
      </c>
      <c r="S1" s="4" t="s">
        <v>3711</v>
      </c>
      <c r="T1" s="4" t="s">
        <v>3712</v>
      </c>
    </row>
    <row r="2" spans="1:20" x14ac:dyDescent="0.35">
      <c r="A2" t="s">
        <v>15</v>
      </c>
      <c r="B2" t="s">
        <v>1215</v>
      </c>
      <c r="C2" t="s">
        <v>1788</v>
      </c>
      <c r="D2" t="s">
        <v>2483</v>
      </c>
      <c r="E2" t="s">
        <v>3671</v>
      </c>
      <c r="F2">
        <v>41</v>
      </c>
      <c r="G2" t="s">
        <v>3673</v>
      </c>
      <c r="H2" t="s">
        <v>3673</v>
      </c>
      <c r="I2" t="s">
        <v>3685</v>
      </c>
      <c r="J2" t="s">
        <v>3692</v>
      </c>
      <c r="K2" t="s">
        <v>3695</v>
      </c>
      <c r="L2">
        <v>5</v>
      </c>
      <c r="M2">
        <v>12000</v>
      </c>
      <c r="N2" t="s">
        <v>3701</v>
      </c>
      <c r="O2" t="s">
        <v>3705</v>
      </c>
      <c r="P2" s="2">
        <f>DATEVALUE(SUBSTITUTE(B2,"/","-"))</f>
        <v>45882</v>
      </c>
      <c r="Q2" t="str">
        <f>TRIM(CLEAN(D2))</f>
        <v>Samaira Subramanian</v>
      </c>
      <c r="R2" t="str">
        <f>IF(G2="","Unknown",G2)</f>
        <v>Delhi</v>
      </c>
      <c r="S2" t="str">
        <f>IF(H2="","Unknown",H2)</f>
        <v>Delhi</v>
      </c>
      <c r="T2">
        <f>L2*M2</f>
        <v>60000</v>
      </c>
    </row>
    <row r="3" spans="1:20" x14ac:dyDescent="0.35">
      <c r="A3" t="s">
        <v>16</v>
      </c>
      <c r="B3" t="s">
        <v>1216</v>
      </c>
      <c r="C3" t="s">
        <v>1789</v>
      </c>
      <c r="D3" t="s">
        <v>2484</v>
      </c>
      <c r="E3" t="s">
        <v>3672</v>
      </c>
      <c r="F3">
        <v>59</v>
      </c>
      <c r="G3" t="s">
        <v>3673</v>
      </c>
      <c r="H3" t="s">
        <v>3673</v>
      </c>
      <c r="I3" t="s">
        <v>3685</v>
      </c>
      <c r="J3" t="s">
        <v>3692</v>
      </c>
      <c r="K3" t="s">
        <v>3695</v>
      </c>
      <c r="L3">
        <v>3</v>
      </c>
      <c r="M3">
        <v>12000</v>
      </c>
      <c r="N3" t="s">
        <v>3701</v>
      </c>
      <c r="O3" t="s">
        <v>3706</v>
      </c>
      <c r="P3" s="2">
        <f t="shared" ref="P3:P66" si="0">DATEVALUE(SUBSTITUTE(B3,"/","-"))</f>
        <v>45688</v>
      </c>
      <c r="Q3" t="str">
        <f t="shared" ref="Q3:Q66" si="1">TRIM(CLEAN(D3))</f>
        <v>Siya Andra</v>
      </c>
      <c r="R3" t="str">
        <f t="shared" ref="R3:R66" si="2">IF(G3="","Unknown",G3)</f>
        <v>Delhi</v>
      </c>
      <c r="S3" t="str">
        <f t="shared" ref="S3:S66" si="3">IF(H3="","Unknown",H3)</f>
        <v>Delhi</v>
      </c>
      <c r="T3">
        <f t="shared" ref="T3:T66" si="4">L3*M3</f>
        <v>36000</v>
      </c>
    </row>
    <row r="4" spans="1:20" x14ac:dyDescent="0.35">
      <c r="A4" t="s">
        <v>17</v>
      </c>
      <c r="B4" t="s">
        <v>1217</v>
      </c>
      <c r="C4" t="s">
        <v>1790</v>
      </c>
      <c r="D4" t="s">
        <v>2485</v>
      </c>
      <c r="E4" t="s">
        <v>3671</v>
      </c>
      <c r="F4">
        <v>36</v>
      </c>
      <c r="G4" t="s">
        <v>3674</v>
      </c>
      <c r="H4" t="s">
        <v>3680</v>
      </c>
      <c r="I4" t="s">
        <v>3686</v>
      </c>
      <c r="J4" t="s">
        <v>3693</v>
      </c>
      <c r="K4" t="s">
        <v>3696</v>
      </c>
      <c r="L4">
        <v>1</v>
      </c>
      <c r="M4">
        <v>65000</v>
      </c>
      <c r="N4" t="s">
        <v>3702</v>
      </c>
      <c r="O4" t="s">
        <v>3706</v>
      </c>
      <c r="P4" s="2">
        <f t="shared" si="0"/>
        <v>45879</v>
      </c>
      <c r="Q4" t="str">
        <f t="shared" si="1"/>
        <v>Ishaan Lala</v>
      </c>
      <c r="R4" t="str">
        <f t="shared" si="2"/>
        <v>Pune</v>
      </c>
      <c r="S4" t="str">
        <f t="shared" si="3"/>
        <v>Maharashtra</v>
      </c>
      <c r="T4">
        <f t="shared" si="4"/>
        <v>65000</v>
      </c>
    </row>
    <row r="5" spans="1:20" x14ac:dyDescent="0.35">
      <c r="A5" t="s">
        <v>18</v>
      </c>
      <c r="B5" t="s">
        <v>1218</v>
      </c>
      <c r="C5" t="s">
        <v>1791</v>
      </c>
      <c r="D5" t="s">
        <v>2486</v>
      </c>
      <c r="E5" t="s">
        <v>3671</v>
      </c>
      <c r="F5">
        <v>58</v>
      </c>
      <c r="G5" t="s">
        <v>3675</v>
      </c>
      <c r="H5" t="s">
        <v>3681</v>
      </c>
      <c r="I5" t="s">
        <v>3687</v>
      </c>
      <c r="J5" t="s">
        <v>3693</v>
      </c>
      <c r="K5" t="s">
        <v>3697</v>
      </c>
      <c r="L5">
        <v>4</v>
      </c>
      <c r="M5">
        <v>5000</v>
      </c>
      <c r="N5" t="s">
        <v>3703</v>
      </c>
      <c r="O5" t="s">
        <v>3706</v>
      </c>
      <c r="P5" s="2">
        <f t="shared" si="0"/>
        <v>46010</v>
      </c>
      <c r="Q5" t="str">
        <f t="shared" si="1"/>
        <v>Seher Raman</v>
      </c>
      <c r="R5" t="str">
        <f t="shared" si="2"/>
        <v>Kolkata</v>
      </c>
      <c r="S5" t="str">
        <f t="shared" si="3"/>
        <v>West Bengal</v>
      </c>
      <c r="T5">
        <f t="shared" si="4"/>
        <v>20000</v>
      </c>
    </row>
    <row r="6" spans="1:20" x14ac:dyDescent="0.35">
      <c r="A6" t="s">
        <v>19</v>
      </c>
      <c r="B6" t="s">
        <v>1219</v>
      </c>
      <c r="C6" t="s">
        <v>1792</v>
      </c>
      <c r="D6" t="s">
        <v>2487</v>
      </c>
      <c r="E6" t="s">
        <v>3671</v>
      </c>
      <c r="F6">
        <v>57</v>
      </c>
      <c r="G6" t="s">
        <v>3676</v>
      </c>
      <c r="H6" t="s">
        <v>3682</v>
      </c>
      <c r="I6" t="s">
        <v>3688</v>
      </c>
      <c r="J6" t="s">
        <v>3694</v>
      </c>
      <c r="K6" t="s">
        <v>3698</v>
      </c>
      <c r="L6">
        <v>1</v>
      </c>
      <c r="M6">
        <v>4500</v>
      </c>
      <c r="N6" t="s">
        <v>3703</v>
      </c>
      <c r="O6" t="s">
        <v>3705</v>
      </c>
      <c r="P6" s="2">
        <f t="shared" si="0"/>
        <v>45778</v>
      </c>
      <c r="Q6" t="str">
        <f t="shared" si="1"/>
        <v>Trisha Buch</v>
      </c>
      <c r="R6" t="str">
        <f t="shared" si="2"/>
        <v>Chennai</v>
      </c>
      <c r="S6" t="str">
        <f t="shared" si="3"/>
        <v>Tamil Nadu</v>
      </c>
      <c r="T6">
        <f t="shared" si="4"/>
        <v>4500</v>
      </c>
    </row>
    <row r="7" spans="1:20" x14ac:dyDescent="0.35">
      <c r="A7" t="s">
        <v>20</v>
      </c>
      <c r="B7" t="s">
        <v>1220</v>
      </c>
      <c r="C7" t="s">
        <v>1793</v>
      </c>
      <c r="D7" t="s">
        <v>2488</v>
      </c>
      <c r="E7" t="s">
        <v>3671</v>
      </c>
      <c r="F7">
        <v>40</v>
      </c>
      <c r="G7" t="s">
        <v>3677</v>
      </c>
      <c r="H7" t="s">
        <v>3680</v>
      </c>
      <c r="I7" t="s">
        <v>3688</v>
      </c>
      <c r="J7" t="s">
        <v>3694</v>
      </c>
      <c r="K7" t="s">
        <v>3698</v>
      </c>
      <c r="L7">
        <v>4</v>
      </c>
      <c r="M7">
        <v>4500</v>
      </c>
      <c r="N7" t="s">
        <v>3703</v>
      </c>
      <c r="O7" t="s">
        <v>3706</v>
      </c>
      <c r="P7" s="2">
        <f t="shared" si="0"/>
        <v>45872</v>
      </c>
      <c r="Q7" t="str">
        <f t="shared" si="1"/>
        <v>Shalv Boase</v>
      </c>
      <c r="R7" t="str">
        <f t="shared" si="2"/>
        <v>Mumbai</v>
      </c>
      <c r="S7" t="str">
        <f t="shared" si="3"/>
        <v>Maharashtra</v>
      </c>
      <c r="T7">
        <f t="shared" si="4"/>
        <v>18000</v>
      </c>
    </row>
    <row r="8" spans="1:20" x14ac:dyDescent="0.35">
      <c r="A8" t="s">
        <v>21</v>
      </c>
      <c r="B8" t="s">
        <v>1221</v>
      </c>
      <c r="C8" t="s">
        <v>1794</v>
      </c>
      <c r="D8" t="s">
        <v>2489</v>
      </c>
      <c r="E8" t="s">
        <v>3671</v>
      </c>
      <c r="F8">
        <v>21</v>
      </c>
      <c r="G8" t="s">
        <v>3677</v>
      </c>
      <c r="H8" t="s">
        <v>3680</v>
      </c>
      <c r="I8" t="s">
        <v>3686</v>
      </c>
      <c r="J8" t="s">
        <v>3693</v>
      </c>
      <c r="K8" t="s">
        <v>3696</v>
      </c>
      <c r="L8">
        <v>3</v>
      </c>
      <c r="M8">
        <v>65000</v>
      </c>
      <c r="N8" t="s">
        <v>3702</v>
      </c>
      <c r="O8" t="s">
        <v>3705</v>
      </c>
      <c r="P8" s="2">
        <f t="shared" si="0"/>
        <v>45799</v>
      </c>
      <c r="Q8" t="str">
        <f t="shared" si="1"/>
        <v>Samar Karnik</v>
      </c>
      <c r="R8" t="str">
        <f t="shared" si="2"/>
        <v>Mumbai</v>
      </c>
      <c r="S8" t="str">
        <f t="shared" si="3"/>
        <v>Maharashtra</v>
      </c>
      <c r="T8">
        <f t="shared" si="4"/>
        <v>195000</v>
      </c>
    </row>
    <row r="9" spans="1:20" x14ac:dyDescent="0.35">
      <c r="A9" t="s">
        <v>22</v>
      </c>
      <c r="B9" t="s">
        <v>1222</v>
      </c>
      <c r="C9" t="s">
        <v>1795</v>
      </c>
      <c r="D9" t="s">
        <v>2490</v>
      </c>
      <c r="E9" t="s">
        <v>3671</v>
      </c>
      <c r="F9">
        <v>43</v>
      </c>
      <c r="G9" t="s">
        <v>3673</v>
      </c>
      <c r="H9" t="s">
        <v>3673</v>
      </c>
      <c r="I9" t="s">
        <v>3688</v>
      </c>
      <c r="J9" t="s">
        <v>3694</v>
      </c>
      <c r="K9" t="s">
        <v>3698</v>
      </c>
      <c r="L9">
        <v>4</v>
      </c>
      <c r="M9">
        <v>4500</v>
      </c>
      <c r="N9" t="s">
        <v>3704</v>
      </c>
      <c r="O9" t="s">
        <v>3706</v>
      </c>
      <c r="P9" s="2">
        <f t="shared" si="0"/>
        <v>45843</v>
      </c>
      <c r="Q9" t="str">
        <f t="shared" si="1"/>
        <v>Hansh Chaudhuri</v>
      </c>
      <c r="R9" t="str">
        <f t="shared" si="2"/>
        <v>Delhi</v>
      </c>
      <c r="S9" t="str">
        <f t="shared" si="3"/>
        <v>Delhi</v>
      </c>
      <c r="T9">
        <f t="shared" si="4"/>
        <v>18000</v>
      </c>
    </row>
    <row r="10" spans="1:20" x14ac:dyDescent="0.35">
      <c r="A10" t="s">
        <v>23</v>
      </c>
      <c r="B10" t="s">
        <v>1223</v>
      </c>
      <c r="C10" t="s">
        <v>1796</v>
      </c>
      <c r="D10" t="s">
        <v>2491</v>
      </c>
      <c r="E10" t="s">
        <v>3671</v>
      </c>
      <c r="F10">
        <v>43</v>
      </c>
      <c r="G10" t="s">
        <v>3678</v>
      </c>
      <c r="H10" t="s">
        <v>3683</v>
      </c>
      <c r="I10" t="s">
        <v>3689</v>
      </c>
      <c r="J10" t="s">
        <v>3694</v>
      </c>
      <c r="K10" t="s">
        <v>3699</v>
      </c>
      <c r="L10">
        <v>3</v>
      </c>
      <c r="M10">
        <v>1800</v>
      </c>
      <c r="N10" t="s">
        <v>3704</v>
      </c>
      <c r="O10" t="s">
        <v>3705</v>
      </c>
      <c r="P10" s="2">
        <f t="shared" si="0"/>
        <v>45789</v>
      </c>
      <c r="Q10" t="str">
        <f t="shared" si="1"/>
        <v>Pihu Bawa</v>
      </c>
      <c r="R10" t="str">
        <f t="shared" si="2"/>
        <v>Hyderabad</v>
      </c>
      <c r="S10" t="str">
        <f t="shared" si="3"/>
        <v>Telangana</v>
      </c>
      <c r="T10">
        <f t="shared" si="4"/>
        <v>5400</v>
      </c>
    </row>
    <row r="11" spans="1:20" x14ac:dyDescent="0.35">
      <c r="A11" t="s">
        <v>24</v>
      </c>
      <c r="B11" t="s">
        <v>1224</v>
      </c>
      <c r="C11" t="s">
        <v>1797</v>
      </c>
      <c r="D11" t="s">
        <v>2492</v>
      </c>
      <c r="E11" t="s">
        <v>3671</v>
      </c>
      <c r="F11">
        <v>60</v>
      </c>
      <c r="G11" t="s">
        <v>3675</v>
      </c>
      <c r="H11" t="s">
        <v>3681</v>
      </c>
      <c r="I11" t="s">
        <v>3690</v>
      </c>
      <c r="J11" t="s">
        <v>3693</v>
      </c>
      <c r="K11" t="s">
        <v>3700</v>
      </c>
      <c r="L11">
        <v>1</v>
      </c>
      <c r="M11">
        <v>72000</v>
      </c>
      <c r="N11" t="s">
        <v>3704</v>
      </c>
      <c r="O11" t="s">
        <v>3706</v>
      </c>
      <c r="P11" s="2">
        <f t="shared" si="0"/>
        <v>45801</v>
      </c>
      <c r="Q11" t="str">
        <f t="shared" si="1"/>
        <v>Chirag Banik</v>
      </c>
      <c r="R11" t="str">
        <f t="shared" si="2"/>
        <v>Kolkata</v>
      </c>
      <c r="S11" t="str">
        <f t="shared" si="3"/>
        <v>West Bengal</v>
      </c>
      <c r="T11">
        <f t="shared" si="4"/>
        <v>72000</v>
      </c>
    </row>
    <row r="12" spans="1:20" x14ac:dyDescent="0.35">
      <c r="A12" t="s">
        <v>25</v>
      </c>
      <c r="B12" t="s">
        <v>1225</v>
      </c>
      <c r="C12" t="s">
        <v>1798</v>
      </c>
      <c r="D12" t="s">
        <v>2493</v>
      </c>
      <c r="E12" t="s">
        <v>3671</v>
      </c>
      <c r="F12">
        <v>19</v>
      </c>
      <c r="G12" t="s">
        <v>3679</v>
      </c>
      <c r="H12" t="s">
        <v>3684</v>
      </c>
      <c r="I12" t="s">
        <v>3689</v>
      </c>
      <c r="J12" t="s">
        <v>3694</v>
      </c>
      <c r="K12" t="s">
        <v>3699</v>
      </c>
      <c r="L12">
        <v>4</v>
      </c>
      <c r="M12">
        <v>1800</v>
      </c>
      <c r="N12" t="s">
        <v>3704</v>
      </c>
      <c r="O12" t="s">
        <v>3705</v>
      </c>
      <c r="P12" s="2">
        <f t="shared" si="0"/>
        <v>45863</v>
      </c>
      <c r="Q12" t="str">
        <f t="shared" si="1"/>
        <v>Advik Khalsa</v>
      </c>
      <c r="R12" t="str">
        <f t="shared" si="2"/>
        <v>Bengaluru</v>
      </c>
      <c r="S12" t="str">
        <f t="shared" si="3"/>
        <v>Karnataka</v>
      </c>
      <c r="T12">
        <f t="shared" si="4"/>
        <v>7200</v>
      </c>
    </row>
    <row r="13" spans="1:20" x14ac:dyDescent="0.35">
      <c r="A13" t="s">
        <v>26</v>
      </c>
      <c r="B13" t="s">
        <v>1226</v>
      </c>
      <c r="C13" t="s">
        <v>1799</v>
      </c>
      <c r="D13" t="s">
        <v>2494</v>
      </c>
      <c r="E13" t="s">
        <v>3672</v>
      </c>
      <c r="F13">
        <v>50</v>
      </c>
      <c r="G13" t="s">
        <v>3675</v>
      </c>
      <c r="H13" t="s">
        <v>3681</v>
      </c>
      <c r="I13" t="s">
        <v>3685</v>
      </c>
      <c r="J13" t="s">
        <v>3692</v>
      </c>
      <c r="K13" t="s">
        <v>3695</v>
      </c>
      <c r="L13">
        <v>2</v>
      </c>
      <c r="M13">
        <v>12000</v>
      </c>
      <c r="N13" t="s">
        <v>3701</v>
      </c>
      <c r="O13" t="s">
        <v>3705</v>
      </c>
      <c r="P13" s="2">
        <f t="shared" si="0"/>
        <v>45858</v>
      </c>
      <c r="Q13" t="str">
        <f t="shared" si="1"/>
        <v>Eshani Divan</v>
      </c>
      <c r="R13" t="str">
        <f t="shared" si="2"/>
        <v>Kolkata</v>
      </c>
      <c r="S13" t="str">
        <f t="shared" si="3"/>
        <v>West Bengal</v>
      </c>
      <c r="T13">
        <f t="shared" si="4"/>
        <v>24000</v>
      </c>
    </row>
    <row r="14" spans="1:20" x14ac:dyDescent="0.35">
      <c r="A14" t="s">
        <v>27</v>
      </c>
      <c r="B14" t="s">
        <v>1227</v>
      </c>
      <c r="C14" t="s">
        <v>1800</v>
      </c>
      <c r="D14" t="s">
        <v>2495</v>
      </c>
      <c r="E14" t="s">
        <v>3672</v>
      </c>
      <c r="F14">
        <v>22</v>
      </c>
      <c r="G14" t="s">
        <v>3674</v>
      </c>
      <c r="H14" t="s">
        <v>3680</v>
      </c>
      <c r="I14" t="s">
        <v>3688</v>
      </c>
      <c r="J14" t="s">
        <v>3694</v>
      </c>
      <c r="K14" t="s">
        <v>3698</v>
      </c>
      <c r="L14">
        <v>2</v>
      </c>
      <c r="M14">
        <v>4500</v>
      </c>
      <c r="N14" t="s">
        <v>3703</v>
      </c>
      <c r="O14" t="s">
        <v>3705</v>
      </c>
      <c r="P14" s="2">
        <f t="shared" si="0"/>
        <v>45708</v>
      </c>
      <c r="Q14" t="str">
        <f t="shared" si="1"/>
        <v>Hrishita Yadav</v>
      </c>
      <c r="R14" t="str">
        <f t="shared" si="2"/>
        <v>Pune</v>
      </c>
      <c r="S14" t="str">
        <f t="shared" si="3"/>
        <v>Maharashtra</v>
      </c>
      <c r="T14">
        <f t="shared" si="4"/>
        <v>9000</v>
      </c>
    </row>
    <row r="15" spans="1:20" x14ac:dyDescent="0.35">
      <c r="A15" t="s">
        <v>28</v>
      </c>
      <c r="B15" t="s">
        <v>1228</v>
      </c>
      <c r="C15" t="s">
        <v>1801</v>
      </c>
      <c r="D15" t="s">
        <v>2496</v>
      </c>
      <c r="E15" t="s">
        <v>3671</v>
      </c>
      <c r="F15">
        <v>44</v>
      </c>
      <c r="G15" t="s">
        <v>3678</v>
      </c>
      <c r="H15" t="s">
        <v>3683</v>
      </c>
      <c r="I15" t="s">
        <v>3689</v>
      </c>
      <c r="J15" t="s">
        <v>3694</v>
      </c>
      <c r="K15" t="s">
        <v>3699</v>
      </c>
      <c r="L15">
        <v>5</v>
      </c>
      <c r="M15">
        <v>1800</v>
      </c>
      <c r="N15" t="s">
        <v>3703</v>
      </c>
      <c r="O15" t="s">
        <v>3706</v>
      </c>
      <c r="P15" s="2">
        <f t="shared" si="0"/>
        <v>45996</v>
      </c>
      <c r="Q15" t="str">
        <f t="shared" si="1"/>
        <v>Umang Rajan</v>
      </c>
      <c r="R15" t="str">
        <f t="shared" si="2"/>
        <v>Hyderabad</v>
      </c>
      <c r="S15" t="str">
        <f t="shared" si="3"/>
        <v>Telangana</v>
      </c>
      <c r="T15">
        <f t="shared" si="4"/>
        <v>9000</v>
      </c>
    </row>
    <row r="16" spans="1:20" x14ac:dyDescent="0.35">
      <c r="A16" t="s">
        <v>29</v>
      </c>
      <c r="B16" t="s">
        <v>1229</v>
      </c>
      <c r="C16" t="s">
        <v>1802</v>
      </c>
      <c r="D16" t="s">
        <v>2497</v>
      </c>
      <c r="E16" t="s">
        <v>3672</v>
      </c>
      <c r="F16">
        <v>26</v>
      </c>
      <c r="G16" t="s">
        <v>3674</v>
      </c>
      <c r="H16" t="s">
        <v>3680</v>
      </c>
      <c r="I16" t="s">
        <v>3690</v>
      </c>
      <c r="J16" t="s">
        <v>3693</v>
      </c>
      <c r="K16" t="s">
        <v>3700</v>
      </c>
      <c r="L16">
        <v>1</v>
      </c>
      <c r="M16">
        <v>72000</v>
      </c>
      <c r="N16" t="s">
        <v>3703</v>
      </c>
      <c r="O16" t="s">
        <v>3707</v>
      </c>
      <c r="P16" s="2">
        <f t="shared" si="0"/>
        <v>45732</v>
      </c>
      <c r="Q16" t="str">
        <f t="shared" si="1"/>
        <v>Navya Kapadia</v>
      </c>
      <c r="R16" t="str">
        <f t="shared" si="2"/>
        <v>Pune</v>
      </c>
      <c r="S16" t="str">
        <f t="shared" si="3"/>
        <v>Maharashtra</v>
      </c>
      <c r="T16">
        <f t="shared" si="4"/>
        <v>72000</v>
      </c>
    </row>
    <row r="17" spans="1:20" x14ac:dyDescent="0.35">
      <c r="A17" t="s">
        <v>30</v>
      </c>
      <c r="B17" t="s">
        <v>1230</v>
      </c>
      <c r="C17" t="s">
        <v>1803</v>
      </c>
      <c r="D17" t="s">
        <v>2498</v>
      </c>
      <c r="E17" t="s">
        <v>3672</v>
      </c>
      <c r="F17">
        <v>53</v>
      </c>
      <c r="G17" t="s">
        <v>3677</v>
      </c>
      <c r="H17" t="s">
        <v>3680</v>
      </c>
      <c r="I17" t="s">
        <v>3688</v>
      </c>
      <c r="J17" t="s">
        <v>3694</v>
      </c>
      <c r="K17" t="s">
        <v>3698</v>
      </c>
      <c r="L17">
        <v>5</v>
      </c>
      <c r="M17">
        <v>4500</v>
      </c>
      <c r="N17" t="s">
        <v>3702</v>
      </c>
      <c r="O17" t="s">
        <v>3706</v>
      </c>
      <c r="P17" s="2">
        <f t="shared" si="0"/>
        <v>45790</v>
      </c>
      <c r="Q17" t="str">
        <f t="shared" si="1"/>
        <v>Kaira Bumb</v>
      </c>
      <c r="R17" t="str">
        <f t="shared" si="2"/>
        <v>Mumbai</v>
      </c>
      <c r="S17" t="str">
        <f t="shared" si="3"/>
        <v>Maharashtra</v>
      </c>
      <c r="T17">
        <f t="shared" si="4"/>
        <v>22500</v>
      </c>
    </row>
    <row r="18" spans="1:20" x14ac:dyDescent="0.35">
      <c r="A18" t="s">
        <v>31</v>
      </c>
      <c r="B18" t="s">
        <v>1231</v>
      </c>
      <c r="C18" t="s">
        <v>1804</v>
      </c>
      <c r="D18" t="s">
        <v>2499</v>
      </c>
      <c r="E18" t="s">
        <v>3671</v>
      </c>
      <c r="F18">
        <v>59</v>
      </c>
      <c r="G18" t="s">
        <v>3673</v>
      </c>
      <c r="H18" t="s">
        <v>3673</v>
      </c>
      <c r="I18" t="s">
        <v>3687</v>
      </c>
      <c r="J18" t="s">
        <v>3693</v>
      </c>
      <c r="K18" t="s">
        <v>3697</v>
      </c>
      <c r="L18">
        <v>3</v>
      </c>
      <c r="M18">
        <v>5000</v>
      </c>
      <c r="N18" t="s">
        <v>3701</v>
      </c>
      <c r="O18" t="s">
        <v>3707</v>
      </c>
      <c r="P18" s="2">
        <f t="shared" si="0"/>
        <v>45890</v>
      </c>
      <c r="Q18" t="str">
        <f t="shared" si="1"/>
        <v>Suhana Arora</v>
      </c>
      <c r="R18" t="str">
        <f t="shared" si="2"/>
        <v>Delhi</v>
      </c>
      <c r="S18" t="str">
        <f t="shared" si="3"/>
        <v>Delhi</v>
      </c>
      <c r="T18">
        <f t="shared" si="4"/>
        <v>15000</v>
      </c>
    </row>
    <row r="19" spans="1:20" x14ac:dyDescent="0.35">
      <c r="A19" t="s">
        <v>32</v>
      </c>
      <c r="B19" t="s">
        <v>1232</v>
      </c>
      <c r="C19" t="s">
        <v>1805</v>
      </c>
      <c r="D19" t="s">
        <v>2500</v>
      </c>
      <c r="E19" t="s">
        <v>3672</v>
      </c>
      <c r="F19">
        <v>19</v>
      </c>
      <c r="G19" t="s">
        <v>3675</v>
      </c>
      <c r="H19" t="s">
        <v>3681</v>
      </c>
      <c r="I19" t="s">
        <v>3689</v>
      </c>
      <c r="J19" t="s">
        <v>3694</v>
      </c>
      <c r="K19" t="s">
        <v>3699</v>
      </c>
      <c r="L19">
        <v>5</v>
      </c>
      <c r="M19">
        <v>1800</v>
      </c>
      <c r="N19" t="s">
        <v>3704</v>
      </c>
      <c r="O19" t="s">
        <v>3707</v>
      </c>
      <c r="P19" s="2">
        <f t="shared" si="0"/>
        <v>45749</v>
      </c>
      <c r="Q19" t="str">
        <f t="shared" si="1"/>
        <v>Advika Khanna</v>
      </c>
      <c r="R19" t="str">
        <f t="shared" si="2"/>
        <v>Kolkata</v>
      </c>
      <c r="S19" t="str">
        <f t="shared" si="3"/>
        <v>West Bengal</v>
      </c>
      <c r="T19">
        <f t="shared" si="4"/>
        <v>9000</v>
      </c>
    </row>
    <row r="20" spans="1:20" x14ac:dyDescent="0.35">
      <c r="A20" t="s">
        <v>33</v>
      </c>
      <c r="B20" t="s">
        <v>1233</v>
      </c>
      <c r="C20" t="s">
        <v>1806</v>
      </c>
      <c r="D20" t="s">
        <v>2501</v>
      </c>
      <c r="E20" t="s">
        <v>3671</v>
      </c>
      <c r="F20">
        <v>35</v>
      </c>
      <c r="G20" t="s">
        <v>3673</v>
      </c>
      <c r="H20" t="s">
        <v>3673</v>
      </c>
      <c r="I20" t="s">
        <v>3685</v>
      </c>
      <c r="J20" t="s">
        <v>3692</v>
      </c>
      <c r="K20" t="s">
        <v>3695</v>
      </c>
      <c r="L20">
        <v>4</v>
      </c>
      <c r="M20">
        <v>12000</v>
      </c>
      <c r="N20" t="s">
        <v>3704</v>
      </c>
      <c r="O20" t="s">
        <v>3705</v>
      </c>
      <c r="P20" s="2">
        <f t="shared" si="0"/>
        <v>45921</v>
      </c>
      <c r="Q20" t="str">
        <f t="shared" si="1"/>
        <v>Badal Bhatti</v>
      </c>
      <c r="R20" t="str">
        <f t="shared" si="2"/>
        <v>Delhi</v>
      </c>
      <c r="S20" t="str">
        <f t="shared" si="3"/>
        <v>Delhi</v>
      </c>
      <c r="T20">
        <f t="shared" si="4"/>
        <v>48000</v>
      </c>
    </row>
    <row r="21" spans="1:20" x14ac:dyDescent="0.35">
      <c r="A21" t="s">
        <v>34</v>
      </c>
      <c r="B21" t="s">
        <v>1234</v>
      </c>
      <c r="C21" t="s">
        <v>1807</v>
      </c>
      <c r="D21" t="s">
        <v>2502</v>
      </c>
      <c r="E21" t="s">
        <v>3672</v>
      </c>
      <c r="F21">
        <v>27</v>
      </c>
      <c r="G21" t="s">
        <v>3677</v>
      </c>
      <c r="H21" t="s">
        <v>3680</v>
      </c>
      <c r="I21" t="s">
        <v>3686</v>
      </c>
      <c r="J21" t="s">
        <v>3693</v>
      </c>
      <c r="K21" t="s">
        <v>3696</v>
      </c>
      <c r="L21">
        <v>4</v>
      </c>
      <c r="M21">
        <v>65000</v>
      </c>
      <c r="N21" t="s">
        <v>3702</v>
      </c>
      <c r="O21" t="s">
        <v>3707</v>
      </c>
      <c r="P21" s="2">
        <f t="shared" si="0"/>
        <v>45818</v>
      </c>
      <c r="Q21" t="str">
        <f t="shared" si="1"/>
        <v>Nishith Gill</v>
      </c>
      <c r="R21" t="str">
        <f t="shared" si="2"/>
        <v>Mumbai</v>
      </c>
      <c r="S21" t="str">
        <f t="shared" si="3"/>
        <v>Maharashtra</v>
      </c>
      <c r="T21">
        <f t="shared" si="4"/>
        <v>260000</v>
      </c>
    </row>
    <row r="22" spans="1:20" x14ac:dyDescent="0.35">
      <c r="A22" t="s">
        <v>35</v>
      </c>
      <c r="B22" t="s">
        <v>1235</v>
      </c>
      <c r="C22" t="s">
        <v>1808</v>
      </c>
      <c r="D22" t="s">
        <v>2503</v>
      </c>
      <c r="E22" t="s">
        <v>3671</v>
      </c>
      <c r="F22">
        <v>40</v>
      </c>
      <c r="G22" t="s">
        <v>3678</v>
      </c>
      <c r="H22" t="s">
        <v>3683</v>
      </c>
      <c r="I22" t="s">
        <v>3690</v>
      </c>
      <c r="J22" t="s">
        <v>3693</v>
      </c>
      <c r="K22" t="s">
        <v>3700</v>
      </c>
      <c r="L22">
        <v>1</v>
      </c>
      <c r="M22">
        <v>72000</v>
      </c>
      <c r="N22" t="s">
        <v>3702</v>
      </c>
      <c r="O22" t="s">
        <v>3706</v>
      </c>
      <c r="P22" s="2">
        <f t="shared" si="0"/>
        <v>45846</v>
      </c>
      <c r="Q22" t="str">
        <f t="shared" si="1"/>
        <v>Miraya Jain</v>
      </c>
      <c r="R22" t="str">
        <f t="shared" si="2"/>
        <v>Hyderabad</v>
      </c>
      <c r="S22" t="str">
        <f t="shared" si="3"/>
        <v>Telangana</v>
      </c>
      <c r="T22">
        <f t="shared" si="4"/>
        <v>72000</v>
      </c>
    </row>
    <row r="23" spans="1:20" x14ac:dyDescent="0.35">
      <c r="A23" t="s">
        <v>36</v>
      </c>
      <c r="B23" t="s">
        <v>1236</v>
      </c>
      <c r="C23" t="s">
        <v>1807</v>
      </c>
      <c r="D23" t="s">
        <v>2504</v>
      </c>
      <c r="E23" t="s">
        <v>3671</v>
      </c>
      <c r="F23">
        <v>30</v>
      </c>
      <c r="G23" t="s">
        <v>3673</v>
      </c>
      <c r="H23" t="s">
        <v>3673</v>
      </c>
      <c r="I23" t="s">
        <v>3685</v>
      </c>
      <c r="J23" t="s">
        <v>3692</v>
      </c>
      <c r="K23" t="s">
        <v>3695</v>
      </c>
      <c r="L23">
        <v>4</v>
      </c>
      <c r="M23">
        <v>12000</v>
      </c>
      <c r="N23" t="s">
        <v>3703</v>
      </c>
      <c r="O23" t="s">
        <v>3705</v>
      </c>
      <c r="P23" s="2">
        <f t="shared" si="0"/>
        <v>45833</v>
      </c>
      <c r="Q23" t="str">
        <f t="shared" si="1"/>
        <v>Tejas Swamy</v>
      </c>
      <c r="R23" t="str">
        <f t="shared" si="2"/>
        <v>Delhi</v>
      </c>
      <c r="S23" t="str">
        <f t="shared" si="3"/>
        <v>Delhi</v>
      </c>
      <c r="T23">
        <f t="shared" si="4"/>
        <v>48000</v>
      </c>
    </row>
    <row r="24" spans="1:20" x14ac:dyDescent="0.35">
      <c r="A24" t="s">
        <v>37</v>
      </c>
      <c r="B24" t="s">
        <v>1237</v>
      </c>
      <c r="C24" t="s">
        <v>1809</v>
      </c>
      <c r="D24" t="s">
        <v>2505</v>
      </c>
      <c r="E24" t="s">
        <v>3671</v>
      </c>
      <c r="F24">
        <v>25</v>
      </c>
      <c r="G24" t="s">
        <v>3675</v>
      </c>
      <c r="H24" t="s">
        <v>3681</v>
      </c>
      <c r="I24" t="s">
        <v>3690</v>
      </c>
      <c r="J24" t="s">
        <v>3693</v>
      </c>
      <c r="K24" t="s">
        <v>3700</v>
      </c>
      <c r="L24">
        <v>4</v>
      </c>
      <c r="M24">
        <v>72000</v>
      </c>
      <c r="N24" t="s">
        <v>3703</v>
      </c>
      <c r="O24" t="s">
        <v>3705</v>
      </c>
      <c r="P24" s="2">
        <f t="shared" si="0"/>
        <v>45892</v>
      </c>
      <c r="Q24" t="str">
        <f t="shared" si="1"/>
        <v>Anya Mall</v>
      </c>
      <c r="R24" t="str">
        <f t="shared" si="2"/>
        <v>Kolkata</v>
      </c>
      <c r="S24" t="str">
        <f t="shared" si="3"/>
        <v>West Bengal</v>
      </c>
      <c r="T24">
        <f t="shared" si="4"/>
        <v>288000</v>
      </c>
    </row>
    <row r="25" spans="1:20" x14ac:dyDescent="0.35">
      <c r="A25" t="s">
        <v>38</v>
      </c>
      <c r="B25" t="s">
        <v>1238</v>
      </c>
      <c r="C25" t="s">
        <v>1810</v>
      </c>
      <c r="D25" t="s">
        <v>2506</v>
      </c>
      <c r="E25" t="s">
        <v>3672</v>
      </c>
      <c r="F25">
        <v>37</v>
      </c>
      <c r="G25" t="s">
        <v>3675</v>
      </c>
      <c r="H25" t="s">
        <v>3681</v>
      </c>
      <c r="I25" t="s">
        <v>3685</v>
      </c>
      <c r="J25" t="s">
        <v>3692</v>
      </c>
      <c r="K25" t="s">
        <v>3695</v>
      </c>
      <c r="L25">
        <v>5</v>
      </c>
      <c r="M25">
        <v>12000</v>
      </c>
      <c r="N25" t="s">
        <v>3701</v>
      </c>
      <c r="O25" t="s">
        <v>3706</v>
      </c>
      <c r="P25" s="2">
        <f t="shared" si="0"/>
        <v>45845</v>
      </c>
      <c r="Q25" t="str">
        <f t="shared" si="1"/>
        <v>Miraya Kaul</v>
      </c>
      <c r="R25" t="str">
        <f t="shared" si="2"/>
        <v>Kolkata</v>
      </c>
      <c r="S25" t="str">
        <f t="shared" si="3"/>
        <v>West Bengal</v>
      </c>
      <c r="T25">
        <f t="shared" si="4"/>
        <v>60000</v>
      </c>
    </row>
    <row r="26" spans="1:20" x14ac:dyDescent="0.35">
      <c r="A26" t="s">
        <v>39</v>
      </c>
      <c r="B26" t="s">
        <v>1239</v>
      </c>
      <c r="C26" t="s">
        <v>1811</v>
      </c>
      <c r="D26" t="s">
        <v>2507</v>
      </c>
      <c r="E26" t="s">
        <v>3672</v>
      </c>
      <c r="F26">
        <v>37</v>
      </c>
      <c r="G26" t="s">
        <v>3673</v>
      </c>
      <c r="H26" t="s">
        <v>3673</v>
      </c>
      <c r="I26" t="s">
        <v>3688</v>
      </c>
      <c r="J26" t="s">
        <v>3694</v>
      </c>
      <c r="K26" t="s">
        <v>3698</v>
      </c>
      <c r="L26">
        <v>5</v>
      </c>
      <c r="M26">
        <v>4500</v>
      </c>
      <c r="N26" t="s">
        <v>3704</v>
      </c>
      <c r="O26" t="s">
        <v>3705</v>
      </c>
      <c r="P26" s="2">
        <f t="shared" si="0"/>
        <v>45667</v>
      </c>
      <c r="Q26" t="str">
        <f t="shared" si="1"/>
        <v>Ayesha Iyer</v>
      </c>
      <c r="R26" t="str">
        <f t="shared" si="2"/>
        <v>Delhi</v>
      </c>
      <c r="S26" t="str">
        <f t="shared" si="3"/>
        <v>Delhi</v>
      </c>
      <c r="T26">
        <f t="shared" si="4"/>
        <v>22500</v>
      </c>
    </row>
    <row r="27" spans="1:20" x14ac:dyDescent="0.35">
      <c r="A27" t="s">
        <v>40</v>
      </c>
      <c r="B27" t="s">
        <v>1240</v>
      </c>
      <c r="C27" t="s">
        <v>1812</v>
      </c>
      <c r="D27" t="s">
        <v>2508</v>
      </c>
      <c r="E27" t="s">
        <v>3672</v>
      </c>
      <c r="F27">
        <v>20</v>
      </c>
      <c r="G27" t="s">
        <v>3678</v>
      </c>
      <c r="H27" t="s">
        <v>3683</v>
      </c>
      <c r="I27" t="s">
        <v>3685</v>
      </c>
      <c r="J27" t="s">
        <v>3692</v>
      </c>
      <c r="K27" t="s">
        <v>3695</v>
      </c>
      <c r="L27">
        <v>5</v>
      </c>
      <c r="M27">
        <v>12000</v>
      </c>
      <c r="N27" t="s">
        <v>3703</v>
      </c>
      <c r="O27" t="s">
        <v>3707</v>
      </c>
      <c r="P27" s="2">
        <f t="shared" si="0"/>
        <v>45853</v>
      </c>
      <c r="Q27" t="str">
        <f t="shared" si="1"/>
        <v>Taimur Sama</v>
      </c>
      <c r="R27" t="str">
        <f t="shared" si="2"/>
        <v>Hyderabad</v>
      </c>
      <c r="S27" t="str">
        <f t="shared" si="3"/>
        <v>Telangana</v>
      </c>
      <c r="T27">
        <f t="shared" si="4"/>
        <v>60000</v>
      </c>
    </row>
    <row r="28" spans="1:20" x14ac:dyDescent="0.35">
      <c r="A28" t="s">
        <v>41</v>
      </c>
      <c r="B28" t="s">
        <v>1241</v>
      </c>
      <c r="C28" t="s">
        <v>1813</v>
      </c>
      <c r="D28" t="s">
        <v>2509</v>
      </c>
      <c r="E28" t="s">
        <v>3672</v>
      </c>
      <c r="F28">
        <v>45</v>
      </c>
      <c r="G28" t="s">
        <v>3678</v>
      </c>
      <c r="H28" t="s">
        <v>3683</v>
      </c>
      <c r="I28" t="s">
        <v>3690</v>
      </c>
      <c r="J28" t="s">
        <v>3693</v>
      </c>
      <c r="K28" t="s">
        <v>3700</v>
      </c>
      <c r="L28">
        <v>3</v>
      </c>
      <c r="M28">
        <v>72000</v>
      </c>
      <c r="N28" t="s">
        <v>3703</v>
      </c>
      <c r="O28" t="s">
        <v>3706</v>
      </c>
      <c r="P28" s="2">
        <f t="shared" si="0"/>
        <v>46017</v>
      </c>
      <c r="Q28" t="str">
        <f t="shared" si="1"/>
        <v>Renee Ratti</v>
      </c>
      <c r="R28" t="str">
        <f t="shared" si="2"/>
        <v>Hyderabad</v>
      </c>
      <c r="S28" t="str">
        <f t="shared" si="3"/>
        <v>Telangana</v>
      </c>
      <c r="T28">
        <f t="shared" si="4"/>
        <v>216000</v>
      </c>
    </row>
    <row r="29" spans="1:20" x14ac:dyDescent="0.35">
      <c r="A29" t="s">
        <v>42</v>
      </c>
      <c r="B29" t="s">
        <v>1242</v>
      </c>
      <c r="C29" t="s">
        <v>1814</v>
      </c>
      <c r="D29" t="s">
        <v>2510</v>
      </c>
      <c r="E29" t="s">
        <v>3672</v>
      </c>
      <c r="F29">
        <v>37</v>
      </c>
      <c r="G29" t="s">
        <v>3673</v>
      </c>
      <c r="H29" t="s">
        <v>3673</v>
      </c>
      <c r="I29" t="s">
        <v>3689</v>
      </c>
      <c r="J29" t="s">
        <v>3694</v>
      </c>
      <c r="K29" t="s">
        <v>3699</v>
      </c>
      <c r="L29">
        <v>5</v>
      </c>
      <c r="M29">
        <v>1800</v>
      </c>
      <c r="N29" t="s">
        <v>3703</v>
      </c>
      <c r="O29" t="s">
        <v>3705</v>
      </c>
      <c r="P29" s="2">
        <f t="shared" si="0"/>
        <v>45967</v>
      </c>
      <c r="Q29" t="str">
        <f t="shared" si="1"/>
        <v>Vedika Raja</v>
      </c>
      <c r="R29" t="str">
        <f t="shared" si="2"/>
        <v>Delhi</v>
      </c>
      <c r="S29" t="str">
        <f t="shared" si="3"/>
        <v>Delhi</v>
      </c>
      <c r="T29">
        <f t="shared" si="4"/>
        <v>9000</v>
      </c>
    </row>
    <row r="30" spans="1:20" x14ac:dyDescent="0.35">
      <c r="A30" t="s">
        <v>43</v>
      </c>
      <c r="B30" t="s">
        <v>1243</v>
      </c>
      <c r="C30" t="s">
        <v>1815</v>
      </c>
      <c r="D30" t="s">
        <v>2511</v>
      </c>
      <c r="E30" t="s">
        <v>3672</v>
      </c>
      <c r="F30">
        <v>37</v>
      </c>
      <c r="G30" t="s">
        <v>3676</v>
      </c>
      <c r="H30" t="s">
        <v>3682</v>
      </c>
      <c r="I30" t="s">
        <v>3691</v>
      </c>
      <c r="J30" t="s">
        <v>3693</v>
      </c>
      <c r="K30" t="s">
        <v>3696</v>
      </c>
      <c r="L30">
        <v>1</v>
      </c>
      <c r="M30">
        <v>58000</v>
      </c>
      <c r="N30" t="s">
        <v>3702</v>
      </c>
      <c r="O30" t="s">
        <v>3707</v>
      </c>
      <c r="P30" s="2">
        <f t="shared" si="0"/>
        <v>45693</v>
      </c>
      <c r="Q30" t="str">
        <f t="shared" si="1"/>
        <v>Reyansh Vyas</v>
      </c>
      <c r="R30" t="str">
        <f t="shared" si="2"/>
        <v>Chennai</v>
      </c>
      <c r="S30" t="str">
        <f t="shared" si="3"/>
        <v>Tamil Nadu</v>
      </c>
      <c r="T30">
        <f t="shared" si="4"/>
        <v>58000</v>
      </c>
    </row>
    <row r="31" spans="1:20" x14ac:dyDescent="0.35">
      <c r="A31" t="s">
        <v>44</v>
      </c>
      <c r="B31" t="s">
        <v>1244</v>
      </c>
      <c r="C31" t="s">
        <v>1816</v>
      </c>
      <c r="D31" t="s">
        <v>2512</v>
      </c>
      <c r="E31" t="s">
        <v>3672</v>
      </c>
      <c r="F31">
        <v>49</v>
      </c>
      <c r="G31" t="s">
        <v>3676</v>
      </c>
      <c r="H31" t="s">
        <v>3682</v>
      </c>
      <c r="I31" t="s">
        <v>3685</v>
      </c>
      <c r="J31" t="s">
        <v>3692</v>
      </c>
      <c r="K31" t="s">
        <v>3695</v>
      </c>
      <c r="L31">
        <v>3</v>
      </c>
      <c r="M31">
        <v>12000</v>
      </c>
      <c r="N31" t="s">
        <v>3701</v>
      </c>
      <c r="O31" t="s">
        <v>3706</v>
      </c>
      <c r="P31" s="2">
        <f t="shared" si="0"/>
        <v>45678</v>
      </c>
      <c r="Q31" t="str">
        <f t="shared" si="1"/>
        <v>Amani Sen</v>
      </c>
      <c r="R31" t="str">
        <f t="shared" si="2"/>
        <v>Chennai</v>
      </c>
      <c r="S31" t="str">
        <f t="shared" si="3"/>
        <v>Tamil Nadu</v>
      </c>
      <c r="T31">
        <f t="shared" si="4"/>
        <v>36000</v>
      </c>
    </row>
    <row r="32" spans="1:20" x14ac:dyDescent="0.35">
      <c r="A32" t="s">
        <v>45</v>
      </c>
      <c r="B32" t="s">
        <v>1245</v>
      </c>
      <c r="C32" t="s">
        <v>1817</v>
      </c>
      <c r="D32" t="s">
        <v>2513</v>
      </c>
      <c r="E32" t="s">
        <v>3672</v>
      </c>
      <c r="F32">
        <v>19</v>
      </c>
      <c r="G32" t="s">
        <v>3675</v>
      </c>
      <c r="H32" t="s">
        <v>3681</v>
      </c>
      <c r="I32" t="s">
        <v>3690</v>
      </c>
      <c r="J32" t="s">
        <v>3693</v>
      </c>
      <c r="K32" t="s">
        <v>3700</v>
      </c>
      <c r="L32">
        <v>4</v>
      </c>
      <c r="M32">
        <v>72000</v>
      </c>
      <c r="N32" t="s">
        <v>3701</v>
      </c>
      <c r="O32" t="s">
        <v>3707</v>
      </c>
      <c r="P32" s="2">
        <f t="shared" si="0"/>
        <v>46010</v>
      </c>
      <c r="Q32" t="str">
        <f t="shared" si="1"/>
        <v>Kartik Bala</v>
      </c>
      <c r="R32" t="str">
        <f t="shared" si="2"/>
        <v>Kolkata</v>
      </c>
      <c r="S32" t="str">
        <f t="shared" si="3"/>
        <v>West Bengal</v>
      </c>
      <c r="T32">
        <f t="shared" si="4"/>
        <v>288000</v>
      </c>
    </row>
    <row r="33" spans="1:20" x14ac:dyDescent="0.35">
      <c r="A33" t="s">
        <v>46</v>
      </c>
      <c r="B33" t="s">
        <v>1246</v>
      </c>
      <c r="C33" t="s">
        <v>1818</v>
      </c>
      <c r="D33" t="s">
        <v>2514</v>
      </c>
      <c r="E33" t="s">
        <v>3671</v>
      </c>
      <c r="F33">
        <v>36</v>
      </c>
      <c r="G33" t="s">
        <v>3674</v>
      </c>
      <c r="H33" t="s">
        <v>3680</v>
      </c>
      <c r="I33" t="s">
        <v>3687</v>
      </c>
      <c r="J33" t="s">
        <v>3693</v>
      </c>
      <c r="K33" t="s">
        <v>3697</v>
      </c>
      <c r="L33">
        <v>1</v>
      </c>
      <c r="M33">
        <v>5000</v>
      </c>
      <c r="N33" t="s">
        <v>3704</v>
      </c>
      <c r="O33" t="s">
        <v>3705</v>
      </c>
      <c r="P33" s="2">
        <f t="shared" si="0"/>
        <v>45914</v>
      </c>
      <c r="Q33" t="str">
        <f t="shared" si="1"/>
        <v>Badal Kade</v>
      </c>
      <c r="R33" t="str">
        <f t="shared" si="2"/>
        <v>Pune</v>
      </c>
      <c r="S33" t="str">
        <f t="shared" si="3"/>
        <v>Maharashtra</v>
      </c>
      <c r="T33">
        <f t="shared" si="4"/>
        <v>5000</v>
      </c>
    </row>
    <row r="34" spans="1:20" x14ac:dyDescent="0.35">
      <c r="A34" t="s">
        <v>47</v>
      </c>
      <c r="B34" t="s">
        <v>1247</v>
      </c>
      <c r="C34" t="s">
        <v>1819</v>
      </c>
      <c r="D34" t="s">
        <v>2515</v>
      </c>
      <c r="E34" t="s">
        <v>3672</v>
      </c>
      <c r="F34">
        <v>60</v>
      </c>
      <c r="G34" t="s">
        <v>3679</v>
      </c>
      <c r="H34" t="s">
        <v>3684</v>
      </c>
      <c r="I34" t="s">
        <v>3687</v>
      </c>
      <c r="J34" t="s">
        <v>3693</v>
      </c>
      <c r="K34" t="s">
        <v>3697</v>
      </c>
      <c r="L34">
        <v>5</v>
      </c>
      <c r="M34">
        <v>5000</v>
      </c>
      <c r="N34" t="s">
        <v>3701</v>
      </c>
      <c r="O34" t="s">
        <v>3706</v>
      </c>
      <c r="P34" s="2">
        <f t="shared" si="0"/>
        <v>45729</v>
      </c>
      <c r="Q34" t="str">
        <f t="shared" si="1"/>
        <v>Sana Aurora</v>
      </c>
      <c r="R34" t="str">
        <f t="shared" si="2"/>
        <v>Bengaluru</v>
      </c>
      <c r="S34" t="str">
        <f t="shared" si="3"/>
        <v>Karnataka</v>
      </c>
      <c r="T34">
        <f t="shared" si="4"/>
        <v>25000</v>
      </c>
    </row>
    <row r="35" spans="1:20" x14ac:dyDescent="0.35">
      <c r="A35" t="s">
        <v>48</v>
      </c>
      <c r="B35" t="s">
        <v>1248</v>
      </c>
      <c r="C35" t="s">
        <v>1820</v>
      </c>
      <c r="D35" t="s">
        <v>2516</v>
      </c>
      <c r="E35" t="s">
        <v>3671</v>
      </c>
      <c r="F35">
        <v>56</v>
      </c>
      <c r="G35" t="s">
        <v>3675</v>
      </c>
      <c r="H35" t="s">
        <v>3681</v>
      </c>
      <c r="I35" t="s">
        <v>3689</v>
      </c>
      <c r="J35" t="s">
        <v>3694</v>
      </c>
      <c r="K35" t="s">
        <v>3699</v>
      </c>
      <c r="L35">
        <v>5</v>
      </c>
      <c r="M35">
        <v>1800</v>
      </c>
      <c r="N35" t="s">
        <v>3703</v>
      </c>
      <c r="O35" t="s">
        <v>3707</v>
      </c>
      <c r="P35" s="2">
        <f t="shared" si="0"/>
        <v>45797</v>
      </c>
      <c r="Q35" t="str">
        <f t="shared" si="1"/>
        <v>Rati Rana</v>
      </c>
      <c r="R35" t="str">
        <f t="shared" si="2"/>
        <v>Kolkata</v>
      </c>
      <c r="S35" t="str">
        <f t="shared" si="3"/>
        <v>West Bengal</v>
      </c>
      <c r="T35">
        <f t="shared" si="4"/>
        <v>9000</v>
      </c>
    </row>
    <row r="36" spans="1:20" x14ac:dyDescent="0.35">
      <c r="A36" t="s">
        <v>49</v>
      </c>
      <c r="B36" t="s">
        <v>1249</v>
      </c>
      <c r="C36" t="s">
        <v>1821</v>
      </c>
      <c r="D36" t="s">
        <v>2517</v>
      </c>
      <c r="E36" t="s">
        <v>3672</v>
      </c>
      <c r="F36">
        <v>57</v>
      </c>
      <c r="G36" t="s">
        <v>3675</v>
      </c>
      <c r="H36" t="s">
        <v>3681</v>
      </c>
      <c r="I36" t="s">
        <v>3689</v>
      </c>
      <c r="J36" t="s">
        <v>3694</v>
      </c>
      <c r="K36" t="s">
        <v>3699</v>
      </c>
      <c r="L36">
        <v>2</v>
      </c>
      <c r="M36">
        <v>1800</v>
      </c>
      <c r="N36" t="s">
        <v>3702</v>
      </c>
      <c r="O36" t="s">
        <v>3706</v>
      </c>
      <c r="P36" s="2">
        <f t="shared" si="0"/>
        <v>45828</v>
      </c>
      <c r="Q36" t="str">
        <f t="shared" si="1"/>
        <v>Jayesh Sant</v>
      </c>
      <c r="R36" t="str">
        <f t="shared" si="2"/>
        <v>Kolkata</v>
      </c>
      <c r="S36" t="str">
        <f t="shared" si="3"/>
        <v>West Bengal</v>
      </c>
      <c r="T36">
        <f t="shared" si="4"/>
        <v>3600</v>
      </c>
    </row>
    <row r="37" spans="1:20" x14ac:dyDescent="0.35">
      <c r="A37" t="s">
        <v>50</v>
      </c>
      <c r="B37" t="s">
        <v>1250</v>
      </c>
      <c r="C37" t="s">
        <v>1822</v>
      </c>
      <c r="D37" t="s">
        <v>2518</v>
      </c>
      <c r="E37" t="s">
        <v>3671</v>
      </c>
      <c r="F37">
        <v>35</v>
      </c>
      <c r="G37" t="s">
        <v>3679</v>
      </c>
      <c r="H37" t="s">
        <v>3684</v>
      </c>
      <c r="I37" t="s">
        <v>3688</v>
      </c>
      <c r="J37" t="s">
        <v>3694</v>
      </c>
      <c r="K37" t="s">
        <v>3698</v>
      </c>
      <c r="L37">
        <v>2</v>
      </c>
      <c r="M37">
        <v>4500</v>
      </c>
      <c r="N37" t="s">
        <v>3703</v>
      </c>
      <c r="O37" t="s">
        <v>3707</v>
      </c>
      <c r="P37" s="2">
        <f t="shared" si="0"/>
        <v>45957</v>
      </c>
      <c r="Q37" t="str">
        <f t="shared" si="1"/>
        <v>Vritika Ramachandran</v>
      </c>
      <c r="R37" t="str">
        <f t="shared" si="2"/>
        <v>Bengaluru</v>
      </c>
      <c r="S37" t="str">
        <f t="shared" si="3"/>
        <v>Karnataka</v>
      </c>
      <c r="T37">
        <f t="shared" si="4"/>
        <v>9000</v>
      </c>
    </row>
    <row r="38" spans="1:20" x14ac:dyDescent="0.35">
      <c r="A38" t="s">
        <v>51</v>
      </c>
      <c r="B38" t="s">
        <v>1251</v>
      </c>
      <c r="C38" t="s">
        <v>1823</v>
      </c>
      <c r="D38" t="s">
        <v>2519</v>
      </c>
      <c r="E38" t="s">
        <v>3672</v>
      </c>
      <c r="F38">
        <v>36</v>
      </c>
      <c r="G38" t="s">
        <v>3674</v>
      </c>
      <c r="H38" t="s">
        <v>3680</v>
      </c>
      <c r="I38" t="s">
        <v>3688</v>
      </c>
      <c r="J38" t="s">
        <v>3694</v>
      </c>
      <c r="K38" t="s">
        <v>3698</v>
      </c>
      <c r="L38">
        <v>1</v>
      </c>
      <c r="M38">
        <v>4500</v>
      </c>
      <c r="N38" t="s">
        <v>3704</v>
      </c>
      <c r="O38" t="s">
        <v>3706</v>
      </c>
      <c r="P38" s="2">
        <f t="shared" si="0"/>
        <v>45816</v>
      </c>
      <c r="Q38" t="str">
        <f t="shared" si="1"/>
        <v>Ayesha Tiwari</v>
      </c>
      <c r="R38" t="str">
        <f t="shared" si="2"/>
        <v>Pune</v>
      </c>
      <c r="S38" t="str">
        <f t="shared" si="3"/>
        <v>Maharashtra</v>
      </c>
      <c r="T38">
        <f t="shared" si="4"/>
        <v>4500</v>
      </c>
    </row>
    <row r="39" spans="1:20" x14ac:dyDescent="0.35">
      <c r="A39" t="s">
        <v>52</v>
      </c>
      <c r="B39" t="s">
        <v>1252</v>
      </c>
      <c r="C39" t="s">
        <v>1824</v>
      </c>
      <c r="D39" t="s">
        <v>2520</v>
      </c>
      <c r="E39" t="s">
        <v>3672</v>
      </c>
      <c r="F39">
        <v>53</v>
      </c>
      <c r="G39" t="s">
        <v>3674</v>
      </c>
      <c r="H39" t="s">
        <v>3680</v>
      </c>
      <c r="I39" t="s">
        <v>3691</v>
      </c>
      <c r="J39" t="s">
        <v>3693</v>
      </c>
      <c r="K39" t="s">
        <v>3696</v>
      </c>
      <c r="L39">
        <v>2</v>
      </c>
      <c r="M39">
        <v>58000</v>
      </c>
      <c r="N39" t="s">
        <v>3703</v>
      </c>
      <c r="O39" t="s">
        <v>3706</v>
      </c>
      <c r="P39" s="2">
        <f t="shared" si="0"/>
        <v>46014</v>
      </c>
      <c r="Q39" t="str">
        <f t="shared" si="1"/>
        <v>Yashvi Din</v>
      </c>
      <c r="R39" t="str">
        <f t="shared" si="2"/>
        <v>Pune</v>
      </c>
      <c r="S39" t="str">
        <f t="shared" si="3"/>
        <v>Maharashtra</v>
      </c>
      <c r="T39">
        <f t="shared" si="4"/>
        <v>116000</v>
      </c>
    </row>
    <row r="40" spans="1:20" x14ac:dyDescent="0.35">
      <c r="A40" t="s">
        <v>53</v>
      </c>
      <c r="B40" t="s">
        <v>1253</v>
      </c>
      <c r="C40" t="s">
        <v>1825</v>
      </c>
      <c r="D40" t="s">
        <v>2521</v>
      </c>
      <c r="E40" t="s">
        <v>3672</v>
      </c>
      <c r="F40">
        <v>23</v>
      </c>
      <c r="G40" t="s">
        <v>3673</v>
      </c>
      <c r="H40" t="s">
        <v>3673</v>
      </c>
      <c r="I40" t="s">
        <v>3686</v>
      </c>
      <c r="J40" t="s">
        <v>3693</v>
      </c>
      <c r="K40" t="s">
        <v>3696</v>
      </c>
      <c r="L40">
        <v>2</v>
      </c>
      <c r="M40">
        <v>65000</v>
      </c>
      <c r="N40" t="s">
        <v>3702</v>
      </c>
      <c r="O40" t="s">
        <v>3706</v>
      </c>
      <c r="P40" s="2">
        <f t="shared" si="0"/>
        <v>45806</v>
      </c>
      <c r="Q40" t="str">
        <f t="shared" si="1"/>
        <v>Zara Keer</v>
      </c>
      <c r="R40" t="str">
        <f t="shared" si="2"/>
        <v>Delhi</v>
      </c>
      <c r="S40" t="str">
        <f t="shared" si="3"/>
        <v>Delhi</v>
      </c>
      <c r="T40">
        <f t="shared" si="4"/>
        <v>130000</v>
      </c>
    </row>
    <row r="41" spans="1:20" x14ac:dyDescent="0.35">
      <c r="A41" t="s">
        <v>54</v>
      </c>
      <c r="B41" t="s">
        <v>1254</v>
      </c>
      <c r="C41" t="s">
        <v>1826</v>
      </c>
      <c r="D41" t="s">
        <v>2522</v>
      </c>
      <c r="E41" t="s">
        <v>3672</v>
      </c>
      <c r="F41">
        <v>51</v>
      </c>
      <c r="G41" t="s">
        <v>3679</v>
      </c>
      <c r="H41" t="s">
        <v>3684</v>
      </c>
      <c r="I41" t="s">
        <v>3686</v>
      </c>
      <c r="J41" t="s">
        <v>3693</v>
      </c>
      <c r="K41" t="s">
        <v>3696</v>
      </c>
      <c r="L41">
        <v>5</v>
      </c>
      <c r="M41">
        <v>65000</v>
      </c>
      <c r="N41" t="s">
        <v>3702</v>
      </c>
      <c r="O41" t="s">
        <v>3705</v>
      </c>
      <c r="P41" s="2">
        <f t="shared" si="0"/>
        <v>45994</v>
      </c>
      <c r="Q41" t="str">
        <f t="shared" si="1"/>
        <v>Arhaan Gade</v>
      </c>
      <c r="R41" t="str">
        <f t="shared" si="2"/>
        <v>Bengaluru</v>
      </c>
      <c r="S41" t="str">
        <f t="shared" si="3"/>
        <v>Karnataka</v>
      </c>
      <c r="T41">
        <f t="shared" si="4"/>
        <v>325000</v>
      </c>
    </row>
    <row r="42" spans="1:20" x14ac:dyDescent="0.35">
      <c r="A42" t="s">
        <v>55</v>
      </c>
      <c r="B42" t="s">
        <v>1255</v>
      </c>
      <c r="C42" t="s">
        <v>1827</v>
      </c>
      <c r="D42" t="s">
        <v>2523</v>
      </c>
      <c r="E42" t="s">
        <v>3671</v>
      </c>
      <c r="F42">
        <v>46</v>
      </c>
      <c r="G42" t="s">
        <v>3674</v>
      </c>
      <c r="H42" t="s">
        <v>3680</v>
      </c>
      <c r="I42" t="s">
        <v>3688</v>
      </c>
      <c r="J42" t="s">
        <v>3694</v>
      </c>
      <c r="K42" t="s">
        <v>3698</v>
      </c>
      <c r="L42">
        <v>1</v>
      </c>
      <c r="M42">
        <v>4500</v>
      </c>
      <c r="N42" t="s">
        <v>3701</v>
      </c>
      <c r="O42" t="s">
        <v>3705</v>
      </c>
      <c r="P42" s="2">
        <f t="shared" si="0"/>
        <v>45687</v>
      </c>
      <c r="Q42" t="str">
        <f t="shared" si="1"/>
        <v>Anahita D’Alia</v>
      </c>
      <c r="R42" t="str">
        <f t="shared" si="2"/>
        <v>Pune</v>
      </c>
      <c r="S42" t="str">
        <f t="shared" si="3"/>
        <v>Maharashtra</v>
      </c>
      <c r="T42">
        <f t="shared" si="4"/>
        <v>4500</v>
      </c>
    </row>
    <row r="43" spans="1:20" x14ac:dyDescent="0.35">
      <c r="A43" t="s">
        <v>56</v>
      </c>
      <c r="B43" t="s">
        <v>1256</v>
      </c>
      <c r="C43" t="s">
        <v>1828</v>
      </c>
      <c r="D43" t="s">
        <v>2524</v>
      </c>
      <c r="E43" t="s">
        <v>3672</v>
      </c>
      <c r="F43">
        <v>49</v>
      </c>
      <c r="G43" t="s">
        <v>3677</v>
      </c>
      <c r="H43" t="s">
        <v>3680</v>
      </c>
      <c r="I43" t="s">
        <v>3688</v>
      </c>
      <c r="J43" t="s">
        <v>3694</v>
      </c>
      <c r="K43" t="s">
        <v>3698</v>
      </c>
      <c r="L43">
        <v>2</v>
      </c>
      <c r="M43">
        <v>4500</v>
      </c>
      <c r="N43" t="s">
        <v>3701</v>
      </c>
      <c r="O43" t="s">
        <v>3705</v>
      </c>
      <c r="P43" s="2">
        <f t="shared" si="0"/>
        <v>45917</v>
      </c>
      <c r="Q43" t="str">
        <f t="shared" si="1"/>
        <v>Prerak Sarin</v>
      </c>
      <c r="R43" t="str">
        <f t="shared" si="2"/>
        <v>Mumbai</v>
      </c>
      <c r="S43" t="str">
        <f t="shared" si="3"/>
        <v>Maharashtra</v>
      </c>
      <c r="T43">
        <f t="shared" si="4"/>
        <v>9000</v>
      </c>
    </row>
    <row r="44" spans="1:20" x14ac:dyDescent="0.35">
      <c r="A44" t="s">
        <v>57</v>
      </c>
      <c r="B44" t="s">
        <v>1257</v>
      </c>
      <c r="C44" t="s">
        <v>1829</v>
      </c>
      <c r="D44" t="s">
        <v>2525</v>
      </c>
      <c r="E44" t="s">
        <v>3672</v>
      </c>
      <c r="F44">
        <v>52</v>
      </c>
      <c r="G44" t="s">
        <v>3674</v>
      </c>
      <c r="H44" t="s">
        <v>3680</v>
      </c>
      <c r="I44" t="s">
        <v>3688</v>
      </c>
      <c r="J44" t="s">
        <v>3694</v>
      </c>
      <c r="K44" t="s">
        <v>3698</v>
      </c>
      <c r="L44">
        <v>5</v>
      </c>
      <c r="M44">
        <v>4500</v>
      </c>
      <c r="N44" t="s">
        <v>3704</v>
      </c>
      <c r="O44" t="s">
        <v>3707</v>
      </c>
      <c r="P44" s="2">
        <f t="shared" si="0"/>
        <v>45703</v>
      </c>
      <c r="Q44" t="str">
        <f t="shared" si="1"/>
        <v>Tushar Varkey</v>
      </c>
      <c r="R44" t="str">
        <f t="shared" si="2"/>
        <v>Pune</v>
      </c>
      <c r="S44" t="str">
        <f t="shared" si="3"/>
        <v>Maharashtra</v>
      </c>
      <c r="T44">
        <f t="shared" si="4"/>
        <v>22500</v>
      </c>
    </row>
    <row r="45" spans="1:20" x14ac:dyDescent="0.35">
      <c r="A45" t="s">
        <v>58</v>
      </c>
      <c r="B45" t="s">
        <v>1258</v>
      </c>
      <c r="C45" t="s">
        <v>1830</v>
      </c>
      <c r="D45" t="s">
        <v>2526</v>
      </c>
      <c r="E45" t="s">
        <v>3671</v>
      </c>
      <c r="F45">
        <v>20</v>
      </c>
      <c r="G45" t="s">
        <v>3674</v>
      </c>
      <c r="H45" t="s">
        <v>3680</v>
      </c>
      <c r="I45" t="s">
        <v>3689</v>
      </c>
      <c r="J45" t="s">
        <v>3694</v>
      </c>
      <c r="K45" t="s">
        <v>3699</v>
      </c>
      <c r="L45">
        <v>4</v>
      </c>
      <c r="M45">
        <v>1800</v>
      </c>
      <c r="N45" t="s">
        <v>3704</v>
      </c>
      <c r="O45" t="s">
        <v>3705</v>
      </c>
      <c r="P45" s="2">
        <f t="shared" si="0"/>
        <v>45818</v>
      </c>
      <c r="Q45" t="str">
        <f t="shared" si="1"/>
        <v>Mohanlal Sastry</v>
      </c>
      <c r="R45" t="str">
        <f t="shared" si="2"/>
        <v>Pune</v>
      </c>
      <c r="S45" t="str">
        <f t="shared" si="3"/>
        <v>Maharashtra</v>
      </c>
      <c r="T45">
        <f t="shared" si="4"/>
        <v>7200</v>
      </c>
    </row>
    <row r="46" spans="1:20" x14ac:dyDescent="0.35">
      <c r="A46" t="s">
        <v>59</v>
      </c>
      <c r="B46" t="s">
        <v>1259</v>
      </c>
      <c r="C46" t="s">
        <v>1831</v>
      </c>
      <c r="D46" t="s">
        <v>2527</v>
      </c>
      <c r="E46" t="s">
        <v>3672</v>
      </c>
      <c r="F46">
        <v>58</v>
      </c>
      <c r="G46" t="s">
        <v>3676</v>
      </c>
      <c r="H46" t="s">
        <v>3682</v>
      </c>
      <c r="I46" t="s">
        <v>3688</v>
      </c>
      <c r="J46" t="s">
        <v>3694</v>
      </c>
      <c r="K46" t="s">
        <v>3698</v>
      </c>
      <c r="L46">
        <v>2</v>
      </c>
      <c r="M46">
        <v>4500</v>
      </c>
      <c r="N46" t="s">
        <v>3703</v>
      </c>
      <c r="O46" t="s">
        <v>3707</v>
      </c>
      <c r="P46" s="2">
        <f t="shared" si="0"/>
        <v>45924</v>
      </c>
      <c r="Q46" t="str">
        <f t="shared" si="1"/>
        <v>Indranil Gulati</v>
      </c>
      <c r="R46" t="str">
        <f t="shared" si="2"/>
        <v>Chennai</v>
      </c>
      <c r="S46" t="str">
        <f t="shared" si="3"/>
        <v>Tamil Nadu</v>
      </c>
      <c r="T46">
        <f t="shared" si="4"/>
        <v>9000</v>
      </c>
    </row>
    <row r="47" spans="1:20" x14ac:dyDescent="0.35">
      <c r="A47" t="s">
        <v>60</v>
      </c>
      <c r="B47" t="s">
        <v>1260</v>
      </c>
      <c r="C47" t="s">
        <v>1832</v>
      </c>
      <c r="D47" t="s">
        <v>2528</v>
      </c>
      <c r="E47" t="s">
        <v>3672</v>
      </c>
      <c r="F47">
        <v>31</v>
      </c>
      <c r="G47" t="s">
        <v>3677</v>
      </c>
      <c r="H47" t="s">
        <v>3680</v>
      </c>
      <c r="I47" t="s">
        <v>3690</v>
      </c>
      <c r="J47" t="s">
        <v>3693</v>
      </c>
      <c r="K47" t="s">
        <v>3700</v>
      </c>
      <c r="L47">
        <v>3</v>
      </c>
      <c r="M47">
        <v>72000</v>
      </c>
      <c r="N47" t="s">
        <v>3704</v>
      </c>
      <c r="O47" t="s">
        <v>3706</v>
      </c>
      <c r="P47" s="2">
        <f t="shared" si="0"/>
        <v>45877</v>
      </c>
      <c r="Q47" t="str">
        <f t="shared" si="1"/>
        <v>Shray Shere</v>
      </c>
      <c r="R47" t="str">
        <f t="shared" si="2"/>
        <v>Mumbai</v>
      </c>
      <c r="S47" t="str">
        <f t="shared" si="3"/>
        <v>Maharashtra</v>
      </c>
      <c r="T47">
        <f t="shared" si="4"/>
        <v>216000</v>
      </c>
    </row>
    <row r="48" spans="1:20" x14ac:dyDescent="0.35">
      <c r="A48" t="s">
        <v>61</v>
      </c>
      <c r="B48" t="s">
        <v>1261</v>
      </c>
      <c r="C48" t="s">
        <v>1833</v>
      </c>
      <c r="D48" t="s">
        <v>2529</v>
      </c>
      <c r="E48" t="s">
        <v>3671</v>
      </c>
      <c r="F48">
        <v>58</v>
      </c>
      <c r="G48" t="s">
        <v>3677</v>
      </c>
      <c r="H48" t="s">
        <v>3680</v>
      </c>
      <c r="I48" t="s">
        <v>3691</v>
      </c>
      <c r="J48" t="s">
        <v>3693</v>
      </c>
      <c r="K48" t="s">
        <v>3696</v>
      </c>
      <c r="L48">
        <v>5</v>
      </c>
      <c r="M48">
        <v>58000</v>
      </c>
      <c r="N48" t="s">
        <v>3704</v>
      </c>
      <c r="O48" t="s">
        <v>3706</v>
      </c>
      <c r="P48" s="2">
        <f t="shared" si="0"/>
        <v>45857</v>
      </c>
      <c r="Q48" t="str">
        <f t="shared" si="1"/>
        <v>Mehul Ganesan</v>
      </c>
      <c r="R48" t="str">
        <f t="shared" si="2"/>
        <v>Mumbai</v>
      </c>
      <c r="S48" t="str">
        <f t="shared" si="3"/>
        <v>Maharashtra</v>
      </c>
      <c r="T48">
        <f t="shared" si="4"/>
        <v>290000</v>
      </c>
    </row>
    <row r="49" spans="1:20" x14ac:dyDescent="0.35">
      <c r="A49" t="s">
        <v>62</v>
      </c>
      <c r="B49" t="s">
        <v>1262</v>
      </c>
      <c r="C49" t="s">
        <v>1834</v>
      </c>
      <c r="D49" t="s">
        <v>2530</v>
      </c>
      <c r="E49" t="s">
        <v>3671</v>
      </c>
      <c r="F49">
        <v>49</v>
      </c>
      <c r="G49" t="s">
        <v>3674</v>
      </c>
      <c r="H49" t="s">
        <v>3680</v>
      </c>
      <c r="I49" t="s">
        <v>3690</v>
      </c>
      <c r="J49" t="s">
        <v>3693</v>
      </c>
      <c r="K49" t="s">
        <v>3700</v>
      </c>
      <c r="L49">
        <v>1</v>
      </c>
      <c r="M49">
        <v>72000</v>
      </c>
      <c r="N49" t="s">
        <v>3703</v>
      </c>
      <c r="O49" t="s">
        <v>3705</v>
      </c>
      <c r="P49" s="2">
        <f t="shared" si="0"/>
        <v>45889</v>
      </c>
      <c r="Q49" t="str">
        <f t="shared" si="1"/>
        <v>Rhea Kala</v>
      </c>
      <c r="R49" t="str">
        <f t="shared" si="2"/>
        <v>Pune</v>
      </c>
      <c r="S49" t="str">
        <f t="shared" si="3"/>
        <v>Maharashtra</v>
      </c>
      <c r="T49">
        <f t="shared" si="4"/>
        <v>72000</v>
      </c>
    </row>
    <row r="50" spans="1:20" x14ac:dyDescent="0.35">
      <c r="A50" t="s">
        <v>63</v>
      </c>
      <c r="B50" t="s">
        <v>1263</v>
      </c>
      <c r="C50" t="s">
        <v>1835</v>
      </c>
      <c r="D50" t="s">
        <v>2531</v>
      </c>
      <c r="E50" t="s">
        <v>3671</v>
      </c>
      <c r="F50">
        <v>58</v>
      </c>
      <c r="G50" t="s">
        <v>3676</v>
      </c>
      <c r="H50" t="s">
        <v>3682</v>
      </c>
      <c r="I50" t="s">
        <v>3685</v>
      </c>
      <c r="J50" t="s">
        <v>3692</v>
      </c>
      <c r="K50" t="s">
        <v>3695</v>
      </c>
      <c r="L50">
        <v>2</v>
      </c>
      <c r="M50">
        <v>12000</v>
      </c>
      <c r="N50" t="s">
        <v>3703</v>
      </c>
      <c r="O50" t="s">
        <v>3706</v>
      </c>
      <c r="P50" s="2">
        <f t="shared" si="0"/>
        <v>45757</v>
      </c>
      <c r="Q50" t="str">
        <f t="shared" si="1"/>
        <v>Nirvi Borde</v>
      </c>
      <c r="R50" t="str">
        <f t="shared" si="2"/>
        <v>Chennai</v>
      </c>
      <c r="S50" t="str">
        <f t="shared" si="3"/>
        <v>Tamil Nadu</v>
      </c>
      <c r="T50">
        <f t="shared" si="4"/>
        <v>24000</v>
      </c>
    </row>
    <row r="51" spans="1:20" x14ac:dyDescent="0.35">
      <c r="A51" t="s">
        <v>64</v>
      </c>
      <c r="B51" t="s">
        <v>1264</v>
      </c>
      <c r="C51" t="s">
        <v>1836</v>
      </c>
      <c r="D51" t="s">
        <v>2532</v>
      </c>
      <c r="E51" t="s">
        <v>3672</v>
      </c>
      <c r="F51">
        <v>51</v>
      </c>
      <c r="G51" t="s">
        <v>3676</v>
      </c>
      <c r="H51" t="s">
        <v>3682</v>
      </c>
      <c r="I51" t="s">
        <v>3691</v>
      </c>
      <c r="J51" t="s">
        <v>3693</v>
      </c>
      <c r="K51" t="s">
        <v>3696</v>
      </c>
      <c r="L51">
        <v>5</v>
      </c>
      <c r="M51">
        <v>58000</v>
      </c>
      <c r="N51" t="s">
        <v>3702</v>
      </c>
      <c r="O51" t="s">
        <v>3707</v>
      </c>
      <c r="P51" s="2">
        <f t="shared" si="0"/>
        <v>45959</v>
      </c>
      <c r="Q51" t="str">
        <f t="shared" si="1"/>
        <v>Misha Vora</v>
      </c>
      <c r="R51" t="str">
        <f t="shared" si="2"/>
        <v>Chennai</v>
      </c>
      <c r="S51" t="str">
        <f t="shared" si="3"/>
        <v>Tamil Nadu</v>
      </c>
      <c r="T51">
        <f t="shared" si="4"/>
        <v>290000</v>
      </c>
    </row>
    <row r="52" spans="1:20" x14ac:dyDescent="0.35">
      <c r="A52" t="s">
        <v>65</v>
      </c>
      <c r="B52" t="s">
        <v>1265</v>
      </c>
      <c r="C52" t="s">
        <v>1837</v>
      </c>
      <c r="D52" t="s">
        <v>2533</v>
      </c>
      <c r="E52" t="s">
        <v>3672</v>
      </c>
      <c r="F52">
        <v>37</v>
      </c>
      <c r="G52" t="s">
        <v>3679</v>
      </c>
      <c r="H52" t="s">
        <v>3684</v>
      </c>
      <c r="I52" t="s">
        <v>3688</v>
      </c>
      <c r="J52" t="s">
        <v>3694</v>
      </c>
      <c r="K52" t="s">
        <v>3698</v>
      </c>
      <c r="L52">
        <v>5</v>
      </c>
      <c r="M52">
        <v>4500</v>
      </c>
      <c r="N52" t="s">
        <v>3701</v>
      </c>
      <c r="O52" t="s">
        <v>3705</v>
      </c>
      <c r="P52" s="2">
        <f t="shared" si="0"/>
        <v>45979</v>
      </c>
      <c r="Q52" t="str">
        <f t="shared" si="1"/>
        <v>Krish Wason</v>
      </c>
      <c r="R52" t="str">
        <f t="shared" si="2"/>
        <v>Bengaluru</v>
      </c>
      <c r="S52" t="str">
        <f t="shared" si="3"/>
        <v>Karnataka</v>
      </c>
      <c r="T52">
        <f t="shared" si="4"/>
        <v>22500</v>
      </c>
    </row>
    <row r="53" spans="1:20" x14ac:dyDescent="0.35">
      <c r="A53" t="s">
        <v>66</v>
      </c>
      <c r="B53" t="s">
        <v>1240</v>
      </c>
      <c r="C53" t="s">
        <v>1838</v>
      </c>
      <c r="D53" t="s">
        <v>2534</v>
      </c>
      <c r="E53" t="s">
        <v>3671</v>
      </c>
      <c r="F53">
        <v>44</v>
      </c>
      <c r="G53" t="s">
        <v>3678</v>
      </c>
      <c r="H53" t="s">
        <v>3683</v>
      </c>
      <c r="I53" t="s">
        <v>3686</v>
      </c>
      <c r="J53" t="s">
        <v>3693</v>
      </c>
      <c r="K53" t="s">
        <v>3696</v>
      </c>
      <c r="L53">
        <v>4</v>
      </c>
      <c r="M53">
        <v>65000</v>
      </c>
      <c r="N53" t="s">
        <v>3702</v>
      </c>
      <c r="O53" t="s">
        <v>3706</v>
      </c>
      <c r="P53" s="2">
        <f t="shared" si="0"/>
        <v>45853</v>
      </c>
      <c r="Q53" t="str">
        <f t="shared" si="1"/>
        <v>Umang Hayer</v>
      </c>
      <c r="R53" t="str">
        <f t="shared" si="2"/>
        <v>Hyderabad</v>
      </c>
      <c r="S53" t="str">
        <f t="shared" si="3"/>
        <v>Telangana</v>
      </c>
      <c r="T53">
        <f t="shared" si="4"/>
        <v>260000</v>
      </c>
    </row>
    <row r="54" spans="1:20" x14ac:dyDescent="0.35">
      <c r="A54" t="s">
        <v>67</v>
      </c>
      <c r="B54" t="s">
        <v>1266</v>
      </c>
      <c r="C54" t="s">
        <v>1839</v>
      </c>
      <c r="D54" t="s">
        <v>2535</v>
      </c>
      <c r="E54" t="s">
        <v>3671</v>
      </c>
      <c r="F54">
        <v>34</v>
      </c>
      <c r="G54" t="s">
        <v>3676</v>
      </c>
      <c r="H54" t="s">
        <v>3682</v>
      </c>
      <c r="I54" t="s">
        <v>3688</v>
      </c>
      <c r="J54" t="s">
        <v>3694</v>
      </c>
      <c r="K54" t="s">
        <v>3698</v>
      </c>
      <c r="L54">
        <v>2</v>
      </c>
      <c r="M54">
        <v>4500</v>
      </c>
      <c r="N54" t="s">
        <v>3701</v>
      </c>
      <c r="O54" t="s">
        <v>3707</v>
      </c>
      <c r="P54" s="2">
        <f t="shared" si="0"/>
        <v>45984</v>
      </c>
      <c r="Q54" t="str">
        <f t="shared" si="1"/>
        <v>Kavya Chander</v>
      </c>
      <c r="R54" t="str">
        <f t="shared" si="2"/>
        <v>Chennai</v>
      </c>
      <c r="S54" t="str">
        <f t="shared" si="3"/>
        <v>Tamil Nadu</v>
      </c>
      <c r="T54">
        <f t="shared" si="4"/>
        <v>9000</v>
      </c>
    </row>
    <row r="55" spans="1:20" x14ac:dyDescent="0.35">
      <c r="A55" t="s">
        <v>68</v>
      </c>
      <c r="B55" t="s">
        <v>1267</v>
      </c>
      <c r="C55" t="s">
        <v>1840</v>
      </c>
      <c r="D55" t="s">
        <v>2536</v>
      </c>
      <c r="E55" t="s">
        <v>3672</v>
      </c>
      <c r="F55">
        <v>34</v>
      </c>
      <c r="G55" t="s">
        <v>3675</v>
      </c>
      <c r="H55" t="s">
        <v>3681</v>
      </c>
      <c r="I55" t="s">
        <v>3688</v>
      </c>
      <c r="J55" t="s">
        <v>3694</v>
      </c>
      <c r="K55" t="s">
        <v>3698</v>
      </c>
      <c r="L55">
        <v>4</v>
      </c>
      <c r="M55">
        <v>4500</v>
      </c>
      <c r="N55" t="s">
        <v>3703</v>
      </c>
      <c r="O55" t="s">
        <v>3706</v>
      </c>
      <c r="P55" s="2">
        <f t="shared" si="0"/>
        <v>45945</v>
      </c>
      <c r="Q55" t="str">
        <f t="shared" si="1"/>
        <v>Zaina Malhotra</v>
      </c>
      <c r="R55" t="str">
        <f t="shared" si="2"/>
        <v>Kolkata</v>
      </c>
      <c r="S55" t="str">
        <f t="shared" si="3"/>
        <v>West Bengal</v>
      </c>
      <c r="T55">
        <f t="shared" si="4"/>
        <v>18000</v>
      </c>
    </row>
    <row r="56" spans="1:20" x14ac:dyDescent="0.35">
      <c r="A56" t="s">
        <v>69</v>
      </c>
      <c r="B56" t="s">
        <v>1268</v>
      </c>
      <c r="C56" t="s">
        <v>1841</v>
      </c>
      <c r="D56" t="s">
        <v>2537</v>
      </c>
      <c r="E56" t="s">
        <v>3672</v>
      </c>
      <c r="F56">
        <v>31</v>
      </c>
      <c r="G56" t="s">
        <v>3679</v>
      </c>
      <c r="H56" t="s">
        <v>3684</v>
      </c>
      <c r="I56" t="s">
        <v>3691</v>
      </c>
      <c r="J56" t="s">
        <v>3693</v>
      </c>
      <c r="K56" t="s">
        <v>3696</v>
      </c>
      <c r="L56">
        <v>2</v>
      </c>
      <c r="M56">
        <v>58000</v>
      </c>
      <c r="N56" t="s">
        <v>3704</v>
      </c>
      <c r="O56" t="s">
        <v>3706</v>
      </c>
      <c r="P56" s="2">
        <f t="shared" si="0"/>
        <v>45714</v>
      </c>
      <c r="Q56" t="str">
        <f t="shared" si="1"/>
        <v>Sahil Karan</v>
      </c>
      <c r="R56" t="str">
        <f t="shared" si="2"/>
        <v>Bengaluru</v>
      </c>
      <c r="S56" t="str">
        <f t="shared" si="3"/>
        <v>Karnataka</v>
      </c>
      <c r="T56">
        <f t="shared" si="4"/>
        <v>116000</v>
      </c>
    </row>
    <row r="57" spans="1:20" x14ac:dyDescent="0.35">
      <c r="A57" t="s">
        <v>70</v>
      </c>
      <c r="B57" t="s">
        <v>1269</v>
      </c>
      <c r="C57" t="s">
        <v>1842</v>
      </c>
      <c r="D57" t="s">
        <v>2538</v>
      </c>
      <c r="E57" t="s">
        <v>3672</v>
      </c>
      <c r="F57">
        <v>51</v>
      </c>
      <c r="G57" t="s">
        <v>3678</v>
      </c>
      <c r="H57" t="s">
        <v>3683</v>
      </c>
      <c r="I57" t="s">
        <v>3687</v>
      </c>
      <c r="J57" t="s">
        <v>3693</v>
      </c>
      <c r="K57" t="s">
        <v>3697</v>
      </c>
      <c r="L57">
        <v>3</v>
      </c>
      <c r="M57">
        <v>5000</v>
      </c>
      <c r="N57" t="s">
        <v>3702</v>
      </c>
      <c r="O57" t="s">
        <v>3705</v>
      </c>
      <c r="P57" s="2">
        <f t="shared" si="0"/>
        <v>45752</v>
      </c>
      <c r="Q57" t="str">
        <f t="shared" si="1"/>
        <v>Shayak Kibe</v>
      </c>
      <c r="R57" t="str">
        <f t="shared" si="2"/>
        <v>Hyderabad</v>
      </c>
      <c r="S57" t="str">
        <f t="shared" si="3"/>
        <v>Telangana</v>
      </c>
      <c r="T57">
        <f t="shared" si="4"/>
        <v>15000</v>
      </c>
    </row>
    <row r="58" spans="1:20" x14ac:dyDescent="0.35">
      <c r="A58" t="s">
        <v>71</v>
      </c>
      <c r="B58" t="s">
        <v>1270</v>
      </c>
      <c r="C58" t="s">
        <v>1801</v>
      </c>
      <c r="D58" t="s">
        <v>2539</v>
      </c>
      <c r="E58" t="s">
        <v>3672</v>
      </c>
      <c r="F58">
        <v>53</v>
      </c>
      <c r="G58" t="s">
        <v>3679</v>
      </c>
      <c r="H58" t="s">
        <v>3684</v>
      </c>
      <c r="I58" t="s">
        <v>3688</v>
      </c>
      <c r="J58" t="s">
        <v>3694</v>
      </c>
      <c r="K58" t="s">
        <v>3698</v>
      </c>
      <c r="L58">
        <v>5</v>
      </c>
      <c r="M58">
        <v>4500</v>
      </c>
      <c r="N58" t="s">
        <v>3702</v>
      </c>
      <c r="O58" t="s">
        <v>3707</v>
      </c>
      <c r="P58" s="2">
        <f t="shared" si="0"/>
        <v>45848</v>
      </c>
      <c r="Q58" t="str">
        <f t="shared" si="1"/>
        <v>Badal Dhar</v>
      </c>
      <c r="R58" t="str">
        <f t="shared" si="2"/>
        <v>Bengaluru</v>
      </c>
      <c r="S58" t="str">
        <f t="shared" si="3"/>
        <v>Karnataka</v>
      </c>
      <c r="T58">
        <f t="shared" si="4"/>
        <v>22500</v>
      </c>
    </row>
    <row r="59" spans="1:20" x14ac:dyDescent="0.35">
      <c r="A59" t="s">
        <v>72</v>
      </c>
      <c r="B59" t="s">
        <v>1271</v>
      </c>
      <c r="C59" t="s">
        <v>1843</v>
      </c>
      <c r="D59" t="s">
        <v>2540</v>
      </c>
      <c r="E59" t="s">
        <v>3672</v>
      </c>
      <c r="F59">
        <v>57</v>
      </c>
      <c r="G59" t="s">
        <v>3674</v>
      </c>
      <c r="H59" t="s">
        <v>3680</v>
      </c>
      <c r="I59" t="s">
        <v>3686</v>
      </c>
      <c r="J59" t="s">
        <v>3693</v>
      </c>
      <c r="K59" t="s">
        <v>3696</v>
      </c>
      <c r="L59">
        <v>5</v>
      </c>
      <c r="M59">
        <v>65000</v>
      </c>
      <c r="N59" t="s">
        <v>3702</v>
      </c>
      <c r="O59" t="s">
        <v>3707</v>
      </c>
      <c r="P59" s="2">
        <f t="shared" si="0"/>
        <v>45751</v>
      </c>
      <c r="Q59" t="str">
        <f t="shared" si="1"/>
        <v>Abram Balakrishnan</v>
      </c>
      <c r="R59" t="str">
        <f t="shared" si="2"/>
        <v>Pune</v>
      </c>
      <c r="S59" t="str">
        <f t="shared" si="3"/>
        <v>Maharashtra</v>
      </c>
      <c r="T59">
        <f t="shared" si="4"/>
        <v>325000</v>
      </c>
    </row>
    <row r="60" spans="1:20" x14ac:dyDescent="0.35">
      <c r="A60" t="s">
        <v>73</v>
      </c>
      <c r="B60" t="s">
        <v>1272</v>
      </c>
      <c r="C60" t="s">
        <v>1841</v>
      </c>
      <c r="D60" t="s">
        <v>2541</v>
      </c>
      <c r="E60" t="s">
        <v>3671</v>
      </c>
      <c r="F60">
        <v>20</v>
      </c>
      <c r="G60" t="s">
        <v>3675</v>
      </c>
      <c r="H60" t="s">
        <v>3681</v>
      </c>
      <c r="I60" t="s">
        <v>3689</v>
      </c>
      <c r="J60" t="s">
        <v>3694</v>
      </c>
      <c r="K60" t="s">
        <v>3699</v>
      </c>
      <c r="L60">
        <v>5</v>
      </c>
      <c r="M60">
        <v>1800</v>
      </c>
      <c r="N60" t="s">
        <v>3702</v>
      </c>
      <c r="O60" t="s">
        <v>3705</v>
      </c>
      <c r="P60" s="2">
        <f t="shared" si="0"/>
        <v>45827</v>
      </c>
      <c r="Q60" t="str">
        <f t="shared" si="1"/>
        <v>Miraya Bir</v>
      </c>
      <c r="R60" t="str">
        <f t="shared" si="2"/>
        <v>Kolkata</v>
      </c>
      <c r="S60" t="str">
        <f t="shared" si="3"/>
        <v>West Bengal</v>
      </c>
      <c r="T60">
        <f t="shared" si="4"/>
        <v>9000</v>
      </c>
    </row>
    <row r="61" spans="1:20" x14ac:dyDescent="0.35">
      <c r="A61" t="s">
        <v>74</v>
      </c>
      <c r="B61" t="s">
        <v>1273</v>
      </c>
      <c r="C61" t="s">
        <v>1844</v>
      </c>
      <c r="D61" t="s">
        <v>2542</v>
      </c>
      <c r="E61" t="s">
        <v>3671</v>
      </c>
      <c r="F61">
        <v>55</v>
      </c>
      <c r="G61" t="s">
        <v>3677</v>
      </c>
      <c r="H61" t="s">
        <v>3680</v>
      </c>
      <c r="I61" t="s">
        <v>3685</v>
      </c>
      <c r="J61" t="s">
        <v>3692</v>
      </c>
      <c r="K61" t="s">
        <v>3695</v>
      </c>
      <c r="L61">
        <v>3</v>
      </c>
      <c r="M61">
        <v>12000</v>
      </c>
      <c r="N61" t="s">
        <v>3703</v>
      </c>
      <c r="O61" t="s">
        <v>3705</v>
      </c>
      <c r="P61" s="2">
        <f t="shared" si="0"/>
        <v>45859</v>
      </c>
      <c r="Q61" t="str">
        <f t="shared" si="1"/>
        <v>Lakshay Bhasin</v>
      </c>
      <c r="R61" t="str">
        <f t="shared" si="2"/>
        <v>Mumbai</v>
      </c>
      <c r="S61" t="str">
        <f t="shared" si="3"/>
        <v>Maharashtra</v>
      </c>
      <c r="T61">
        <f t="shared" si="4"/>
        <v>36000</v>
      </c>
    </row>
    <row r="62" spans="1:20" x14ac:dyDescent="0.35">
      <c r="A62" t="s">
        <v>75</v>
      </c>
      <c r="B62" t="s">
        <v>1274</v>
      </c>
      <c r="C62" t="s">
        <v>1845</v>
      </c>
      <c r="D62" t="s">
        <v>2543</v>
      </c>
      <c r="E62" t="s">
        <v>3672</v>
      </c>
      <c r="F62">
        <v>54</v>
      </c>
      <c r="G62" t="s">
        <v>3678</v>
      </c>
      <c r="H62" t="s">
        <v>3683</v>
      </c>
      <c r="I62" t="s">
        <v>3685</v>
      </c>
      <c r="J62" t="s">
        <v>3692</v>
      </c>
      <c r="K62" t="s">
        <v>3695</v>
      </c>
      <c r="L62">
        <v>1</v>
      </c>
      <c r="M62">
        <v>12000</v>
      </c>
      <c r="N62" t="s">
        <v>3702</v>
      </c>
      <c r="O62" t="s">
        <v>3706</v>
      </c>
      <c r="P62" s="2">
        <f t="shared" si="0"/>
        <v>45666</v>
      </c>
      <c r="Q62" t="str">
        <f t="shared" si="1"/>
        <v>Yasmin Buch</v>
      </c>
      <c r="R62" t="str">
        <f t="shared" si="2"/>
        <v>Hyderabad</v>
      </c>
      <c r="S62" t="str">
        <f t="shared" si="3"/>
        <v>Telangana</v>
      </c>
      <c r="T62">
        <f t="shared" si="4"/>
        <v>12000</v>
      </c>
    </row>
    <row r="63" spans="1:20" x14ac:dyDescent="0.35">
      <c r="A63" t="s">
        <v>76</v>
      </c>
      <c r="B63" t="s">
        <v>1275</v>
      </c>
      <c r="C63" t="s">
        <v>1846</v>
      </c>
      <c r="D63" t="s">
        <v>2544</v>
      </c>
      <c r="E63" t="s">
        <v>3672</v>
      </c>
      <c r="F63">
        <v>50</v>
      </c>
      <c r="G63" t="s">
        <v>3679</v>
      </c>
      <c r="H63" t="s">
        <v>3684</v>
      </c>
      <c r="I63" t="s">
        <v>3689</v>
      </c>
      <c r="J63" t="s">
        <v>3694</v>
      </c>
      <c r="K63" t="s">
        <v>3699</v>
      </c>
      <c r="L63">
        <v>3</v>
      </c>
      <c r="M63">
        <v>1800</v>
      </c>
      <c r="N63" t="s">
        <v>3702</v>
      </c>
      <c r="O63" t="s">
        <v>3705</v>
      </c>
      <c r="P63" s="2">
        <f t="shared" si="0"/>
        <v>45866</v>
      </c>
      <c r="Q63" t="str">
        <f t="shared" si="1"/>
        <v>Priyansh Choudhury</v>
      </c>
      <c r="R63" t="str">
        <f t="shared" si="2"/>
        <v>Bengaluru</v>
      </c>
      <c r="S63" t="str">
        <f t="shared" si="3"/>
        <v>Karnataka</v>
      </c>
      <c r="T63">
        <f t="shared" si="4"/>
        <v>5400</v>
      </c>
    </row>
    <row r="64" spans="1:20" x14ac:dyDescent="0.35">
      <c r="A64" t="s">
        <v>77</v>
      </c>
      <c r="B64" t="s">
        <v>1276</v>
      </c>
      <c r="C64" t="s">
        <v>1847</v>
      </c>
      <c r="D64" t="s">
        <v>2545</v>
      </c>
      <c r="E64" t="s">
        <v>3671</v>
      </c>
      <c r="F64">
        <v>53</v>
      </c>
      <c r="G64" t="s">
        <v>3679</v>
      </c>
      <c r="H64" t="s">
        <v>3684</v>
      </c>
      <c r="I64" t="s">
        <v>3686</v>
      </c>
      <c r="J64" t="s">
        <v>3693</v>
      </c>
      <c r="K64" t="s">
        <v>3696</v>
      </c>
      <c r="L64">
        <v>5</v>
      </c>
      <c r="M64">
        <v>65000</v>
      </c>
      <c r="N64" t="s">
        <v>3702</v>
      </c>
      <c r="O64" t="s">
        <v>3706</v>
      </c>
      <c r="P64" s="2">
        <f t="shared" si="0"/>
        <v>45992</v>
      </c>
      <c r="Q64" t="str">
        <f t="shared" si="1"/>
        <v>Jayan Sabharwal</v>
      </c>
      <c r="R64" t="str">
        <f t="shared" si="2"/>
        <v>Bengaluru</v>
      </c>
      <c r="S64" t="str">
        <f t="shared" si="3"/>
        <v>Karnataka</v>
      </c>
      <c r="T64">
        <f t="shared" si="4"/>
        <v>325000</v>
      </c>
    </row>
    <row r="65" spans="1:20" x14ac:dyDescent="0.35">
      <c r="A65" t="s">
        <v>78</v>
      </c>
      <c r="B65" t="s">
        <v>1277</v>
      </c>
      <c r="C65" t="s">
        <v>1832</v>
      </c>
      <c r="D65" t="s">
        <v>2546</v>
      </c>
      <c r="E65" t="s">
        <v>3672</v>
      </c>
      <c r="F65">
        <v>40</v>
      </c>
      <c r="G65" t="s">
        <v>3678</v>
      </c>
      <c r="H65" t="s">
        <v>3683</v>
      </c>
      <c r="I65" t="s">
        <v>3691</v>
      </c>
      <c r="J65" t="s">
        <v>3693</v>
      </c>
      <c r="K65" t="s">
        <v>3696</v>
      </c>
      <c r="L65">
        <v>5</v>
      </c>
      <c r="M65">
        <v>58000</v>
      </c>
      <c r="N65" t="s">
        <v>3704</v>
      </c>
      <c r="O65" t="s">
        <v>3706</v>
      </c>
      <c r="P65" s="2">
        <f t="shared" si="0"/>
        <v>45863</v>
      </c>
      <c r="Q65" t="str">
        <f t="shared" si="1"/>
        <v>Aarav Jani</v>
      </c>
      <c r="R65" t="str">
        <f t="shared" si="2"/>
        <v>Hyderabad</v>
      </c>
      <c r="S65" t="str">
        <f t="shared" si="3"/>
        <v>Telangana</v>
      </c>
      <c r="T65">
        <f t="shared" si="4"/>
        <v>290000</v>
      </c>
    </row>
    <row r="66" spans="1:20" x14ac:dyDescent="0.35">
      <c r="A66" t="s">
        <v>79</v>
      </c>
      <c r="B66" t="s">
        <v>1278</v>
      </c>
      <c r="C66" t="s">
        <v>1848</v>
      </c>
      <c r="D66" t="s">
        <v>2547</v>
      </c>
      <c r="E66" t="s">
        <v>3671</v>
      </c>
      <c r="F66">
        <v>29</v>
      </c>
      <c r="G66" t="s">
        <v>3674</v>
      </c>
      <c r="H66" t="s">
        <v>3680</v>
      </c>
      <c r="I66" t="s">
        <v>3685</v>
      </c>
      <c r="J66" t="s">
        <v>3692</v>
      </c>
      <c r="K66" t="s">
        <v>3695</v>
      </c>
      <c r="L66">
        <v>4</v>
      </c>
      <c r="M66">
        <v>12000</v>
      </c>
      <c r="N66" t="s">
        <v>3701</v>
      </c>
      <c r="O66" t="s">
        <v>3706</v>
      </c>
      <c r="P66" s="2">
        <f t="shared" si="0"/>
        <v>45924</v>
      </c>
      <c r="Q66" t="str">
        <f t="shared" si="1"/>
        <v>Charvi Toor</v>
      </c>
      <c r="R66" t="str">
        <f t="shared" si="2"/>
        <v>Pune</v>
      </c>
      <c r="S66" t="str">
        <f t="shared" si="3"/>
        <v>Maharashtra</v>
      </c>
      <c r="T66">
        <f t="shared" si="4"/>
        <v>48000</v>
      </c>
    </row>
    <row r="67" spans="1:20" x14ac:dyDescent="0.35">
      <c r="A67" t="s">
        <v>80</v>
      </c>
      <c r="B67" t="s">
        <v>1279</v>
      </c>
      <c r="C67" t="s">
        <v>1849</v>
      </c>
      <c r="D67" t="s">
        <v>2548</v>
      </c>
      <c r="E67" t="s">
        <v>3672</v>
      </c>
      <c r="F67">
        <v>28</v>
      </c>
      <c r="G67" t="s">
        <v>3674</v>
      </c>
      <c r="H67" t="s">
        <v>3680</v>
      </c>
      <c r="I67" t="s">
        <v>3690</v>
      </c>
      <c r="J67" t="s">
        <v>3693</v>
      </c>
      <c r="K67" t="s">
        <v>3700</v>
      </c>
      <c r="L67">
        <v>3</v>
      </c>
      <c r="M67">
        <v>72000</v>
      </c>
      <c r="N67" t="s">
        <v>3702</v>
      </c>
      <c r="O67" t="s">
        <v>3707</v>
      </c>
      <c r="P67" s="2">
        <f t="shared" ref="P67:P130" si="5">DATEVALUE(SUBSTITUTE(B67,"/","-"))</f>
        <v>45717</v>
      </c>
      <c r="Q67" t="str">
        <f t="shared" ref="Q67:Q130" si="6">TRIM(CLEAN(D67))</f>
        <v>Hiran Borah</v>
      </c>
      <c r="R67" t="str">
        <f t="shared" ref="R67:R130" si="7">IF(G67="","Unknown",G67)</f>
        <v>Pune</v>
      </c>
      <c r="S67" t="str">
        <f t="shared" ref="S67:S130" si="8">IF(H67="","Unknown",H67)</f>
        <v>Maharashtra</v>
      </c>
      <c r="T67">
        <f t="shared" ref="T67:T130" si="9">L67*M67</f>
        <v>216000</v>
      </c>
    </row>
    <row r="68" spans="1:20" x14ac:dyDescent="0.35">
      <c r="A68" t="s">
        <v>81</v>
      </c>
      <c r="B68" t="s">
        <v>1280</v>
      </c>
      <c r="C68" t="s">
        <v>1850</v>
      </c>
      <c r="D68" t="s">
        <v>2549</v>
      </c>
      <c r="E68" t="s">
        <v>3672</v>
      </c>
      <c r="F68">
        <v>60</v>
      </c>
      <c r="G68" t="s">
        <v>3678</v>
      </c>
      <c r="H68" t="s">
        <v>3683</v>
      </c>
      <c r="I68" t="s">
        <v>3688</v>
      </c>
      <c r="J68" t="s">
        <v>3694</v>
      </c>
      <c r="K68" t="s">
        <v>3698</v>
      </c>
      <c r="L68">
        <v>4</v>
      </c>
      <c r="M68">
        <v>4500</v>
      </c>
      <c r="N68" t="s">
        <v>3704</v>
      </c>
      <c r="O68" t="s">
        <v>3705</v>
      </c>
      <c r="P68" s="2">
        <f t="shared" si="5"/>
        <v>45780</v>
      </c>
      <c r="Q68" t="str">
        <f t="shared" si="6"/>
        <v>Ryan Gokhale</v>
      </c>
      <c r="R68" t="str">
        <f t="shared" si="7"/>
        <v>Hyderabad</v>
      </c>
      <c r="S68" t="str">
        <f t="shared" si="8"/>
        <v>Telangana</v>
      </c>
      <c r="T68">
        <f t="shared" si="9"/>
        <v>18000</v>
      </c>
    </row>
    <row r="69" spans="1:20" x14ac:dyDescent="0.35">
      <c r="A69" t="s">
        <v>82</v>
      </c>
      <c r="B69" t="s">
        <v>1281</v>
      </c>
      <c r="C69" t="s">
        <v>1851</v>
      </c>
      <c r="D69" t="s">
        <v>2550</v>
      </c>
      <c r="E69" t="s">
        <v>3671</v>
      </c>
      <c r="F69">
        <v>51</v>
      </c>
      <c r="G69" t="s">
        <v>3679</v>
      </c>
      <c r="H69" t="s">
        <v>3684</v>
      </c>
      <c r="I69" t="s">
        <v>3688</v>
      </c>
      <c r="J69" t="s">
        <v>3694</v>
      </c>
      <c r="K69" t="s">
        <v>3698</v>
      </c>
      <c r="L69">
        <v>1</v>
      </c>
      <c r="M69">
        <v>4500</v>
      </c>
      <c r="N69" t="s">
        <v>3701</v>
      </c>
      <c r="O69" t="s">
        <v>3705</v>
      </c>
      <c r="P69" s="2">
        <f t="shared" si="5"/>
        <v>45825</v>
      </c>
      <c r="Q69" t="str">
        <f t="shared" si="6"/>
        <v>Zain Korpal</v>
      </c>
      <c r="R69" t="str">
        <f t="shared" si="7"/>
        <v>Bengaluru</v>
      </c>
      <c r="S69" t="str">
        <f t="shared" si="8"/>
        <v>Karnataka</v>
      </c>
      <c r="T69">
        <f t="shared" si="9"/>
        <v>4500</v>
      </c>
    </row>
    <row r="70" spans="1:20" x14ac:dyDescent="0.35">
      <c r="A70" t="s">
        <v>83</v>
      </c>
      <c r="B70" t="s">
        <v>1282</v>
      </c>
      <c r="C70" t="s">
        <v>1831</v>
      </c>
      <c r="D70" t="s">
        <v>2551</v>
      </c>
      <c r="E70" t="s">
        <v>3672</v>
      </c>
      <c r="F70">
        <v>26</v>
      </c>
      <c r="G70" t="s">
        <v>3673</v>
      </c>
      <c r="H70" t="s">
        <v>3673</v>
      </c>
      <c r="I70" t="s">
        <v>3689</v>
      </c>
      <c r="J70" t="s">
        <v>3694</v>
      </c>
      <c r="K70" t="s">
        <v>3699</v>
      </c>
      <c r="L70">
        <v>3</v>
      </c>
      <c r="M70">
        <v>1800</v>
      </c>
      <c r="N70" t="s">
        <v>3702</v>
      </c>
      <c r="O70" t="s">
        <v>3705</v>
      </c>
      <c r="P70" s="2">
        <f t="shared" si="5"/>
        <v>46019</v>
      </c>
      <c r="Q70" t="str">
        <f t="shared" si="6"/>
        <v>Inaaya Konda</v>
      </c>
      <c r="R70" t="str">
        <f t="shared" si="7"/>
        <v>Delhi</v>
      </c>
      <c r="S70" t="str">
        <f t="shared" si="8"/>
        <v>Delhi</v>
      </c>
      <c r="T70">
        <f t="shared" si="9"/>
        <v>5400</v>
      </c>
    </row>
    <row r="71" spans="1:20" x14ac:dyDescent="0.35">
      <c r="A71" t="s">
        <v>84</v>
      </c>
      <c r="B71" t="s">
        <v>1283</v>
      </c>
      <c r="C71" t="s">
        <v>1834</v>
      </c>
      <c r="D71" t="s">
        <v>2552</v>
      </c>
      <c r="E71" t="s">
        <v>3672</v>
      </c>
      <c r="F71">
        <v>24</v>
      </c>
      <c r="G71" t="s">
        <v>3678</v>
      </c>
      <c r="H71" t="s">
        <v>3683</v>
      </c>
      <c r="I71" t="s">
        <v>3685</v>
      </c>
      <c r="J71" t="s">
        <v>3692</v>
      </c>
      <c r="K71" t="s">
        <v>3695</v>
      </c>
      <c r="L71">
        <v>3</v>
      </c>
      <c r="M71">
        <v>12000</v>
      </c>
      <c r="N71" t="s">
        <v>3701</v>
      </c>
      <c r="O71" t="s">
        <v>3706</v>
      </c>
      <c r="P71" s="2">
        <f t="shared" si="5"/>
        <v>45683</v>
      </c>
      <c r="Q71" t="str">
        <f t="shared" si="6"/>
        <v>Ivana Mani</v>
      </c>
      <c r="R71" t="str">
        <f t="shared" si="7"/>
        <v>Hyderabad</v>
      </c>
      <c r="S71" t="str">
        <f t="shared" si="8"/>
        <v>Telangana</v>
      </c>
      <c r="T71">
        <f t="shared" si="9"/>
        <v>36000</v>
      </c>
    </row>
    <row r="72" spans="1:20" x14ac:dyDescent="0.35">
      <c r="A72" t="s">
        <v>85</v>
      </c>
      <c r="B72" t="s">
        <v>1284</v>
      </c>
      <c r="C72" t="s">
        <v>1852</v>
      </c>
      <c r="D72" t="s">
        <v>2553</v>
      </c>
      <c r="E72" t="s">
        <v>3671</v>
      </c>
      <c r="F72">
        <v>20</v>
      </c>
      <c r="G72" t="s">
        <v>3679</v>
      </c>
      <c r="H72" t="s">
        <v>3684</v>
      </c>
      <c r="I72" t="s">
        <v>3688</v>
      </c>
      <c r="J72" t="s">
        <v>3694</v>
      </c>
      <c r="K72" t="s">
        <v>3698</v>
      </c>
      <c r="L72">
        <v>4</v>
      </c>
      <c r="M72">
        <v>4500</v>
      </c>
      <c r="N72" t="s">
        <v>3703</v>
      </c>
      <c r="O72" t="s">
        <v>3707</v>
      </c>
      <c r="P72" s="2">
        <f t="shared" si="5"/>
        <v>46003</v>
      </c>
      <c r="Q72" t="str">
        <f t="shared" si="6"/>
        <v>Vanya Aurora</v>
      </c>
      <c r="R72" t="str">
        <f t="shared" si="7"/>
        <v>Bengaluru</v>
      </c>
      <c r="S72" t="str">
        <f t="shared" si="8"/>
        <v>Karnataka</v>
      </c>
      <c r="T72">
        <f t="shared" si="9"/>
        <v>18000</v>
      </c>
    </row>
    <row r="73" spans="1:20" x14ac:dyDescent="0.35">
      <c r="A73" t="s">
        <v>86</v>
      </c>
      <c r="B73" t="s">
        <v>1255</v>
      </c>
      <c r="C73" t="s">
        <v>1853</v>
      </c>
      <c r="D73" t="s">
        <v>2554</v>
      </c>
      <c r="E73" t="s">
        <v>3671</v>
      </c>
      <c r="F73">
        <v>27</v>
      </c>
      <c r="G73" t="s">
        <v>3673</v>
      </c>
      <c r="H73" t="s">
        <v>3673</v>
      </c>
      <c r="I73" t="s">
        <v>3685</v>
      </c>
      <c r="J73" t="s">
        <v>3692</v>
      </c>
      <c r="K73" t="s">
        <v>3695</v>
      </c>
      <c r="L73">
        <v>2</v>
      </c>
      <c r="M73">
        <v>12000</v>
      </c>
      <c r="N73" t="s">
        <v>3704</v>
      </c>
      <c r="O73" t="s">
        <v>3705</v>
      </c>
      <c r="P73" s="2">
        <f t="shared" si="5"/>
        <v>45687</v>
      </c>
      <c r="Q73" t="str">
        <f t="shared" si="6"/>
        <v>Anya Karnik</v>
      </c>
      <c r="R73" t="str">
        <f t="shared" si="7"/>
        <v>Delhi</v>
      </c>
      <c r="S73" t="str">
        <f t="shared" si="8"/>
        <v>Delhi</v>
      </c>
      <c r="T73">
        <f t="shared" si="9"/>
        <v>24000</v>
      </c>
    </row>
    <row r="74" spans="1:20" x14ac:dyDescent="0.35">
      <c r="A74" t="s">
        <v>87</v>
      </c>
      <c r="B74" t="s">
        <v>1285</v>
      </c>
      <c r="C74" t="s">
        <v>1854</v>
      </c>
      <c r="D74" t="s">
        <v>2555</v>
      </c>
      <c r="E74" t="s">
        <v>3672</v>
      </c>
      <c r="F74">
        <v>23</v>
      </c>
      <c r="G74" t="s">
        <v>3675</v>
      </c>
      <c r="H74" t="s">
        <v>3681</v>
      </c>
      <c r="I74" t="s">
        <v>3686</v>
      </c>
      <c r="J74" t="s">
        <v>3693</v>
      </c>
      <c r="K74" t="s">
        <v>3696</v>
      </c>
      <c r="L74">
        <v>5</v>
      </c>
      <c r="M74">
        <v>65000</v>
      </c>
      <c r="N74" t="s">
        <v>3704</v>
      </c>
      <c r="O74" t="s">
        <v>3705</v>
      </c>
      <c r="P74" s="2">
        <f t="shared" si="5"/>
        <v>45971</v>
      </c>
      <c r="Q74" t="str">
        <f t="shared" si="6"/>
        <v>Hiran Dara</v>
      </c>
      <c r="R74" t="str">
        <f t="shared" si="7"/>
        <v>Kolkata</v>
      </c>
      <c r="S74" t="str">
        <f t="shared" si="8"/>
        <v>West Bengal</v>
      </c>
      <c r="T74">
        <f t="shared" si="9"/>
        <v>325000</v>
      </c>
    </row>
    <row r="75" spans="1:20" x14ac:dyDescent="0.35">
      <c r="A75" t="s">
        <v>88</v>
      </c>
      <c r="B75" t="s">
        <v>1286</v>
      </c>
      <c r="C75" t="s">
        <v>1855</v>
      </c>
      <c r="D75" t="s">
        <v>2556</v>
      </c>
      <c r="E75" t="s">
        <v>3672</v>
      </c>
      <c r="F75">
        <v>51</v>
      </c>
      <c r="G75" t="s">
        <v>3675</v>
      </c>
      <c r="H75" t="s">
        <v>3681</v>
      </c>
      <c r="I75" t="s">
        <v>3685</v>
      </c>
      <c r="J75" t="s">
        <v>3692</v>
      </c>
      <c r="K75" t="s">
        <v>3695</v>
      </c>
      <c r="L75">
        <v>1</v>
      </c>
      <c r="M75">
        <v>12000</v>
      </c>
      <c r="N75" t="s">
        <v>3701</v>
      </c>
      <c r="O75" t="s">
        <v>3705</v>
      </c>
      <c r="P75" s="2">
        <f t="shared" si="5"/>
        <v>45938</v>
      </c>
      <c r="Q75" t="str">
        <f t="shared" si="6"/>
        <v>Ehsaan Tak</v>
      </c>
      <c r="R75" t="str">
        <f t="shared" si="7"/>
        <v>Kolkata</v>
      </c>
      <c r="S75" t="str">
        <f t="shared" si="8"/>
        <v>West Bengal</v>
      </c>
      <c r="T75">
        <f t="shared" si="9"/>
        <v>12000</v>
      </c>
    </row>
    <row r="76" spans="1:20" x14ac:dyDescent="0.35">
      <c r="A76" t="s">
        <v>89</v>
      </c>
      <c r="B76" t="s">
        <v>1287</v>
      </c>
      <c r="C76" t="s">
        <v>1856</v>
      </c>
      <c r="D76" t="s">
        <v>2557</v>
      </c>
      <c r="E76" t="s">
        <v>3672</v>
      </c>
      <c r="F76">
        <v>34</v>
      </c>
      <c r="G76" t="s">
        <v>3676</v>
      </c>
      <c r="H76" t="s">
        <v>3682</v>
      </c>
      <c r="I76" t="s">
        <v>3691</v>
      </c>
      <c r="J76" t="s">
        <v>3693</v>
      </c>
      <c r="K76" t="s">
        <v>3696</v>
      </c>
      <c r="L76">
        <v>2</v>
      </c>
      <c r="M76">
        <v>58000</v>
      </c>
      <c r="N76" t="s">
        <v>3702</v>
      </c>
      <c r="O76" t="s">
        <v>3706</v>
      </c>
      <c r="P76" s="2">
        <f t="shared" si="5"/>
        <v>45967</v>
      </c>
      <c r="Q76" t="str">
        <f t="shared" si="6"/>
        <v>Shaan Golla</v>
      </c>
      <c r="R76" t="str">
        <f t="shared" si="7"/>
        <v>Chennai</v>
      </c>
      <c r="S76" t="str">
        <f t="shared" si="8"/>
        <v>Tamil Nadu</v>
      </c>
      <c r="T76">
        <f t="shared" si="9"/>
        <v>116000</v>
      </c>
    </row>
    <row r="77" spans="1:20" x14ac:dyDescent="0.35">
      <c r="A77" t="s">
        <v>90</v>
      </c>
      <c r="B77" t="s">
        <v>1288</v>
      </c>
      <c r="C77" t="s">
        <v>1857</v>
      </c>
      <c r="D77" t="s">
        <v>2558</v>
      </c>
      <c r="E77" t="s">
        <v>3671</v>
      </c>
      <c r="F77">
        <v>29</v>
      </c>
      <c r="G77" t="s">
        <v>3674</v>
      </c>
      <c r="H77" t="s">
        <v>3680</v>
      </c>
      <c r="I77" t="s">
        <v>3691</v>
      </c>
      <c r="J77" t="s">
        <v>3693</v>
      </c>
      <c r="K77" t="s">
        <v>3696</v>
      </c>
      <c r="L77">
        <v>4</v>
      </c>
      <c r="M77">
        <v>58000</v>
      </c>
      <c r="N77" t="s">
        <v>3703</v>
      </c>
      <c r="O77" t="s">
        <v>3706</v>
      </c>
      <c r="P77" s="2">
        <f t="shared" si="5"/>
        <v>45699</v>
      </c>
      <c r="Q77" t="str">
        <f t="shared" si="6"/>
        <v>Sumer Sule</v>
      </c>
      <c r="R77" t="str">
        <f t="shared" si="7"/>
        <v>Pune</v>
      </c>
      <c r="S77" t="str">
        <f t="shared" si="8"/>
        <v>Maharashtra</v>
      </c>
      <c r="T77">
        <f t="shared" si="9"/>
        <v>232000</v>
      </c>
    </row>
    <row r="78" spans="1:20" x14ac:dyDescent="0.35">
      <c r="A78" t="s">
        <v>91</v>
      </c>
      <c r="B78" t="s">
        <v>1289</v>
      </c>
      <c r="C78" t="s">
        <v>1858</v>
      </c>
      <c r="D78" t="s">
        <v>2559</v>
      </c>
      <c r="E78" t="s">
        <v>3671</v>
      </c>
      <c r="F78">
        <v>55</v>
      </c>
      <c r="G78" t="s">
        <v>3677</v>
      </c>
      <c r="H78" t="s">
        <v>3680</v>
      </c>
      <c r="I78" t="s">
        <v>3690</v>
      </c>
      <c r="J78" t="s">
        <v>3693</v>
      </c>
      <c r="K78" t="s">
        <v>3700</v>
      </c>
      <c r="L78">
        <v>3</v>
      </c>
      <c r="M78">
        <v>72000</v>
      </c>
      <c r="N78" t="s">
        <v>3702</v>
      </c>
      <c r="O78" t="s">
        <v>3705</v>
      </c>
      <c r="P78" s="2">
        <f t="shared" si="5"/>
        <v>45776</v>
      </c>
      <c r="Q78" t="str">
        <f t="shared" si="6"/>
        <v>Siya Sagar</v>
      </c>
      <c r="R78" t="str">
        <f t="shared" si="7"/>
        <v>Mumbai</v>
      </c>
      <c r="S78" t="str">
        <f t="shared" si="8"/>
        <v>Maharashtra</v>
      </c>
      <c r="T78">
        <f t="shared" si="9"/>
        <v>216000</v>
      </c>
    </row>
    <row r="79" spans="1:20" x14ac:dyDescent="0.35">
      <c r="A79" t="s">
        <v>92</v>
      </c>
      <c r="B79" t="s">
        <v>1290</v>
      </c>
      <c r="C79" t="s">
        <v>1859</v>
      </c>
      <c r="D79" t="s">
        <v>2560</v>
      </c>
      <c r="E79" t="s">
        <v>3672</v>
      </c>
      <c r="F79">
        <v>49</v>
      </c>
      <c r="G79" t="s">
        <v>3677</v>
      </c>
      <c r="H79" t="s">
        <v>3680</v>
      </c>
      <c r="I79" t="s">
        <v>3685</v>
      </c>
      <c r="J79" t="s">
        <v>3692</v>
      </c>
      <c r="K79" t="s">
        <v>3695</v>
      </c>
      <c r="L79">
        <v>3</v>
      </c>
      <c r="M79">
        <v>12000</v>
      </c>
      <c r="N79" t="s">
        <v>3701</v>
      </c>
      <c r="O79" t="s">
        <v>3705</v>
      </c>
      <c r="P79" s="2">
        <f t="shared" si="5"/>
        <v>45895</v>
      </c>
      <c r="Q79" t="str">
        <f t="shared" si="6"/>
        <v>Nitara Sagar</v>
      </c>
      <c r="R79" t="str">
        <f t="shared" si="7"/>
        <v>Mumbai</v>
      </c>
      <c r="S79" t="str">
        <f t="shared" si="8"/>
        <v>Maharashtra</v>
      </c>
      <c r="T79">
        <f t="shared" si="9"/>
        <v>36000</v>
      </c>
    </row>
    <row r="80" spans="1:20" x14ac:dyDescent="0.35">
      <c r="A80" t="s">
        <v>93</v>
      </c>
      <c r="B80" t="s">
        <v>1291</v>
      </c>
      <c r="C80" t="s">
        <v>1860</v>
      </c>
      <c r="D80" t="s">
        <v>2561</v>
      </c>
      <c r="E80" t="s">
        <v>3672</v>
      </c>
      <c r="F80">
        <v>29</v>
      </c>
      <c r="G80" t="s">
        <v>3679</v>
      </c>
      <c r="H80" t="s">
        <v>3684</v>
      </c>
      <c r="I80" t="s">
        <v>3685</v>
      </c>
      <c r="J80" t="s">
        <v>3692</v>
      </c>
      <c r="K80" t="s">
        <v>3695</v>
      </c>
      <c r="L80">
        <v>2</v>
      </c>
      <c r="M80">
        <v>12000</v>
      </c>
      <c r="N80" t="s">
        <v>3702</v>
      </c>
      <c r="O80" t="s">
        <v>3707</v>
      </c>
      <c r="P80" s="2">
        <f t="shared" si="5"/>
        <v>45956</v>
      </c>
      <c r="Q80" t="str">
        <f t="shared" si="6"/>
        <v>Dharmajan Choudhry</v>
      </c>
      <c r="R80" t="str">
        <f t="shared" si="7"/>
        <v>Bengaluru</v>
      </c>
      <c r="S80" t="str">
        <f t="shared" si="8"/>
        <v>Karnataka</v>
      </c>
      <c r="T80">
        <f t="shared" si="9"/>
        <v>24000</v>
      </c>
    </row>
    <row r="81" spans="1:20" x14ac:dyDescent="0.35">
      <c r="A81" t="s">
        <v>94</v>
      </c>
      <c r="B81" t="s">
        <v>1292</v>
      </c>
      <c r="C81" t="s">
        <v>1861</v>
      </c>
      <c r="D81" t="s">
        <v>2562</v>
      </c>
      <c r="E81" t="s">
        <v>3672</v>
      </c>
      <c r="F81">
        <v>24</v>
      </c>
      <c r="G81" t="s">
        <v>3673</v>
      </c>
      <c r="H81" t="s">
        <v>3673</v>
      </c>
      <c r="I81" t="s">
        <v>3685</v>
      </c>
      <c r="J81" t="s">
        <v>3692</v>
      </c>
      <c r="K81" t="s">
        <v>3695</v>
      </c>
      <c r="L81">
        <v>5</v>
      </c>
      <c r="M81">
        <v>12000</v>
      </c>
      <c r="N81" t="s">
        <v>3704</v>
      </c>
      <c r="O81" t="s">
        <v>3707</v>
      </c>
      <c r="P81" s="2">
        <f t="shared" si="5"/>
        <v>45750</v>
      </c>
      <c r="Q81" t="str">
        <f t="shared" si="6"/>
        <v>Ryan Dey</v>
      </c>
      <c r="R81" t="str">
        <f t="shared" si="7"/>
        <v>Delhi</v>
      </c>
      <c r="S81" t="str">
        <f t="shared" si="8"/>
        <v>Delhi</v>
      </c>
      <c r="T81">
        <f t="shared" si="9"/>
        <v>60000</v>
      </c>
    </row>
    <row r="82" spans="1:20" x14ac:dyDescent="0.35">
      <c r="A82" t="s">
        <v>95</v>
      </c>
      <c r="B82" t="s">
        <v>1293</v>
      </c>
      <c r="C82" t="s">
        <v>1862</v>
      </c>
      <c r="D82" t="s">
        <v>2563</v>
      </c>
      <c r="E82" t="s">
        <v>3672</v>
      </c>
      <c r="F82">
        <v>31</v>
      </c>
      <c r="G82" t="s">
        <v>3674</v>
      </c>
      <c r="H82" t="s">
        <v>3680</v>
      </c>
      <c r="I82" t="s">
        <v>3686</v>
      </c>
      <c r="J82" t="s">
        <v>3693</v>
      </c>
      <c r="K82" t="s">
        <v>3696</v>
      </c>
      <c r="L82">
        <v>5</v>
      </c>
      <c r="M82">
        <v>65000</v>
      </c>
      <c r="N82" t="s">
        <v>3702</v>
      </c>
      <c r="O82" t="s">
        <v>3705</v>
      </c>
      <c r="P82" s="2">
        <f t="shared" si="5"/>
        <v>45992</v>
      </c>
      <c r="Q82" t="str">
        <f t="shared" si="6"/>
        <v>Jayan Yohannan</v>
      </c>
      <c r="R82" t="str">
        <f t="shared" si="7"/>
        <v>Pune</v>
      </c>
      <c r="S82" t="str">
        <f t="shared" si="8"/>
        <v>Maharashtra</v>
      </c>
      <c r="T82">
        <f t="shared" si="9"/>
        <v>325000</v>
      </c>
    </row>
    <row r="83" spans="1:20" x14ac:dyDescent="0.35">
      <c r="A83" t="s">
        <v>96</v>
      </c>
      <c r="B83" t="s">
        <v>1294</v>
      </c>
      <c r="C83" t="s">
        <v>1863</v>
      </c>
      <c r="D83" t="s">
        <v>2564</v>
      </c>
      <c r="E83" t="s">
        <v>3671</v>
      </c>
      <c r="F83">
        <v>22</v>
      </c>
      <c r="G83" t="s">
        <v>3679</v>
      </c>
      <c r="H83" t="s">
        <v>3684</v>
      </c>
      <c r="I83" t="s">
        <v>3688</v>
      </c>
      <c r="J83" t="s">
        <v>3694</v>
      </c>
      <c r="K83" t="s">
        <v>3698</v>
      </c>
      <c r="L83">
        <v>5</v>
      </c>
      <c r="M83">
        <v>4500</v>
      </c>
      <c r="N83" t="s">
        <v>3701</v>
      </c>
      <c r="O83" t="s">
        <v>3707</v>
      </c>
      <c r="P83" s="2">
        <f t="shared" si="5"/>
        <v>46011</v>
      </c>
      <c r="Q83" t="str">
        <f t="shared" si="6"/>
        <v>Aarna Dash</v>
      </c>
      <c r="R83" t="str">
        <f t="shared" si="7"/>
        <v>Bengaluru</v>
      </c>
      <c r="S83" t="str">
        <f t="shared" si="8"/>
        <v>Karnataka</v>
      </c>
      <c r="T83">
        <f t="shared" si="9"/>
        <v>22500</v>
      </c>
    </row>
    <row r="84" spans="1:20" x14ac:dyDescent="0.35">
      <c r="A84" t="s">
        <v>97</v>
      </c>
      <c r="B84" t="s">
        <v>1295</v>
      </c>
      <c r="C84" t="s">
        <v>1864</v>
      </c>
      <c r="D84" t="s">
        <v>2565</v>
      </c>
      <c r="E84" t="s">
        <v>3671</v>
      </c>
      <c r="F84">
        <v>52</v>
      </c>
      <c r="G84" t="s">
        <v>3673</v>
      </c>
      <c r="H84" t="s">
        <v>3673</v>
      </c>
      <c r="I84" t="s">
        <v>3690</v>
      </c>
      <c r="J84" t="s">
        <v>3693</v>
      </c>
      <c r="K84" t="s">
        <v>3700</v>
      </c>
      <c r="L84">
        <v>3</v>
      </c>
      <c r="M84">
        <v>72000</v>
      </c>
      <c r="N84" t="s">
        <v>3702</v>
      </c>
      <c r="O84" t="s">
        <v>3705</v>
      </c>
      <c r="P84" s="2">
        <f t="shared" si="5"/>
        <v>45989</v>
      </c>
      <c r="Q84" t="str">
        <f t="shared" si="6"/>
        <v>Damini Kulkarni</v>
      </c>
      <c r="R84" t="str">
        <f t="shared" si="7"/>
        <v>Delhi</v>
      </c>
      <c r="S84" t="str">
        <f t="shared" si="8"/>
        <v>Delhi</v>
      </c>
      <c r="T84">
        <f t="shared" si="9"/>
        <v>216000</v>
      </c>
    </row>
    <row r="85" spans="1:20" x14ac:dyDescent="0.35">
      <c r="A85" t="s">
        <v>98</v>
      </c>
      <c r="B85" t="s">
        <v>1296</v>
      </c>
      <c r="C85" t="s">
        <v>1865</v>
      </c>
      <c r="D85" t="s">
        <v>2566</v>
      </c>
      <c r="E85" t="s">
        <v>3672</v>
      </c>
      <c r="F85">
        <v>18</v>
      </c>
      <c r="G85" t="s">
        <v>3678</v>
      </c>
      <c r="H85" t="s">
        <v>3683</v>
      </c>
      <c r="I85" t="s">
        <v>3685</v>
      </c>
      <c r="J85" t="s">
        <v>3692</v>
      </c>
      <c r="K85" t="s">
        <v>3695</v>
      </c>
      <c r="L85">
        <v>2</v>
      </c>
      <c r="M85">
        <v>12000</v>
      </c>
      <c r="N85" t="s">
        <v>3702</v>
      </c>
      <c r="O85" t="s">
        <v>3707</v>
      </c>
      <c r="P85" s="2">
        <f t="shared" si="5"/>
        <v>45896</v>
      </c>
      <c r="Q85" t="str">
        <f t="shared" si="6"/>
        <v>Manjari Suri</v>
      </c>
      <c r="R85" t="str">
        <f t="shared" si="7"/>
        <v>Hyderabad</v>
      </c>
      <c r="S85" t="str">
        <f t="shared" si="8"/>
        <v>Telangana</v>
      </c>
      <c r="T85">
        <f t="shared" si="9"/>
        <v>24000</v>
      </c>
    </row>
    <row r="86" spans="1:20" x14ac:dyDescent="0.35">
      <c r="A86" t="s">
        <v>99</v>
      </c>
      <c r="B86" t="s">
        <v>1297</v>
      </c>
      <c r="C86" t="s">
        <v>1866</v>
      </c>
      <c r="D86" t="s">
        <v>2567</v>
      </c>
      <c r="E86" t="s">
        <v>3672</v>
      </c>
      <c r="F86">
        <v>59</v>
      </c>
      <c r="G86" t="s">
        <v>3679</v>
      </c>
      <c r="H86" t="s">
        <v>3684</v>
      </c>
      <c r="I86" t="s">
        <v>3690</v>
      </c>
      <c r="J86" t="s">
        <v>3693</v>
      </c>
      <c r="K86" t="s">
        <v>3700</v>
      </c>
      <c r="L86">
        <v>2</v>
      </c>
      <c r="M86">
        <v>72000</v>
      </c>
      <c r="N86" t="s">
        <v>3704</v>
      </c>
      <c r="O86" t="s">
        <v>3706</v>
      </c>
      <c r="P86" s="2">
        <f t="shared" si="5"/>
        <v>45871</v>
      </c>
      <c r="Q86" t="str">
        <f t="shared" si="6"/>
        <v>Shanaya Sem</v>
      </c>
      <c r="R86" t="str">
        <f t="shared" si="7"/>
        <v>Bengaluru</v>
      </c>
      <c r="S86" t="str">
        <f t="shared" si="8"/>
        <v>Karnataka</v>
      </c>
      <c r="T86">
        <f t="shared" si="9"/>
        <v>144000</v>
      </c>
    </row>
    <row r="87" spans="1:20" x14ac:dyDescent="0.35">
      <c r="A87" t="s">
        <v>100</v>
      </c>
      <c r="B87" t="s">
        <v>1298</v>
      </c>
      <c r="C87" t="s">
        <v>1867</v>
      </c>
      <c r="D87" t="s">
        <v>2568</v>
      </c>
      <c r="E87" t="s">
        <v>3671</v>
      </c>
      <c r="F87">
        <v>30</v>
      </c>
      <c r="G87" t="s">
        <v>3678</v>
      </c>
      <c r="H87" t="s">
        <v>3683</v>
      </c>
      <c r="I87" t="s">
        <v>3691</v>
      </c>
      <c r="J87" t="s">
        <v>3693</v>
      </c>
      <c r="K87" t="s">
        <v>3696</v>
      </c>
      <c r="L87">
        <v>1</v>
      </c>
      <c r="M87">
        <v>58000</v>
      </c>
      <c r="N87" t="s">
        <v>3701</v>
      </c>
      <c r="O87" t="s">
        <v>3706</v>
      </c>
      <c r="P87" s="2">
        <f t="shared" si="5"/>
        <v>45755</v>
      </c>
      <c r="Q87" t="str">
        <f t="shared" si="6"/>
        <v>Gatik Chandran</v>
      </c>
      <c r="R87" t="str">
        <f t="shared" si="7"/>
        <v>Hyderabad</v>
      </c>
      <c r="S87" t="str">
        <f t="shared" si="8"/>
        <v>Telangana</v>
      </c>
      <c r="T87">
        <f t="shared" si="9"/>
        <v>58000</v>
      </c>
    </row>
    <row r="88" spans="1:20" x14ac:dyDescent="0.35">
      <c r="A88" t="s">
        <v>101</v>
      </c>
      <c r="B88" t="s">
        <v>1263</v>
      </c>
      <c r="C88" t="s">
        <v>1868</v>
      </c>
      <c r="D88" t="s">
        <v>2569</v>
      </c>
      <c r="E88" t="s">
        <v>3672</v>
      </c>
      <c r="F88">
        <v>42</v>
      </c>
      <c r="G88" t="s">
        <v>3673</v>
      </c>
      <c r="H88" t="s">
        <v>3673</v>
      </c>
      <c r="I88" t="s">
        <v>3688</v>
      </c>
      <c r="J88" t="s">
        <v>3694</v>
      </c>
      <c r="K88" t="s">
        <v>3698</v>
      </c>
      <c r="L88">
        <v>2</v>
      </c>
      <c r="M88">
        <v>4500</v>
      </c>
      <c r="N88" t="s">
        <v>3703</v>
      </c>
      <c r="O88" t="s">
        <v>3706</v>
      </c>
      <c r="P88" s="2">
        <f t="shared" si="5"/>
        <v>45757</v>
      </c>
      <c r="Q88" t="str">
        <f t="shared" si="6"/>
        <v>Mishti Kalla</v>
      </c>
      <c r="R88" t="str">
        <f t="shared" si="7"/>
        <v>Delhi</v>
      </c>
      <c r="S88" t="str">
        <f t="shared" si="8"/>
        <v>Delhi</v>
      </c>
      <c r="T88">
        <f t="shared" si="9"/>
        <v>9000</v>
      </c>
    </row>
    <row r="89" spans="1:20" x14ac:dyDescent="0.35">
      <c r="A89" t="s">
        <v>102</v>
      </c>
      <c r="B89" t="s">
        <v>1299</v>
      </c>
      <c r="C89" t="s">
        <v>1869</v>
      </c>
      <c r="D89" t="s">
        <v>2570</v>
      </c>
      <c r="E89" t="s">
        <v>3671</v>
      </c>
      <c r="F89">
        <v>52</v>
      </c>
      <c r="G89" t="s">
        <v>3677</v>
      </c>
      <c r="H89" t="s">
        <v>3680</v>
      </c>
      <c r="I89" t="s">
        <v>3689</v>
      </c>
      <c r="J89" t="s">
        <v>3694</v>
      </c>
      <c r="K89" t="s">
        <v>3699</v>
      </c>
      <c r="L89">
        <v>5</v>
      </c>
      <c r="M89">
        <v>1800</v>
      </c>
      <c r="N89" t="s">
        <v>3701</v>
      </c>
      <c r="O89" t="s">
        <v>3707</v>
      </c>
      <c r="P89" s="2">
        <f t="shared" si="5"/>
        <v>45705</v>
      </c>
      <c r="Q89" t="str">
        <f t="shared" si="6"/>
        <v>Advika Brar</v>
      </c>
      <c r="R89" t="str">
        <f t="shared" si="7"/>
        <v>Mumbai</v>
      </c>
      <c r="S89" t="str">
        <f t="shared" si="8"/>
        <v>Maharashtra</v>
      </c>
      <c r="T89">
        <f t="shared" si="9"/>
        <v>9000</v>
      </c>
    </row>
    <row r="90" spans="1:20" x14ac:dyDescent="0.35">
      <c r="A90" t="s">
        <v>103</v>
      </c>
      <c r="B90" t="s">
        <v>1300</v>
      </c>
      <c r="C90" t="s">
        <v>1870</v>
      </c>
      <c r="D90" t="s">
        <v>2571</v>
      </c>
      <c r="E90" t="s">
        <v>3671</v>
      </c>
      <c r="F90">
        <v>46</v>
      </c>
      <c r="G90" t="s">
        <v>3677</v>
      </c>
      <c r="H90" t="s">
        <v>3680</v>
      </c>
      <c r="I90" t="s">
        <v>3686</v>
      </c>
      <c r="J90" t="s">
        <v>3693</v>
      </c>
      <c r="K90" t="s">
        <v>3696</v>
      </c>
      <c r="L90">
        <v>4</v>
      </c>
      <c r="M90">
        <v>65000</v>
      </c>
      <c r="N90" t="s">
        <v>3703</v>
      </c>
      <c r="O90" t="s">
        <v>3705</v>
      </c>
      <c r="P90" s="2">
        <f t="shared" si="5"/>
        <v>45905</v>
      </c>
      <c r="Q90" t="str">
        <f t="shared" si="6"/>
        <v>Baiju Bahl</v>
      </c>
      <c r="R90" t="str">
        <f t="shared" si="7"/>
        <v>Mumbai</v>
      </c>
      <c r="S90" t="str">
        <f t="shared" si="8"/>
        <v>Maharashtra</v>
      </c>
      <c r="T90">
        <f t="shared" si="9"/>
        <v>260000</v>
      </c>
    </row>
    <row r="91" spans="1:20" x14ac:dyDescent="0.35">
      <c r="A91" t="s">
        <v>104</v>
      </c>
      <c r="B91" t="s">
        <v>1301</v>
      </c>
      <c r="C91" t="s">
        <v>1871</v>
      </c>
      <c r="D91" t="s">
        <v>2572</v>
      </c>
      <c r="E91" t="s">
        <v>3671</v>
      </c>
      <c r="F91">
        <v>27</v>
      </c>
      <c r="G91" t="s">
        <v>3673</v>
      </c>
      <c r="H91" t="s">
        <v>3673</v>
      </c>
      <c r="I91" t="s">
        <v>3690</v>
      </c>
      <c r="J91" t="s">
        <v>3693</v>
      </c>
      <c r="K91" t="s">
        <v>3700</v>
      </c>
      <c r="L91">
        <v>4</v>
      </c>
      <c r="M91">
        <v>72000</v>
      </c>
      <c r="N91" t="s">
        <v>3701</v>
      </c>
      <c r="O91" t="s">
        <v>3705</v>
      </c>
      <c r="P91" s="2">
        <f t="shared" si="5"/>
        <v>45815</v>
      </c>
      <c r="Q91" t="str">
        <f t="shared" si="6"/>
        <v>Manikya Dutt</v>
      </c>
      <c r="R91" t="str">
        <f t="shared" si="7"/>
        <v>Delhi</v>
      </c>
      <c r="S91" t="str">
        <f t="shared" si="8"/>
        <v>Delhi</v>
      </c>
      <c r="T91">
        <f t="shared" si="9"/>
        <v>288000</v>
      </c>
    </row>
    <row r="92" spans="1:20" x14ac:dyDescent="0.35">
      <c r="A92" t="s">
        <v>105</v>
      </c>
      <c r="B92" t="s">
        <v>1302</v>
      </c>
      <c r="C92" t="s">
        <v>1872</v>
      </c>
      <c r="D92" t="s">
        <v>2573</v>
      </c>
      <c r="E92" t="s">
        <v>3672</v>
      </c>
      <c r="F92">
        <v>59</v>
      </c>
      <c r="G92" t="s">
        <v>3678</v>
      </c>
      <c r="H92" t="s">
        <v>3683</v>
      </c>
      <c r="I92" t="s">
        <v>3690</v>
      </c>
      <c r="J92" t="s">
        <v>3693</v>
      </c>
      <c r="K92" t="s">
        <v>3700</v>
      </c>
      <c r="L92">
        <v>4</v>
      </c>
      <c r="M92">
        <v>72000</v>
      </c>
      <c r="N92" t="s">
        <v>3704</v>
      </c>
      <c r="O92" t="s">
        <v>3706</v>
      </c>
      <c r="P92" s="2">
        <f t="shared" si="5"/>
        <v>45867</v>
      </c>
      <c r="Q92" t="str">
        <f t="shared" si="6"/>
        <v>Nayantara Rajagopal</v>
      </c>
      <c r="R92" t="str">
        <f t="shared" si="7"/>
        <v>Hyderabad</v>
      </c>
      <c r="S92" t="str">
        <f t="shared" si="8"/>
        <v>Telangana</v>
      </c>
      <c r="T92">
        <f t="shared" si="9"/>
        <v>288000</v>
      </c>
    </row>
    <row r="93" spans="1:20" x14ac:dyDescent="0.35">
      <c r="A93" t="s">
        <v>106</v>
      </c>
      <c r="B93" t="s">
        <v>1303</v>
      </c>
      <c r="C93" t="s">
        <v>1873</v>
      </c>
      <c r="D93" t="s">
        <v>2574</v>
      </c>
      <c r="E93" t="s">
        <v>3672</v>
      </c>
      <c r="F93">
        <v>47</v>
      </c>
      <c r="G93" t="s">
        <v>3673</v>
      </c>
      <c r="H93" t="s">
        <v>3673</v>
      </c>
      <c r="I93" t="s">
        <v>3691</v>
      </c>
      <c r="J93" t="s">
        <v>3693</v>
      </c>
      <c r="K93" t="s">
        <v>3696</v>
      </c>
      <c r="L93">
        <v>5</v>
      </c>
      <c r="M93">
        <v>58000</v>
      </c>
      <c r="N93" t="s">
        <v>3704</v>
      </c>
      <c r="O93" t="s">
        <v>3706</v>
      </c>
      <c r="P93" s="2">
        <f t="shared" si="5"/>
        <v>45743</v>
      </c>
      <c r="Q93" t="str">
        <f t="shared" si="6"/>
        <v>Nirvi Basak</v>
      </c>
      <c r="R93" t="str">
        <f t="shared" si="7"/>
        <v>Delhi</v>
      </c>
      <c r="S93" t="str">
        <f t="shared" si="8"/>
        <v>Delhi</v>
      </c>
      <c r="T93">
        <f t="shared" si="9"/>
        <v>290000</v>
      </c>
    </row>
    <row r="94" spans="1:20" x14ac:dyDescent="0.35">
      <c r="A94" t="s">
        <v>107</v>
      </c>
      <c r="B94" t="s">
        <v>1304</v>
      </c>
      <c r="C94" t="s">
        <v>1874</v>
      </c>
      <c r="D94" t="s">
        <v>2575</v>
      </c>
      <c r="E94" t="s">
        <v>3672</v>
      </c>
      <c r="F94">
        <v>53</v>
      </c>
      <c r="G94" t="s">
        <v>3678</v>
      </c>
      <c r="H94" t="s">
        <v>3683</v>
      </c>
      <c r="I94" t="s">
        <v>3686</v>
      </c>
      <c r="J94" t="s">
        <v>3693</v>
      </c>
      <c r="K94" t="s">
        <v>3696</v>
      </c>
      <c r="L94">
        <v>3</v>
      </c>
      <c r="M94">
        <v>65000</v>
      </c>
      <c r="N94" t="s">
        <v>3701</v>
      </c>
      <c r="O94" t="s">
        <v>3705</v>
      </c>
      <c r="P94" s="2">
        <f t="shared" si="5"/>
        <v>45725</v>
      </c>
      <c r="Q94" t="str">
        <f t="shared" si="6"/>
        <v>Uthkarsh Kale</v>
      </c>
      <c r="R94" t="str">
        <f t="shared" si="7"/>
        <v>Hyderabad</v>
      </c>
      <c r="S94" t="str">
        <f t="shared" si="8"/>
        <v>Telangana</v>
      </c>
      <c r="T94">
        <f t="shared" si="9"/>
        <v>195000</v>
      </c>
    </row>
    <row r="95" spans="1:20" x14ac:dyDescent="0.35">
      <c r="A95" t="s">
        <v>108</v>
      </c>
      <c r="B95" t="s">
        <v>1305</v>
      </c>
      <c r="C95" t="s">
        <v>1875</v>
      </c>
      <c r="D95" t="s">
        <v>2576</v>
      </c>
      <c r="E95" t="s">
        <v>3671</v>
      </c>
      <c r="F95">
        <v>46</v>
      </c>
      <c r="G95" t="s">
        <v>3676</v>
      </c>
      <c r="H95" t="s">
        <v>3682</v>
      </c>
      <c r="I95" t="s">
        <v>3686</v>
      </c>
      <c r="J95" t="s">
        <v>3693</v>
      </c>
      <c r="K95" t="s">
        <v>3696</v>
      </c>
      <c r="L95">
        <v>4</v>
      </c>
      <c r="M95">
        <v>65000</v>
      </c>
      <c r="N95" t="s">
        <v>3701</v>
      </c>
      <c r="O95" t="s">
        <v>3707</v>
      </c>
      <c r="P95" s="2">
        <f t="shared" si="5"/>
        <v>45696</v>
      </c>
      <c r="Q95" t="str">
        <f t="shared" si="6"/>
        <v>Divyansh Dixit</v>
      </c>
      <c r="R95" t="str">
        <f t="shared" si="7"/>
        <v>Chennai</v>
      </c>
      <c r="S95" t="str">
        <f t="shared" si="8"/>
        <v>Tamil Nadu</v>
      </c>
      <c r="T95">
        <f t="shared" si="9"/>
        <v>260000</v>
      </c>
    </row>
    <row r="96" spans="1:20" x14ac:dyDescent="0.35">
      <c r="A96" t="s">
        <v>109</v>
      </c>
      <c r="B96" t="s">
        <v>1306</v>
      </c>
      <c r="C96" t="s">
        <v>1876</v>
      </c>
      <c r="D96" t="s">
        <v>2577</v>
      </c>
      <c r="E96" t="s">
        <v>3671</v>
      </c>
      <c r="F96">
        <v>19</v>
      </c>
      <c r="G96" t="s">
        <v>3679</v>
      </c>
      <c r="H96" t="s">
        <v>3684</v>
      </c>
      <c r="I96" t="s">
        <v>3689</v>
      </c>
      <c r="J96" t="s">
        <v>3694</v>
      </c>
      <c r="K96" t="s">
        <v>3699</v>
      </c>
      <c r="L96">
        <v>4</v>
      </c>
      <c r="M96">
        <v>1800</v>
      </c>
      <c r="N96" t="s">
        <v>3704</v>
      </c>
      <c r="O96" t="s">
        <v>3706</v>
      </c>
      <c r="P96" s="2">
        <f t="shared" si="5"/>
        <v>45671</v>
      </c>
      <c r="Q96" t="str">
        <f t="shared" si="6"/>
        <v>Navya Aggarwal</v>
      </c>
      <c r="R96" t="str">
        <f t="shared" si="7"/>
        <v>Bengaluru</v>
      </c>
      <c r="S96" t="str">
        <f t="shared" si="8"/>
        <v>Karnataka</v>
      </c>
      <c r="T96">
        <f t="shared" si="9"/>
        <v>7200</v>
      </c>
    </row>
    <row r="97" spans="1:20" x14ac:dyDescent="0.35">
      <c r="A97" t="s">
        <v>110</v>
      </c>
      <c r="B97" t="s">
        <v>1307</v>
      </c>
      <c r="C97" t="s">
        <v>1877</v>
      </c>
      <c r="D97" t="s">
        <v>2578</v>
      </c>
      <c r="E97" t="s">
        <v>3671</v>
      </c>
      <c r="F97">
        <v>26</v>
      </c>
      <c r="G97" t="s">
        <v>3678</v>
      </c>
      <c r="H97" t="s">
        <v>3683</v>
      </c>
      <c r="I97" t="s">
        <v>3690</v>
      </c>
      <c r="J97" t="s">
        <v>3693</v>
      </c>
      <c r="K97" t="s">
        <v>3700</v>
      </c>
      <c r="L97">
        <v>1</v>
      </c>
      <c r="M97">
        <v>72000</v>
      </c>
      <c r="N97" t="s">
        <v>3702</v>
      </c>
      <c r="O97" t="s">
        <v>3707</v>
      </c>
      <c r="P97" s="2">
        <f t="shared" si="5"/>
        <v>45965</v>
      </c>
      <c r="Q97" t="str">
        <f t="shared" si="6"/>
        <v>Aarna Jani</v>
      </c>
      <c r="R97" t="str">
        <f t="shared" si="7"/>
        <v>Hyderabad</v>
      </c>
      <c r="S97" t="str">
        <f t="shared" si="8"/>
        <v>Telangana</v>
      </c>
      <c r="T97">
        <f t="shared" si="9"/>
        <v>72000</v>
      </c>
    </row>
    <row r="98" spans="1:20" x14ac:dyDescent="0.35">
      <c r="A98" t="s">
        <v>111</v>
      </c>
      <c r="B98" t="s">
        <v>1308</v>
      </c>
      <c r="C98" t="s">
        <v>1878</v>
      </c>
      <c r="D98" t="s">
        <v>2579</v>
      </c>
      <c r="E98" t="s">
        <v>3672</v>
      </c>
      <c r="F98">
        <v>42</v>
      </c>
      <c r="G98" t="s">
        <v>3674</v>
      </c>
      <c r="H98" t="s">
        <v>3680</v>
      </c>
      <c r="I98" t="s">
        <v>3686</v>
      </c>
      <c r="J98" t="s">
        <v>3693</v>
      </c>
      <c r="K98" t="s">
        <v>3696</v>
      </c>
      <c r="L98">
        <v>3</v>
      </c>
      <c r="M98">
        <v>65000</v>
      </c>
      <c r="N98" t="s">
        <v>3704</v>
      </c>
      <c r="O98" t="s">
        <v>3706</v>
      </c>
      <c r="P98" s="2">
        <f t="shared" si="5"/>
        <v>45837</v>
      </c>
      <c r="Q98" t="str">
        <f t="shared" si="6"/>
        <v>Kartik Zachariah</v>
      </c>
      <c r="R98" t="str">
        <f t="shared" si="7"/>
        <v>Pune</v>
      </c>
      <c r="S98" t="str">
        <f t="shared" si="8"/>
        <v>Maharashtra</v>
      </c>
      <c r="T98">
        <f t="shared" si="9"/>
        <v>195000</v>
      </c>
    </row>
    <row r="99" spans="1:20" x14ac:dyDescent="0.35">
      <c r="A99" t="s">
        <v>112</v>
      </c>
      <c r="B99" t="s">
        <v>1309</v>
      </c>
      <c r="C99" t="s">
        <v>1879</v>
      </c>
      <c r="D99" t="s">
        <v>2580</v>
      </c>
      <c r="E99" t="s">
        <v>3671</v>
      </c>
      <c r="F99">
        <v>39</v>
      </c>
      <c r="G99" t="s">
        <v>3679</v>
      </c>
      <c r="H99" t="s">
        <v>3684</v>
      </c>
      <c r="I99" t="s">
        <v>3690</v>
      </c>
      <c r="J99" t="s">
        <v>3693</v>
      </c>
      <c r="K99" t="s">
        <v>3700</v>
      </c>
      <c r="L99">
        <v>4</v>
      </c>
      <c r="M99">
        <v>72000</v>
      </c>
      <c r="N99" t="s">
        <v>3704</v>
      </c>
      <c r="O99" t="s">
        <v>3707</v>
      </c>
      <c r="P99" s="2">
        <f t="shared" si="5"/>
        <v>45802</v>
      </c>
      <c r="Q99" t="str">
        <f t="shared" si="6"/>
        <v>Akarsh Garg</v>
      </c>
      <c r="R99" t="str">
        <f t="shared" si="7"/>
        <v>Bengaluru</v>
      </c>
      <c r="S99" t="str">
        <f t="shared" si="8"/>
        <v>Karnataka</v>
      </c>
      <c r="T99">
        <f t="shared" si="9"/>
        <v>288000</v>
      </c>
    </row>
    <row r="100" spans="1:20" x14ac:dyDescent="0.35">
      <c r="A100" t="s">
        <v>113</v>
      </c>
      <c r="B100" t="s">
        <v>1310</v>
      </c>
      <c r="C100" t="s">
        <v>1880</v>
      </c>
      <c r="D100" t="s">
        <v>2581</v>
      </c>
      <c r="E100" t="s">
        <v>3671</v>
      </c>
      <c r="F100">
        <v>28</v>
      </c>
      <c r="G100" t="s">
        <v>3676</v>
      </c>
      <c r="H100" t="s">
        <v>3682</v>
      </c>
      <c r="I100" t="s">
        <v>3689</v>
      </c>
      <c r="J100" t="s">
        <v>3694</v>
      </c>
      <c r="K100" t="s">
        <v>3699</v>
      </c>
      <c r="L100">
        <v>3</v>
      </c>
      <c r="M100">
        <v>1800</v>
      </c>
      <c r="N100" t="s">
        <v>3701</v>
      </c>
      <c r="O100" t="s">
        <v>3705</v>
      </c>
      <c r="P100" s="2">
        <f t="shared" si="5"/>
        <v>45958</v>
      </c>
      <c r="Q100" t="str">
        <f t="shared" si="6"/>
        <v>Amani Bumb</v>
      </c>
      <c r="R100" t="str">
        <f t="shared" si="7"/>
        <v>Chennai</v>
      </c>
      <c r="S100" t="str">
        <f t="shared" si="8"/>
        <v>Tamil Nadu</v>
      </c>
      <c r="T100">
        <f t="shared" si="9"/>
        <v>5400</v>
      </c>
    </row>
    <row r="101" spans="1:20" x14ac:dyDescent="0.35">
      <c r="A101" t="s">
        <v>114</v>
      </c>
      <c r="B101" t="s">
        <v>1268</v>
      </c>
      <c r="C101" t="s">
        <v>1881</v>
      </c>
      <c r="D101" t="s">
        <v>2582</v>
      </c>
      <c r="E101" t="s">
        <v>3671</v>
      </c>
      <c r="F101">
        <v>46</v>
      </c>
      <c r="G101" t="s">
        <v>3678</v>
      </c>
      <c r="H101" t="s">
        <v>3683</v>
      </c>
      <c r="I101" t="s">
        <v>3686</v>
      </c>
      <c r="J101" t="s">
        <v>3693</v>
      </c>
      <c r="K101" t="s">
        <v>3696</v>
      </c>
      <c r="L101">
        <v>4</v>
      </c>
      <c r="M101">
        <v>65000</v>
      </c>
      <c r="N101" t="s">
        <v>3704</v>
      </c>
      <c r="O101" t="s">
        <v>3706</v>
      </c>
      <c r="P101" s="2">
        <f t="shared" si="5"/>
        <v>45714</v>
      </c>
      <c r="Q101" t="str">
        <f t="shared" si="6"/>
        <v>Akarsh Mand</v>
      </c>
      <c r="R101" t="str">
        <f t="shared" si="7"/>
        <v>Hyderabad</v>
      </c>
      <c r="S101" t="str">
        <f t="shared" si="8"/>
        <v>Telangana</v>
      </c>
      <c r="T101">
        <f t="shared" si="9"/>
        <v>260000</v>
      </c>
    </row>
    <row r="102" spans="1:20" x14ac:dyDescent="0.35">
      <c r="A102" t="s">
        <v>115</v>
      </c>
      <c r="B102" t="s">
        <v>1311</v>
      </c>
      <c r="C102" t="s">
        <v>1831</v>
      </c>
      <c r="D102" t="s">
        <v>2583</v>
      </c>
      <c r="E102" t="s">
        <v>3671</v>
      </c>
      <c r="F102">
        <v>33</v>
      </c>
      <c r="G102" t="s">
        <v>3674</v>
      </c>
      <c r="H102" t="s">
        <v>3680</v>
      </c>
      <c r="I102" t="s">
        <v>3685</v>
      </c>
      <c r="J102" t="s">
        <v>3692</v>
      </c>
      <c r="K102" t="s">
        <v>3695</v>
      </c>
      <c r="L102">
        <v>5</v>
      </c>
      <c r="M102">
        <v>12000</v>
      </c>
      <c r="N102" t="s">
        <v>3701</v>
      </c>
      <c r="O102" t="s">
        <v>3705</v>
      </c>
      <c r="P102" s="2">
        <f t="shared" si="5"/>
        <v>46026</v>
      </c>
      <c r="Q102" t="str">
        <f t="shared" si="6"/>
        <v>Prerak Dora</v>
      </c>
      <c r="R102" t="str">
        <f t="shared" si="7"/>
        <v>Pune</v>
      </c>
      <c r="S102" t="str">
        <f t="shared" si="8"/>
        <v>Maharashtra</v>
      </c>
      <c r="T102">
        <f t="shared" si="9"/>
        <v>60000</v>
      </c>
    </row>
    <row r="103" spans="1:20" x14ac:dyDescent="0.35">
      <c r="A103" t="s">
        <v>116</v>
      </c>
      <c r="B103" t="s">
        <v>1228</v>
      </c>
      <c r="C103" t="s">
        <v>1854</v>
      </c>
      <c r="D103" t="s">
        <v>2584</v>
      </c>
      <c r="E103" t="s">
        <v>3671</v>
      </c>
      <c r="F103">
        <v>60</v>
      </c>
      <c r="G103" t="s">
        <v>3677</v>
      </c>
      <c r="H103" t="s">
        <v>3680</v>
      </c>
      <c r="I103" t="s">
        <v>3685</v>
      </c>
      <c r="J103" t="s">
        <v>3692</v>
      </c>
      <c r="K103" t="s">
        <v>3695</v>
      </c>
      <c r="L103">
        <v>1</v>
      </c>
      <c r="M103">
        <v>12000</v>
      </c>
      <c r="N103" t="s">
        <v>3704</v>
      </c>
      <c r="O103" t="s">
        <v>3705</v>
      </c>
      <c r="P103" s="2">
        <f t="shared" si="5"/>
        <v>45996</v>
      </c>
      <c r="Q103" t="str">
        <f t="shared" si="6"/>
        <v>Nirvi Sastry</v>
      </c>
      <c r="R103" t="str">
        <f t="shared" si="7"/>
        <v>Mumbai</v>
      </c>
      <c r="S103" t="str">
        <f t="shared" si="8"/>
        <v>Maharashtra</v>
      </c>
      <c r="T103">
        <f t="shared" si="9"/>
        <v>12000</v>
      </c>
    </row>
    <row r="104" spans="1:20" x14ac:dyDescent="0.35">
      <c r="A104" t="s">
        <v>117</v>
      </c>
      <c r="B104" t="s">
        <v>1312</v>
      </c>
      <c r="C104" t="s">
        <v>1882</v>
      </c>
      <c r="D104" t="s">
        <v>2585</v>
      </c>
      <c r="E104" t="s">
        <v>3671</v>
      </c>
      <c r="F104">
        <v>33</v>
      </c>
      <c r="G104" t="s">
        <v>3673</v>
      </c>
      <c r="H104" t="s">
        <v>3673</v>
      </c>
      <c r="I104" t="s">
        <v>3686</v>
      </c>
      <c r="J104" t="s">
        <v>3693</v>
      </c>
      <c r="K104" t="s">
        <v>3696</v>
      </c>
      <c r="L104">
        <v>4</v>
      </c>
      <c r="M104">
        <v>65000</v>
      </c>
      <c r="N104" t="s">
        <v>3702</v>
      </c>
      <c r="O104" t="s">
        <v>3707</v>
      </c>
      <c r="P104" s="2">
        <f t="shared" si="5"/>
        <v>45903</v>
      </c>
      <c r="Q104" t="str">
        <f t="shared" si="6"/>
        <v>Damini Bhatt</v>
      </c>
      <c r="R104" t="str">
        <f t="shared" si="7"/>
        <v>Delhi</v>
      </c>
      <c r="S104" t="str">
        <f t="shared" si="8"/>
        <v>Delhi</v>
      </c>
      <c r="T104">
        <f t="shared" si="9"/>
        <v>260000</v>
      </c>
    </row>
    <row r="105" spans="1:20" x14ac:dyDescent="0.35">
      <c r="A105" t="s">
        <v>118</v>
      </c>
      <c r="B105" t="s">
        <v>1313</v>
      </c>
      <c r="C105" t="s">
        <v>1883</v>
      </c>
      <c r="D105" t="s">
        <v>2586</v>
      </c>
      <c r="E105" t="s">
        <v>3671</v>
      </c>
      <c r="F105">
        <v>21</v>
      </c>
      <c r="G105" t="s">
        <v>3678</v>
      </c>
      <c r="H105" t="s">
        <v>3683</v>
      </c>
      <c r="I105" t="s">
        <v>3687</v>
      </c>
      <c r="J105" t="s">
        <v>3693</v>
      </c>
      <c r="K105" t="s">
        <v>3697</v>
      </c>
      <c r="L105">
        <v>4</v>
      </c>
      <c r="M105">
        <v>5000</v>
      </c>
      <c r="N105" t="s">
        <v>3704</v>
      </c>
      <c r="O105" t="s">
        <v>3705</v>
      </c>
      <c r="P105" s="2">
        <f t="shared" si="5"/>
        <v>45751</v>
      </c>
      <c r="Q105" t="str">
        <f t="shared" si="6"/>
        <v>Raunak Chanda</v>
      </c>
      <c r="R105" t="str">
        <f t="shared" si="7"/>
        <v>Hyderabad</v>
      </c>
      <c r="S105" t="str">
        <f t="shared" si="8"/>
        <v>Telangana</v>
      </c>
      <c r="T105">
        <f t="shared" si="9"/>
        <v>20000</v>
      </c>
    </row>
    <row r="106" spans="1:20" x14ac:dyDescent="0.35">
      <c r="A106" t="s">
        <v>119</v>
      </c>
      <c r="B106" t="s">
        <v>1314</v>
      </c>
      <c r="C106" t="s">
        <v>1884</v>
      </c>
      <c r="D106" t="s">
        <v>2587</v>
      </c>
      <c r="E106" t="s">
        <v>3672</v>
      </c>
      <c r="F106">
        <v>41</v>
      </c>
      <c r="G106" t="s">
        <v>3679</v>
      </c>
      <c r="H106" t="s">
        <v>3684</v>
      </c>
      <c r="I106" t="s">
        <v>3686</v>
      </c>
      <c r="J106" t="s">
        <v>3693</v>
      </c>
      <c r="K106" t="s">
        <v>3696</v>
      </c>
      <c r="L106">
        <v>1</v>
      </c>
      <c r="M106">
        <v>65000</v>
      </c>
      <c r="N106" t="s">
        <v>3703</v>
      </c>
      <c r="O106" t="s">
        <v>3706</v>
      </c>
      <c r="P106" s="2">
        <f t="shared" si="5"/>
        <v>45726</v>
      </c>
      <c r="Q106" t="str">
        <f t="shared" si="6"/>
        <v>Saksham Saha</v>
      </c>
      <c r="R106" t="str">
        <f t="shared" si="7"/>
        <v>Bengaluru</v>
      </c>
      <c r="S106" t="str">
        <f t="shared" si="8"/>
        <v>Karnataka</v>
      </c>
      <c r="T106">
        <f t="shared" si="9"/>
        <v>65000</v>
      </c>
    </row>
    <row r="107" spans="1:20" x14ac:dyDescent="0.35">
      <c r="A107" t="s">
        <v>120</v>
      </c>
      <c r="B107" t="s">
        <v>1315</v>
      </c>
      <c r="C107" t="s">
        <v>1885</v>
      </c>
      <c r="D107" t="s">
        <v>2588</v>
      </c>
      <c r="E107" t="s">
        <v>3671</v>
      </c>
      <c r="F107">
        <v>54</v>
      </c>
      <c r="G107" t="s">
        <v>3675</v>
      </c>
      <c r="H107" t="s">
        <v>3681</v>
      </c>
      <c r="I107" t="s">
        <v>3685</v>
      </c>
      <c r="J107" t="s">
        <v>3692</v>
      </c>
      <c r="K107" t="s">
        <v>3695</v>
      </c>
      <c r="L107">
        <v>5</v>
      </c>
      <c r="M107">
        <v>12000</v>
      </c>
      <c r="N107" t="s">
        <v>3704</v>
      </c>
      <c r="O107" t="s">
        <v>3705</v>
      </c>
      <c r="P107" s="2">
        <f t="shared" si="5"/>
        <v>46004</v>
      </c>
      <c r="Q107" t="str">
        <f t="shared" si="6"/>
        <v>Purab Sami</v>
      </c>
      <c r="R107" t="str">
        <f t="shared" si="7"/>
        <v>Kolkata</v>
      </c>
      <c r="S107" t="str">
        <f t="shared" si="8"/>
        <v>West Bengal</v>
      </c>
      <c r="T107">
        <f t="shared" si="9"/>
        <v>60000</v>
      </c>
    </row>
    <row r="108" spans="1:20" x14ac:dyDescent="0.35">
      <c r="A108" t="s">
        <v>121</v>
      </c>
      <c r="B108" t="s">
        <v>1316</v>
      </c>
      <c r="C108" t="s">
        <v>1886</v>
      </c>
      <c r="D108" t="s">
        <v>2589</v>
      </c>
      <c r="E108" t="s">
        <v>3671</v>
      </c>
      <c r="F108">
        <v>54</v>
      </c>
      <c r="G108" t="s">
        <v>3675</v>
      </c>
      <c r="H108" t="s">
        <v>3681</v>
      </c>
      <c r="I108" t="s">
        <v>3685</v>
      </c>
      <c r="J108" t="s">
        <v>3692</v>
      </c>
      <c r="K108" t="s">
        <v>3695</v>
      </c>
      <c r="L108">
        <v>2</v>
      </c>
      <c r="M108">
        <v>12000</v>
      </c>
      <c r="N108" t="s">
        <v>3702</v>
      </c>
      <c r="O108" t="s">
        <v>3706</v>
      </c>
      <c r="P108" s="2">
        <f t="shared" si="5"/>
        <v>46006</v>
      </c>
      <c r="Q108" t="str">
        <f t="shared" si="6"/>
        <v>Indranil Vasa</v>
      </c>
      <c r="R108" t="str">
        <f t="shared" si="7"/>
        <v>Kolkata</v>
      </c>
      <c r="S108" t="str">
        <f t="shared" si="8"/>
        <v>West Bengal</v>
      </c>
      <c r="T108">
        <f t="shared" si="9"/>
        <v>24000</v>
      </c>
    </row>
    <row r="109" spans="1:20" x14ac:dyDescent="0.35">
      <c r="A109" t="s">
        <v>122</v>
      </c>
      <c r="B109" t="s">
        <v>1317</v>
      </c>
      <c r="C109" t="s">
        <v>1887</v>
      </c>
      <c r="D109" t="s">
        <v>2590</v>
      </c>
      <c r="E109" t="s">
        <v>3671</v>
      </c>
      <c r="F109">
        <v>48</v>
      </c>
      <c r="G109" t="s">
        <v>3673</v>
      </c>
      <c r="H109" t="s">
        <v>3673</v>
      </c>
      <c r="I109" t="s">
        <v>3689</v>
      </c>
      <c r="J109" t="s">
        <v>3694</v>
      </c>
      <c r="K109" t="s">
        <v>3699</v>
      </c>
      <c r="L109">
        <v>4</v>
      </c>
      <c r="M109">
        <v>1800</v>
      </c>
      <c r="N109" t="s">
        <v>3703</v>
      </c>
      <c r="O109" t="s">
        <v>3707</v>
      </c>
      <c r="P109" s="2">
        <f t="shared" si="5"/>
        <v>45734</v>
      </c>
      <c r="Q109" t="str">
        <f t="shared" si="6"/>
        <v>Advika Bajwa</v>
      </c>
      <c r="R109" t="str">
        <f t="shared" si="7"/>
        <v>Delhi</v>
      </c>
      <c r="S109" t="str">
        <f t="shared" si="8"/>
        <v>Delhi</v>
      </c>
      <c r="T109">
        <f t="shared" si="9"/>
        <v>7200</v>
      </c>
    </row>
    <row r="110" spans="1:20" x14ac:dyDescent="0.35">
      <c r="A110" t="s">
        <v>123</v>
      </c>
      <c r="B110" t="s">
        <v>1318</v>
      </c>
      <c r="C110" t="s">
        <v>1827</v>
      </c>
      <c r="D110" t="s">
        <v>2591</v>
      </c>
      <c r="E110" t="s">
        <v>3671</v>
      </c>
      <c r="F110">
        <v>34</v>
      </c>
      <c r="G110" t="s">
        <v>3674</v>
      </c>
      <c r="H110" t="s">
        <v>3680</v>
      </c>
      <c r="I110" t="s">
        <v>3685</v>
      </c>
      <c r="J110" t="s">
        <v>3692</v>
      </c>
      <c r="K110" t="s">
        <v>3695</v>
      </c>
      <c r="L110">
        <v>5</v>
      </c>
      <c r="M110">
        <v>12000</v>
      </c>
      <c r="N110" t="s">
        <v>3702</v>
      </c>
      <c r="O110" t="s">
        <v>3707</v>
      </c>
      <c r="P110" s="2">
        <f t="shared" si="5"/>
        <v>45941</v>
      </c>
      <c r="Q110" t="str">
        <f t="shared" si="6"/>
        <v>Vanya Subramanian</v>
      </c>
      <c r="R110" t="str">
        <f t="shared" si="7"/>
        <v>Pune</v>
      </c>
      <c r="S110" t="str">
        <f t="shared" si="8"/>
        <v>Maharashtra</v>
      </c>
      <c r="T110">
        <f t="shared" si="9"/>
        <v>60000</v>
      </c>
    </row>
    <row r="111" spans="1:20" x14ac:dyDescent="0.35">
      <c r="A111" t="s">
        <v>124</v>
      </c>
      <c r="B111" t="s">
        <v>1319</v>
      </c>
      <c r="C111" t="s">
        <v>1888</v>
      </c>
      <c r="D111" t="s">
        <v>2592</v>
      </c>
      <c r="E111" t="s">
        <v>3671</v>
      </c>
      <c r="F111">
        <v>47</v>
      </c>
      <c r="G111" t="s">
        <v>3677</v>
      </c>
      <c r="H111" t="s">
        <v>3680</v>
      </c>
      <c r="I111" t="s">
        <v>3687</v>
      </c>
      <c r="J111" t="s">
        <v>3693</v>
      </c>
      <c r="K111" t="s">
        <v>3697</v>
      </c>
      <c r="L111">
        <v>2</v>
      </c>
      <c r="M111">
        <v>5000</v>
      </c>
      <c r="N111" t="s">
        <v>3704</v>
      </c>
      <c r="O111" t="s">
        <v>3707</v>
      </c>
      <c r="P111" s="2">
        <f t="shared" si="5"/>
        <v>45675</v>
      </c>
      <c r="Q111" t="str">
        <f t="shared" si="6"/>
        <v>Ivan Kibe</v>
      </c>
      <c r="R111" t="str">
        <f t="shared" si="7"/>
        <v>Mumbai</v>
      </c>
      <c r="S111" t="str">
        <f t="shared" si="8"/>
        <v>Maharashtra</v>
      </c>
      <c r="T111">
        <f t="shared" si="9"/>
        <v>10000</v>
      </c>
    </row>
    <row r="112" spans="1:20" x14ac:dyDescent="0.35">
      <c r="A112" t="s">
        <v>125</v>
      </c>
      <c r="B112" t="s">
        <v>1320</v>
      </c>
      <c r="C112" t="s">
        <v>1889</v>
      </c>
      <c r="D112" t="s">
        <v>2593</v>
      </c>
      <c r="E112" t="s">
        <v>3671</v>
      </c>
      <c r="F112">
        <v>34</v>
      </c>
      <c r="G112" t="s">
        <v>3674</v>
      </c>
      <c r="H112" t="s">
        <v>3680</v>
      </c>
      <c r="I112" t="s">
        <v>3686</v>
      </c>
      <c r="J112" t="s">
        <v>3693</v>
      </c>
      <c r="K112" t="s">
        <v>3696</v>
      </c>
      <c r="L112">
        <v>5</v>
      </c>
      <c r="M112">
        <v>65000</v>
      </c>
      <c r="N112" t="s">
        <v>3703</v>
      </c>
      <c r="O112" t="s">
        <v>3705</v>
      </c>
      <c r="P112" s="2">
        <f t="shared" si="5"/>
        <v>45841</v>
      </c>
      <c r="Q112" t="str">
        <f t="shared" si="6"/>
        <v>Zara Madan</v>
      </c>
      <c r="R112" t="str">
        <f t="shared" si="7"/>
        <v>Pune</v>
      </c>
      <c r="S112" t="str">
        <f t="shared" si="8"/>
        <v>Maharashtra</v>
      </c>
      <c r="T112">
        <f t="shared" si="9"/>
        <v>325000</v>
      </c>
    </row>
    <row r="113" spans="1:20" x14ac:dyDescent="0.35">
      <c r="A113" t="s">
        <v>126</v>
      </c>
      <c r="B113" t="s">
        <v>1321</v>
      </c>
      <c r="C113" t="s">
        <v>1890</v>
      </c>
      <c r="D113" t="s">
        <v>2594</v>
      </c>
      <c r="E113" t="s">
        <v>3671</v>
      </c>
      <c r="F113">
        <v>54</v>
      </c>
      <c r="G113" t="s">
        <v>3675</v>
      </c>
      <c r="H113" t="s">
        <v>3681</v>
      </c>
      <c r="I113" t="s">
        <v>3686</v>
      </c>
      <c r="J113" t="s">
        <v>3693</v>
      </c>
      <c r="K113" t="s">
        <v>3696</v>
      </c>
      <c r="L113">
        <v>5</v>
      </c>
      <c r="M113">
        <v>65000</v>
      </c>
      <c r="N113" t="s">
        <v>3703</v>
      </c>
      <c r="O113" t="s">
        <v>3707</v>
      </c>
      <c r="P113" s="2">
        <f t="shared" si="5"/>
        <v>45739</v>
      </c>
      <c r="Q113" t="str">
        <f t="shared" si="6"/>
        <v>Prerak Wadhwa</v>
      </c>
      <c r="R113" t="str">
        <f t="shared" si="7"/>
        <v>Kolkata</v>
      </c>
      <c r="S113" t="str">
        <f t="shared" si="8"/>
        <v>West Bengal</v>
      </c>
      <c r="T113">
        <f t="shared" si="9"/>
        <v>325000</v>
      </c>
    </row>
    <row r="114" spans="1:20" x14ac:dyDescent="0.35">
      <c r="A114" t="s">
        <v>127</v>
      </c>
      <c r="B114" t="s">
        <v>1322</v>
      </c>
      <c r="C114" t="s">
        <v>1891</v>
      </c>
      <c r="D114" t="s">
        <v>2595</v>
      </c>
      <c r="E114" t="s">
        <v>3672</v>
      </c>
      <c r="F114">
        <v>57</v>
      </c>
      <c r="G114" t="s">
        <v>3678</v>
      </c>
      <c r="H114" t="s">
        <v>3683</v>
      </c>
      <c r="I114" t="s">
        <v>3686</v>
      </c>
      <c r="J114" t="s">
        <v>3693</v>
      </c>
      <c r="K114" t="s">
        <v>3696</v>
      </c>
      <c r="L114">
        <v>3</v>
      </c>
      <c r="M114">
        <v>65000</v>
      </c>
      <c r="N114" t="s">
        <v>3704</v>
      </c>
      <c r="O114" t="s">
        <v>3707</v>
      </c>
      <c r="P114" s="2">
        <f t="shared" si="5"/>
        <v>45819</v>
      </c>
      <c r="Q114" t="str">
        <f t="shared" si="6"/>
        <v>Jivin Karnik</v>
      </c>
      <c r="R114" t="str">
        <f t="shared" si="7"/>
        <v>Hyderabad</v>
      </c>
      <c r="S114" t="str">
        <f t="shared" si="8"/>
        <v>Telangana</v>
      </c>
      <c r="T114">
        <f t="shared" si="9"/>
        <v>195000</v>
      </c>
    </row>
    <row r="115" spans="1:20" x14ac:dyDescent="0.35">
      <c r="A115" t="s">
        <v>128</v>
      </c>
      <c r="B115" t="s">
        <v>1323</v>
      </c>
      <c r="C115" t="s">
        <v>1892</v>
      </c>
      <c r="D115" t="s">
        <v>2596</v>
      </c>
      <c r="E115" t="s">
        <v>3671</v>
      </c>
      <c r="F115">
        <v>53</v>
      </c>
      <c r="G115" t="s">
        <v>3674</v>
      </c>
      <c r="H115" t="s">
        <v>3680</v>
      </c>
      <c r="I115" t="s">
        <v>3687</v>
      </c>
      <c r="J115" t="s">
        <v>3693</v>
      </c>
      <c r="K115" t="s">
        <v>3697</v>
      </c>
      <c r="L115">
        <v>5</v>
      </c>
      <c r="M115">
        <v>5000</v>
      </c>
      <c r="N115" t="s">
        <v>3702</v>
      </c>
      <c r="O115" t="s">
        <v>3707</v>
      </c>
      <c r="P115" s="2">
        <f t="shared" si="5"/>
        <v>45714</v>
      </c>
      <c r="Q115" t="str">
        <f t="shared" si="6"/>
        <v>Hansh Bali</v>
      </c>
      <c r="R115" t="str">
        <f t="shared" si="7"/>
        <v>Pune</v>
      </c>
      <c r="S115" t="str">
        <f t="shared" si="8"/>
        <v>Maharashtra</v>
      </c>
      <c r="T115">
        <f t="shared" si="9"/>
        <v>25000</v>
      </c>
    </row>
    <row r="116" spans="1:20" x14ac:dyDescent="0.35">
      <c r="A116" t="s">
        <v>129</v>
      </c>
      <c r="B116" t="s">
        <v>1324</v>
      </c>
      <c r="C116" t="s">
        <v>1893</v>
      </c>
      <c r="D116" t="s">
        <v>2597</v>
      </c>
      <c r="E116" t="s">
        <v>3672</v>
      </c>
      <c r="F116">
        <v>37</v>
      </c>
      <c r="G116" t="s">
        <v>3679</v>
      </c>
      <c r="H116" t="s">
        <v>3684</v>
      </c>
      <c r="I116" t="s">
        <v>3691</v>
      </c>
      <c r="J116" t="s">
        <v>3693</v>
      </c>
      <c r="K116" t="s">
        <v>3696</v>
      </c>
      <c r="L116">
        <v>1</v>
      </c>
      <c r="M116">
        <v>58000</v>
      </c>
      <c r="N116" t="s">
        <v>3704</v>
      </c>
      <c r="O116" t="s">
        <v>3707</v>
      </c>
      <c r="P116" s="2">
        <f t="shared" si="5"/>
        <v>45851</v>
      </c>
      <c r="Q116" t="str">
        <f t="shared" si="6"/>
        <v>Riaan Gill</v>
      </c>
      <c r="R116" t="str">
        <f t="shared" si="7"/>
        <v>Bengaluru</v>
      </c>
      <c r="S116" t="str">
        <f t="shared" si="8"/>
        <v>Karnataka</v>
      </c>
      <c r="T116">
        <f t="shared" si="9"/>
        <v>58000</v>
      </c>
    </row>
    <row r="117" spans="1:20" x14ac:dyDescent="0.35">
      <c r="A117" t="s">
        <v>130</v>
      </c>
      <c r="B117" t="s">
        <v>1325</v>
      </c>
      <c r="C117" t="s">
        <v>1894</v>
      </c>
      <c r="D117" t="s">
        <v>2598</v>
      </c>
      <c r="E117" t="s">
        <v>3672</v>
      </c>
      <c r="F117">
        <v>21</v>
      </c>
      <c r="G117" t="s">
        <v>3679</v>
      </c>
      <c r="H117" t="s">
        <v>3684</v>
      </c>
      <c r="I117" t="s">
        <v>3687</v>
      </c>
      <c r="J117" t="s">
        <v>3693</v>
      </c>
      <c r="K117" t="s">
        <v>3697</v>
      </c>
      <c r="L117">
        <v>3</v>
      </c>
      <c r="M117">
        <v>5000</v>
      </c>
      <c r="N117" t="s">
        <v>3702</v>
      </c>
      <c r="O117" t="s">
        <v>3705</v>
      </c>
      <c r="P117" s="2">
        <f t="shared" si="5"/>
        <v>45838</v>
      </c>
      <c r="Q117" t="str">
        <f t="shared" si="6"/>
        <v>Dishani Balakrishnan</v>
      </c>
      <c r="R117" t="str">
        <f t="shared" si="7"/>
        <v>Bengaluru</v>
      </c>
      <c r="S117" t="str">
        <f t="shared" si="8"/>
        <v>Karnataka</v>
      </c>
      <c r="T117">
        <f t="shared" si="9"/>
        <v>15000</v>
      </c>
    </row>
    <row r="118" spans="1:20" x14ac:dyDescent="0.35">
      <c r="A118" t="s">
        <v>131</v>
      </c>
      <c r="B118" t="s">
        <v>1274</v>
      </c>
      <c r="C118" t="s">
        <v>1895</v>
      </c>
      <c r="D118" t="s">
        <v>2599</v>
      </c>
      <c r="E118" t="s">
        <v>3671</v>
      </c>
      <c r="F118">
        <v>26</v>
      </c>
      <c r="G118" t="s">
        <v>3676</v>
      </c>
      <c r="H118" t="s">
        <v>3682</v>
      </c>
      <c r="I118" t="s">
        <v>3686</v>
      </c>
      <c r="J118" t="s">
        <v>3693</v>
      </c>
      <c r="K118" t="s">
        <v>3696</v>
      </c>
      <c r="L118">
        <v>3</v>
      </c>
      <c r="M118">
        <v>65000</v>
      </c>
      <c r="N118" t="s">
        <v>3701</v>
      </c>
      <c r="O118" t="s">
        <v>3705</v>
      </c>
      <c r="P118" s="2">
        <f t="shared" si="5"/>
        <v>45666</v>
      </c>
      <c r="Q118" t="str">
        <f t="shared" si="6"/>
        <v>Onkar Korpal</v>
      </c>
      <c r="R118" t="str">
        <f t="shared" si="7"/>
        <v>Chennai</v>
      </c>
      <c r="S118" t="str">
        <f t="shared" si="8"/>
        <v>Tamil Nadu</v>
      </c>
      <c r="T118">
        <f t="shared" si="9"/>
        <v>195000</v>
      </c>
    </row>
    <row r="119" spans="1:20" x14ac:dyDescent="0.35">
      <c r="A119" t="s">
        <v>132</v>
      </c>
      <c r="B119" t="s">
        <v>1326</v>
      </c>
      <c r="C119" t="s">
        <v>1896</v>
      </c>
      <c r="D119" t="s">
        <v>2600</v>
      </c>
      <c r="E119" t="s">
        <v>3672</v>
      </c>
      <c r="F119">
        <v>59</v>
      </c>
      <c r="G119" t="s">
        <v>3676</v>
      </c>
      <c r="H119" t="s">
        <v>3682</v>
      </c>
      <c r="I119" t="s">
        <v>3690</v>
      </c>
      <c r="J119" t="s">
        <v>3693</v>
      </c>
      <c r="K119" t="s">
        <v>3700</v>
      </c>
      <c r="L119">
        <v>1</v>
      </c>
      <c r="M119">
        <v>72000</v>
      </c>
      <c r="N119" t="s">
        <v>3701</v>
      </c>
      <c r="O119" t="s">
        <v>3705</v>
      </c>
      <c r="P119" s="2">
        <f t="shared" si="5"/>
        <v>45760</v>
      </c>
      <c r="Q119" t="str">
        <f t="shared" si="6"/>
        <v>Himmat Buch</v>
      </c>
      <c r="R119" t="str">
        <f t="shared" si="7"/>
        <v>Chennai</v>
      </c>
      <c r="S119" t="str">
        <f t="shared" si="8"/>
        <v>Tamil Nadu</v>
      </c>
      <c r="T119">
        <f t="shared" si="9"/>
        <v>72000</v>
      </c>
    </row>
    <row r="120" spans="1:20" x14ac:dyDescent="0.35">
      <c r="A120" t="s">
        <v>133</v>
      </c>
      <c r="B120" t="s">
        <v>1327</v>
      </c>
      <c r="C120" t="s">
        <v>1897</v>
      </c>
      <c r="D120" t="s">
        <v>2601</v>
      </c>
      <c r="E120" t="s">
        <v>3672</v>
      </c>
      <c r="F120">
        <v>45</v>
      </c>
      <c r="G120" t="s">
        <v>3678</v>
      </c>
      <c r="H120" t="s">
        <v>3683</v>
      </c>
      <c r="I120" t="s">
        <v>3687</v>
      </c>
      <c r="J120" t="s">
        <v>3693</v>
      </c>
      <c r="K120" t="s">
        <v>3697</v>
      </c>
      <c r="L120">
        <v>2</v>
      </c>
      <c r="M120">
        <v>5000</v>
      </c>
      <c r="N120" t="s">
        <v>3704</v>
      </c>
      <c r="O120" t="s">
        <v>3707</v>
      </c>
      <c r="P120" s="2">
        <f t="shared" si="5"/>
        <v>45898</v>
      </c>
      <c r="Q120" t="str">
        <f t="shared" si="6"/>
        <v>Damini Mammen</v>
      </c>
      <c r="R120" t="str">
        <f t="shared" si="7"/>
        <v>Hyderabad</v>
      </c>
      <c r="S120" t="str">
        <f t="shared" si="8"/>
        <v>Telangana</v>
      </c>
      <c r="T120">
        <f t="shared" si="9"/>
        <v>10000</v>
      </c>
    </row>
    <row r="121" spans="1:20" x14ac:dyDescent="0.35">
      <c r="A121" t="s">
        <v>134</v>
      </c>
      <c r="B121" t="s">
        <v>1307</v>
      </c>
      <c r="C121" t="s">
        <v>1898</v>
      </c>
      <c r="D121" t="s">
        <v>2602</v>
      </c>
      <c r="E121" t="s">
        <v>3672</v>
      </c>
      <c r="F121">
        <v>44</v>
      </c>
      <c r="G121" t="s">
        <v>3676</v>
      </c>
      <c r="H121" t="s">
        <v>3682</v>
      </c>
      <c r="I121" t="s">
        <v>3685</v>
      </c>
      <c r="J121" t="s">
        <v>3692</v>
      </c>
      <c r="K121" t="s">
        <v>3695</v>
      </c>
      <c r="L121">
        <v>3</v>
      </c>
      <c r="M121">
        <v>12000</v>
      </c>
      <c r="N121" t="s">
        <v>3701</v>
      </c>
      <c r="O121" t="s">
        <v>3706</v>
      </c>
      <c r="P121" s="2">
        <f t="shared" si="5"/>
        <v>45965</v>
      </c>
      <c r="Q121" t="str">
        <f t="shared" si="6"/>
        <v>Trisha Bawa</v>
      </c>
      <c r="R121" t="str">
        <f t="shared" si="7"/>
        <v>Chennai</v>
      </c>
      <c r="S121" t="str">
        <f t="shared" si="8"/>
        <v>Tamil Nadu</v>
      </c>
      <c r="T121">
        <f t="shared" si="9"/>
        <v>36000</v>
      </c>
    </row>
    <row r="122" spans="1:20" x14ac:dyDescent="0.35">
      <c r="A122" t="s">
        <v>135</v>
      </c>
      <c r="B122" t="s">
        <v>1328</v>
      </c>
      <c r="C122" t="s">
        <v>1899</v>
      </c>
      <c r="D122" t="s">
        <v>2603</v>
      </c>
      <c r="E122" t="s">
        <v>3672</v>
      </c>
      <c r="F122">
        <v>29</v>
      </c>
      <c r="G122" t="s">
        <v>3679</v>
      </c>
      <c r="H122" t="s">
        <v>3684</v>
      </c>
      <c r="I122" t="s">
        <v>3686</v>
      </c>
      <c r="J122" t="s">
        <v>3693</v>
      </c>
      <c r="K122" t="s">
        <v>3696</v>
      </c>
      <c r="L122">
        <v>2</v>
      </c>
      <c r="M122">
        <v>65000</v>
      </c>
      <c r="N122" t="s">
        <v>3701</v>
      </c>
      <c r="O122" t="s">
        <v>3705</v>
      </c>
      <c r="P122" s="2">
        <f t="shared" si="5"/>
        <v>45851</v>
      </c>
      <c r="Q122" t="str">
        <f t="shared" si="6"/>
        <v>Sumer Thaman</v>
      </c>
      <c r="R122" t="str">
        <f t="shared" si="7"/>
        <v>Bengaluru</v>
      </c>
      <c r="S122" t="str">
        <f t="shared" si="8"/>
        <v>Karnataka</v>
      </c>
      <c r="T122">
        <f t="shared" si="9"/>
        <v>130000</v>
      </c>
    </row>
    <row r="123" spans="1:20" x14ac:dyDescent="0.35">
      <c r="A123" t="s">
        <v>136</v>
      </c>
      <c r="B123" t="s">
        <v>1329</v>
      </c>
      <c r="C123" t="s">
        <v>1900</v>
      </c>
      <c r="D123" t="s">
        <v>2604</v>
      </c>
      <c r="E123" t="s">
        <v>3671</v>
      </c>
      <c r="F123">
        <v>58</v>
      </c>
      <c r="G123" t="s">
        <v>3674</v>
      </c>
      <c r="H123" t="s">
        <v>3680</v>
      </c>
      <c r="I123" t="s">
        <v>3691</v>
      </c>
      <c r="J123" t="s">
        <v>3693</v>
      </c>
      <c r="K123" t="s">
        <v>3696</v>
      </c>
      <c r="L123">
        <v>2</v>
      </c>
      <c r="M123">
        <v>58000</v>
      </c>
      <c r="N123" t="s">
        <v>3704</v>
      </c>
      <c r="O123" t="s">
        <v>3706</v>
      </c>
      <c r="P123" s="2">
        <f t="shared" si="5"/>
        <v>46023</v>
      </c>
      <c r="Q123" t="str">
        <f t="shared" si="6"/>
        <v>Madhav Dugal</v>
      </c>
      <c r="R123" t="str">
        <f t="shared" si="7"/>
        <v>Pune</v>
      </c>
      <c r="S123" t="str">
        <f t="shared" si="8"/>
        <v>Maharashtra</v>
      </c>
      <c r="T123">
        <f t="shared" si="9"/>
        <v>116000</v>
      </c>
    </row>
    <row r="124" spans="1:20" x14ac:dyDescent="0.35">
      <c r="A124" t="s">
        <v>137</v>
      </c>
      <c r="B124" t="s">
        <v>1330</v>
      </c>
      <c r="C124" t="s">
        <v>1901</v>
      </c>
      <c r="D124" t="s">
        <v>2605</v>
      </c>
      <c r="E124" t="s">
        <v>3671</v>
      </c>
      <c r="F124">
        <v>20</v>
      </c>
      <c r="G124" t="s">
        <v>3679</v>
      </c>
      <c r="H124" t="s">
        <v>3684</v>
      </c>
      <c r="I124" t="s">
        <v>3685</v>
      </c>
      <c r="J124" t="s">
        <v>3692</v>
      </c>
      <c r="K124" t="s">
        <v>3695</v>
      </c>
      <c r="L124">
        <v>2</v>
      </c>
      <c r="M124">
        <v>12000</v>
      </c>
      <c r="N124" t="s">
        <v>3702</v>
      </c>
      <c r="O124" t="s">
        <v>3706</v>
      </c>
      <c r="P124" s="2">
        <f t="shared" si="5"/>
        <v>45948</v>
      </c>
      <c r="Q124" t="str">
        <f t="shared" si="6"/>
        <v>Advika Baria</v>
      </c>
      <c r="R124" t="str">
        <f t="shared" si="7"/>
        <v>Bengaluru</v>
      </c>
      <c r="S124" t="str">
        <f t="shared" si="8"/>
        <v>Karnataka</v>
      </c>
      <c r="T124">
        <f t="shared" si="9"/>
        <v>24000</v>
      </c>
    </row>
    <row r="125" spans="1:20" x14ac:dyDescent="0.35">
      <c r="A125" t="s">
        <v>138</v>
      </c>
      <c r="B125" t="s">
        <v>1331</v>
      </c>
      <c r="C125" t="s">
        <v>1870</v>
      </c>
      <c r="D125" t="s">
        <v>2606</v>
      </c>
      <c r="E125" t="s">
        <v>3671</v>
      </c>
      <c r="F125">
        <v>50</v>
      </c>
      <c r="G125" t="s">
        <v>3675</v>
      </c>
      <c r="H125" t="s">
        <v>3681</v>
      </c>
      <c r="I125" t="s">
        <v>3689</v>
      </c>
      <c r="J125" t="s">
        <v>3694</v>
      </c>
      <c r="K125" t="s">
        <v>3699</v>
      </c>
      <c r="L125">
        <v>3</v>
      </c>
      <c r="M125">
        <v>1800</v>
      </c>
      <c r="N125" t="s">
        <v>3703</v>
      </c>
      <c r="O125" t="s">
        <v>3706</v>
      </c>
      <c r="P125" s="2">
        <f t="shared" si="5"/>
        <v>45903</v>
      </c>
      <c r="Q125" t="str">
        <f t="shared" si="6"/>
        <v>Gokul Guha</v>
      </c>
      <c r="R125" t="str">
        <f t="shared" si="7"/>
        <v>Kolkata</v>
      </c>
      <c r="S125" t="str">
        <f t="shared" si="8"/>
        <v>West Bengal</v>
      </c>
      <c r="T125">
        <f t="shared" si="9"/>
        <v>5400</v>
      </c>
    </row>
    <row r="126" spans="1:20" x14ac:dyDescent="0.35">
      <c r="A126" t="s">
        <v>139</v>
      </c>
      <c r="B126" t="s">
        <v>1259</v>
      </c>
      <c r="C126" t="s">
        <v>1902</v>
      </c>
      <c r="D126" t="s">
        <v>2607</v>
      </c>
      <c r="E126" t="s">
        <v>3672</v>
      </c>
      <c r="F126">
        <v>20</v>
      </c>
      <c r="G126" t="s">
        <v>3675</v>
      </c>
      <c r="H126" t="s">
        <v>3681</v>
      </c>
      <c r="I126" t="s">
        <v>3685</v>
      </c>
      <c r="J126" t="s">
        <v>3692</v>
      </c>
      <c r="K126" t="s">
        <v>3695</v>
      </c>
      <c r="L126">
        <v>5</v>
      </c>
      <c r="M126">
        <v>12000</v>
      </c>
      <c r="N126" t="s">
        <v>3703</v>
      </c>
      <c r="O126" t="s">
        <v>3707</v>
      </c>
      <c r="P126" s="2">
        <f t="shared" si="5"/>
        <v>45924</v>
      </c>
      <c r="Q126" t="str">
        <f t="shared" si="6"/>
        <v>Ishita Behl</v>
      </c>
      <c r="R126" t="str">
        <f t="shared" si="7"/>
        <v>Kolkata</v>
      </c>
      <c r="S126" t="str">
        <f t="shared" si="8"/>
        <v>West Bengal</v>
      </c>
      <c r="T126">
        <f t="shared" si="9"/>
        <v>60000</v>
      </c>
    </row>
    <row r="127" spans="1:20" x14ac:dyDescent="0.35">
      <c r="A127" t="s">
        <v>140</v>
      </c>
      <c r="B127" t="s">
        <v>1332</v>
      </c>
      <c r="C127" t="s">
        <v>1810</v>
      </c>
      <c r="D127" t="s">
        <v>2608</v>
      </c>
      <c r="E127" t="s">
        <v>3672</v>
      </c>
      <c r="F127">
        <v>42</v>
      </c>
      <c r="G127" t="s">
        <v>3673</v>
      </c>
      <c r="H127" t="s">
        <v>3673</v>
      </c>
      <c r="I127" t="s">
        <v>3688</v>
      </c>
      <c r="J127" t="s">
        <v>3694</v>
      </c>
      <c r="K127" t="s">
        <v>3698</v>
      </c>
      <c r="L127">
        <v>4</v>
      </c>
      <c r="M127">
        <v>4500</v>
      </c>
      <c r="N127" t="s">
        <v>3702</v>
      </c>
      <c r="O127" t="s">
        <v>3705</v>
      </c>
      <c r="P127" s="2">
        <f t="shared" si="5"/>
        <v>45699</v>
      </c>
      <c r="Q127" t="str">
        <f t="shared" si="6"/>
        <v>Suhana Upadhyay</v>
      </c>
      <c r="R127" t="str">
        <f t="shared" si="7"/>
        <v>Delhi</v>
      </c>
      <c r="S127" t="str">
        <f t="shared" si="8"/>
        <v>Delhi</v>
      </c>
      <c r="T127">
        <f t="shared" si="9"/>
        <v>18000</v>
      </c>
    </row>
    <row r="128" spans="1:20" x14ac:dyDescent="0.35">
      <c r="A128" t="s">
        <v>141</v>
      </c>
      <c r="B128" t="s">
        <v>1333</v>
      </c>
      <c r="C128" t="s">
        <v>1903</v>
      </c>
      <c r="D128" t="s">
        <v>2609</v>
      </c>
      <c r="E128" t="s">
        <v>3671</v>
      </c>
      <c r="F128">
        <v>24</v>
      </c>
      <c r="G128" t="s">
        <v>3674</v>
      </c>
      <c r="H128" t="s">
        <v>3680</v>
      </c>
      <c r="I128" t="s">
        <v>3690</v>
      </c>
      <c r="J128" t="s">
        <v>3693</v>
      </c>
      <c r="K128" t="s">
        <v>3700</v>
      </c>
      <c r="L128">
        <v>3</v>
      </c>
      <c r="M128">
        <v>72000</v>
      </c>
      <c r="N128" t="s">
        <v>3702</v>
      </c>
      <c r="O128" t="s">
        <v>3706</v>
      </c>
      <c r="P128" s="2">
        <f t="shared" si="5"/>
        <v>45869</v>
      </c>
      <c r="Q128" t="str">
        <f t="shared" si="6"/>
        <v>Mannat Barad</v>
      </c>
      <c r="R128" t="str">
        <f t="shared" si="7"/>
        <v>Pune</v>
      </c>
      <c r="S128" t="str">
        <f t="shared" si="8"/>
        <v>Maharashtra</v>
      </c>
      <c r="T128">
        <f t="shared" si="9"/>
        <v>216000</v>
      </c>
    </row>
    <row r="129" spans="1:20" x14ac:dyDescent="0.35">
      <c r="A129" t="s">
        <v>142</v>
      </c>
      <c r="B129" t="s">
        <v>1334</v>
      </c>
      <c r="C129" t="s">
        <v>1904</v>
      </c>
      <c r="D129" t="s">
        <v>2610</v>
      </c>
      <c r="E129" t="s">
        <v>3672</v>
      </c>
      <c r="F129">
        <v>40</v>
      </c>
      <c r="G129" t="s">
        <v>3677</v>
      </c>
      <c r="H129" t="s">
        <v>3680</v>
      </c>
      <c r="I129" t="s">
        <v>3685</v>
      </c>
      <c r="J129" t="s">
        <v>3692</v>
      </c>
      <c r="K129" t="s">
        <v>3695</v>
      </c>
      <c r="L129">
        <v>3</v>
      </c>
      <c r="M129">
        <v>12000</v>
      </c>
      <c r="N129" t="s">
        <v>3703</v>
      </c>
      <c r="O129" t="s">
        <v>3707</v>
      </c>
      <c r="P129" s="2">
        <f t="shared" si="5"/>
        <v>45767</v>
      </c>
      <c r="Q129" t="str">
        <f t="shared" si="6"/>
        <v>Aayush Cheema</v>
      </c>
      <c r="R129" t="str">
        <f t="shared" si="7"/>
        <v>Mumbai</v>
      </c>
      <c r="S129" t="str">
        <f t="shared" si="8"/>
        <v>Maharashtra</v>
      </c>
      <c r="T129">
        <f t="shared" si="9"/>
        <v>36000</v>
      </c>
    </row>
    <row r="130" spans="1:20" x14ac:dyDescent="0.35">
      <c r="A130" t="s">
        <v>143</v>
      </c>
      <c r="B130" t="s">
        <v>1335</v>
      </c>
      <c r="C130" t="s">
        <v>1905</v>
      </c>
      <c r="D130" t="s">
        <v>2611</v>
      </c>
      <c r="E130" t="s">
        <v>3672</v>
      </c>
      <c r="F130">
        <v>18</v>
      </c>
      <c r="G130" t="s">
        <v>3673</v>
      </c>
      <c r="H130" t="s">
        <v>3673</v>
      </c>
      <c r="I130" t="s">
        <v>3687</v>
      </c>
      <c r="J130" t="s">
        <v>3693</v>
      </c>
      <c r="K130" t="s">
        <v>3697</v>
      </c>
      <c r="L130">
        <v>4</v>
      </c>
      <c r="M130">
        <v>5000</v>
      </c>
      <c r="N130" t="s">
        <v>3701</v>
      </c>
      <c r="O130" t="s">
        <v>3705</v>
      </c>
      <c r="P130" s="2">
        <f t="shared" si="5"/>
        <v>45870</v>
      </c>
      <c r="Q130" t="str">
        <f t="shared" si="6"/>
        <v>Zeeshan Tata</v>
      </c>
      <c r="R130" t="str">
        <f t="shared" si="7"/>
        <v>Delhi</v>
      </c>
      <c r="S130" t="str">
        <f t="shared" si="8"/>
        <v>Delhi</v>
      </c>
      <c r="T130">
        <f t="shared" si="9"/>
        <v>20000</v>
      </c>
    </row>
    <row r="131" spans="1:20" x14ac:dyDescent="0.35">
      <c r="A131" t="s">
        <v>144</v>
      </c>
      <c r="B131" t="s">
        <v>1336</v>
      </c>
      <c r="C131" t="s">
        <v>1906</v>
      </c>
      <c r="D131" t="s">
        <v>2612</v>
      </c>
      <c r="E131" t="s">
        <v>3672</v>
      </c>
      <c r="F131">
        <v>23</v>
      </c>
      <c r="G131" t="s">
        <v>3679</v>
      </c>
      <c r="H131" t="s">
        <v>3684</v>
      </c>
      <c r="I131" t="s">
        <v>3691</v>
      </c>
      <c r="J131" t="s">
        <v>3693</v>
      </c>
      <c r="K131" t="s">
        <v>3696</v>
      </c>
      <c r="L131">
        <v>5</v>
      </c>
      <c r="M131">
        <v>58000</v>
      </c>
      <c r="N131" t="s">
        <v>3703</v>
      </c>
      <c r="O131" t="s">
        <v>3707</v>
      </c>
      <c r="P131" s="2">
        <f t="shared" ref="P131:P194" si="10">DATEVALUE(SUBSTITUTE(B131,"/","-"))</f>
        <v>45688</v>
      </c>
      <c r="Q131" t="str">
        <f t="shared" ref="Q131:Q194" si="11">TRIM(CLEAN(D131))</f>
        <v>Advika Ganguly</v>
      </c>
      <c r="R131" t="str">
        <f t="shared" ref="R131:R194" si="12">IF(G131="","Unknown",G131)</f>
        <v>Bengaluru</v>
      </c>
      <c r="S131" t="str">
        <f t="shared" ref="S131:S194" si="13">IF(H131="","Unknown",H131)</f>
        <v>Karnataka</v>
      </c>
      <c r="T131">
        <f t="shared" ref="T131:T194" si="14">L131*M131</f>
        <v>290000</v>
      </c>
    </row>
    <row r="132" spans="1:20" x14ac:dyDescent="0.35">
      <c r="A132" t="s">
        <v>145</v>
      </c>
      <c r="B132" t="s">
        <v>1337</v>
      </c>
      <c r="C132" t="s">
        <v>1907</v>
      </c>
      <c r="D132" t="s">
        <v>2613</v>
      </c>
      <c r="E132" t="s">
        <v>3672</v>
      </c>
      <c r="F132">
        <v>34</v>
      </c>
      <c r="G132" t="s">
        <v>3676</v>
      </c>
      <c r="H132" t="s">
        <v>3682</v>
      </c>
      <c r="I132" t="s">
        <v>3689</v>
      </c>
      <c r="J132" t="s">
        <v>3694</v>
      </c>
      <c r="K132" t="s">
        <v>3699</v>
      </c>
      <c r="L132">
        <v>3</v>
      </c>
      <c r="M132">
        <v>1800</v>
      </c>
      <c r="N132" t="s">
        <v>3701</v>
      </c>
      <c r="O132" t="s">
        <v>3705</v>
      </c>
      <c r="P132" s="2">
        <f t="shared" si="10"/>
        <v>45880</v>
      </c>
      <c r="Q132" t="str">
        <f t="shared" si="11"/>
        <v>Abram Jain</v>
      </c>
      <c r="R132" t="str">
        <f t="shared" si="12"/>
        <v>Chennai</v>
      </c>
      <c r="S132" t="str">
        <f t="shared" si="13"/>
        <v>Tamil Nadu</v>
      </c>
      <c r="T132">
        <f t="shared" si="14"/>
        <v>5400</v>
      </c>
    </row>
    <row r="133" spans="1:20" x14ac:dyDescent="0.35">
      <c r="A133" t="s">
        <v>146</v>
      </c>
      <c r="B133" t="s">
        <v>1338</v>
      </c>
      <c r="C133" t="s">
        <v>1908</v>
      </c>
      <c r="D133" t="s">
        <v>2614</v>
      </c>
      <c r="E133" t="s">
        <v>3671</v>
      </c>
      <c r="F133">
        <v>45</v>
      </c>
      <c r="G133" t="s">
        <v>3678</v>
      </c>
      <c r="H133" t="s">
        <v>3683</v>
      </c>
      <c r="I133" t="s">
        <v>3687</v>
      </c>
      <c r="J133" t="s">
        <v>3693</v>
      </c>
      <c r="K133" t="s">
        <v>3697</v>
      </c>
      <c r="L133">
        <v>2</v>
      </c>
      <c r="M133">
        <v>5000</v>
      </c>
      <c r="N133" t="s">
        <v>3703</v>
      </c>
      <c r="O133" t="s">
        <v>3706</v>
      </c>
      <c r="P133" s="2">
        <f t="shared" si="10"/>
        <v>45718</v>
      </c>
      <c r="Q133" t="str">
        <f t="shared" si="11"/>
        <v>Nayantara Sanghvi</v>
      </c>
      <c r="R133" t="str">
        <f t="shared" si="12"/>
        <v>Hyderabad</v>
      </c>
      <c r="S133" t="str">
        <f t="shared" si="13"/>
        <v>Telangana</v>
      </c>
      <c r="T133">
        <f t="shared" si="14"/>
        <v>10000</v>
      </c>
    </row>
    <row r="134" spans="1:20" x14ac:dyDescent="0.35">
      <c r="A134" t="s">
        <v>147</v>
      </c>
      <c r="B134" t="s">
        <v>1339</v>
      </c>
      <c r="C134" t="s">
        <v>1886</v>
      </c>
      <c r="D134" t="s">
        <v>2615</v>
      </c>
      <c r="E134" t="s">
        <v>3671</v>
      </c>
      <c r="F134">
        <v>26</v>
      </c>
      <c r="G134" t="s">
        <v>3679</v>
      </c>
      <c r="H134" t="s">
        <v>3684</v>
      </c>
      <c r="I134" t="s">
        <v>3688</v>
      </c>
      <c r="J134" t="s">
        <v>3694</v>
      </c>
      <c r="K134" t="s">
        <v>3698</v>
      </c>
      <c r="L134">
        <v>3</v>
      </c>
      <c r="M134">
        <v>4500</v>
      </c>
      <c r="N134" t="s">
        <v>3702</v>
      </c>
      <c r="O134" t="s">
        <v>3705</v>
      </c>
      <c r="P134" s="2">
        <f t="shared" si="10"/>
        <v>45919</v>
      </c>
      <c r="Q134" t="str">
        <f t="shared" si="11"/>
        <v>Yuvaan Brar</v>
      </c>
      <c r="R134" t="str">
        <f t="shared" si="12"/>
        <v>Bengaluru</v>
      </c>
      <c r="S134" t="str">
        <f t="shared" si="13"/>
        <v>Karnataka</v>
      </c>
      <c r="T134">
        <f t="shared" si="14"/>
        <v>13500</v>
      </c>
    </row>
    <row r="135" spans="1:20" x14ac:dyDescent="0.35">
      <c r="A135" t="s">
        <v>148</v>
      </c>
      <c r="B135" t="s">
        <v>1340</v>
      </c>
      <c r="C135" t="s">
        <v>1909</v>
      </c>
      <c r="D135" t="s">
        <v>2616</v>
      </c>
      <c r="E135" t="s">
        <v>3671</v>
      </c>
      <c r="F135">
        <v>37</v>
      </c>
      <c r="G135" t="s">
        <v>3674</v>
      </c>
      <c r="H135" t="s">
        <v>3680</v>
      </c>
      <c r="I135" t="s">
        <v>3691</v>
      </c>
      <c r="J135" t="s">
        <v>3693</v>
      </c>
      <c r="K135" t="s">
        <v>3696</v>
      </c>
      <c r="L135">
        <v>2</v>
      </c>
      <c r="M135">
        <v>58000</v>
      </c>
      <c r="N135" t="s">
        <v>3703</v>
      </c>
      <c r="O135" t="s">
        <v>3707</v>
      </c>
      <c r="P135" s="2">
        <f t="shared" si="10"/>
        <v>46024</v>
      </c>
      <c r="Q135" t="str">
        <f t="shared" si="11"/>
        <v>Tiya Kamdar</v>
      </c>
      <c r="R135" t="str">
        <f t="shared" si="12"/>
        <v>Pune</v>
      </c>
      <c r="S135" t="str">
        <f t="shared" si="13"/>
        <v>Maharashtra</v>
      </c>
      <c r="T135">
        <f t="shared" si="14"/>
        <v>116000</v>
      </c>
    </row>
    <row r="136" spans="1:20" x14ac:dyDescent="0.35">
      <c r="A136" t="s">
        <v>149</v>
      </c>
      <c r="B136" t="s">
        <v>1339</v>
      </c>
      <c r="C136" t="s">
        <v>1910</v>
      </c>
      <c r="D136" t="s">
        <v>2617</v>
      </c>
      <c r="E136" t="s">
        <v>3671</v>
      </c>
      <c r="F136">
        <v>33</v>
      </c>
      <c r="G136" t="s">
        <v>3679</v>
      </c>
      <c r="H136" t="s">
        <v>3684</v>
      </c>
      <c r="I136" t="s">
        <v>3688</v>
      </c>
      <c r="J136" t="s">
        <v>3694</v>
      </c>
      <c r="K136" t="s">
        <v>3698</v>
      </c>
      <c r="L136">
        <v>2</v>
      </c>
      <c r="M136">
        <v>4500</v>
      </c>
      <c r="N136" t="s">
        <v>3704</v>
      </c>
      <c r="O136" t="s">
        <v>3707</v>
      </c>
      <c r="P136" s="2">
        <f t="shared" si="10"/>
        <v>45919</v>
      </c>
      <c r="Q136" t="str">
        <f t="shared" si="11"/>
        <v>Vritika Joshi</v>
      </c>
      <c r="R136" t="str">
        <f t="shared" si="12"/>
        <v>Bengaluru</v>
      </c>
      <c r="S136" t="str">
        <f t="shared" si="13"/>
        <v>Karnataka</v>
      </c>
      <c r="T136">
        <f t="shared" si="14"/>
        <v>9000</v>
      </c>
    </row>
    <row r="137" spans="1:20" x14ac:dyDescent="0.35">
      <c r="A137" t="s">
        <v>150</v>
      </c>
      <c r="B137" t="s">
        <v>1341</v>
      </c>
      <c r="C137" t="s">
        <v>1911</v>
      </c>
      <c r="D137" t="s">
        <v>2618</v>
      </c>
      <c r="E137" t="s">
        <v>3672</v>
      </c>
      <c r="F137">
        <v>47</v>
      </c>
      <c r="G137" t="s">
        <v>3676</v>
      </c>
      <c r="H137" t="s">
        <v>3682</v>
      </c>
      <c r="I137" t="s">
        <v>3686</v>
      </c>
      <c r="J137" t="s">
        <v>3693</v>
      </c>
      <c r="K137" t="s">
        <v>3696</v>
      </c>
      <c r="L137">
        <v>1</v>
      </c>
      <c r="M137">
        <v>65000</v>
      </c>
      <c r="N137" t="s">
        <v>3701</v>
      </c>
      <c r="O137" t="s">
        <v>3706</v>
      </c>
      <c r="P137" s="2">
        <f t="shared" si="10"/>
        <v>45950</v>
      </c>
      <c r="Q137" t="str">
        <f t="shared" si="11"/>
        <v>Krish Dubey</v>
      </c>
      <c r="R137" t="str">
        <f t="shared" si="12"/>
        <v>Chennai</v>
      </c>
      <c r="S137" t="str">
        <f t="shared" si="13"/>
        <v>Tamil Nadu</v>
      </c>
      <c r="T137">
        <f t="shared" si="14"/>
        <v>65000</v>
      </c>
    </row>
    <row r="138" spans="1:20" x14ac:dyDescent="0.35">
      <c r="A138" t="s">
        <v>151</v>
      </c>
      <c r="B138" t="s">
        <v>1342</v>
      </c>
      <c r="C138" t="s">
        <v>1912</v>
      </c>
      <c r="D138" t="s">
        <v>2619</v>
      </c>
      <c r="E138" t="s">
        <v>3672</v>
      </c>
      <c r="F138">
        <v>43</v>
      </c>
      <c r="G138" t="s">
        <v>3674</v>
      </c>
      <c r="H138" t="s">
        <v>3680</v>
      </c>
      <c r="I138" t="s">
        <v>3685</v>
      </c>
      <c r="J138" t="s">
        <v>3692</v>
      </c>
      <c r="K138" t="s">
        <v>3695</v>
      </c>
      <c r="L138">
        <v>4</v>
      </c>
      <c r="M138">
        <v>12000</v>
      </c>
      <c r="N138" t="s">
        <v>3704</v>
      </c>
      <c r="O138" t="s">
        <v>3706</v>
      </c>
      <c r="P138" s="2">
        <f t="shared" si="10"/>
        <v>45683</v>
      </c>
      <c r="Q138" t="str">
        <f t="shared" si="11"/>
        <v>Suhana Chana</v>
      </c>
      <c r="R138" t="str">
        <f t="shared" si="12"/>
        <v>Pune</v>
      </c>
      <c r="S138" t="str">
        <f t="shared" si="13"/>
        <v>Maharashtra</v>
      </c>
      <c r="T138">
        <f t="shared" si="14"/>
        <v>48000</v>
      </c>
    </row>
    <row r="139" spans="1:20" x14ac:dyDescent="0.35">
      <c r="A139" t="s">
        <v>152</v>
      </c>
      <c r="B139" t="s">
        <v>1343</v>
      </c>
      <c r="C139" t="s">
        <v>1913</v>
      </c>
      <c r="D139" t="s">
        <v>2620</v>
      </c>
      <c r="E139" t="s">
        <v>3671</v>
      </c>
      <c r="F139">
        <v>51</v>
      </c>
      <c r="G139" t="s">
        <v>3673</v>
      </c>
      <c r="H139" t="s">
        <v>3673</v>
      </c>
      <c r="I139" t="s">
        <v>3687</v>
      </c>
      <c r="J139" t="s">
        <v>3693</v>
      </c>
      <c r="K139" t="s">
        <v>3697</v>
      </c>
      <c r="L139">
        <v>3</v>
      </c>
      <c r="M139">
        <v>5000</v>
      </c>
      <c r="N139" t="s">
        <v>3704</v>
      </c>
      <c r="O139" t="s">
        <v>3707</v>
      </c>
      <c r="P139" s="2">
        <f t="shared" si="10"/>
        <v>45709</v>
      </c>
      <c r="Q139" t="str">
        <f t="shared" si="11"/>
        <v>Ishaan Mangat</v>
      </c>
      <c r="R139" t="str">
        <f t="shared" si="12"/>
        <v>Delhi</v>
      </c>
      <c r="S139" t="str">
        <f t="shared" si="13"/>
        <v>Delhi</v>
      </c>
      <c r="T139">
        <f t="shared" si="14"/>
        <v>15000</v>
      </c>
    </row>
    <row r="140" spans="1:20" x14ac:dyDescent="0.35">
      <c r="A140" t="s">
        <v>153</v>
      </c>
      <c r="B140" t="s">
        <v>1344</v>
      </c>
      <c r="C140" t="s">
        <v>1914</v>
      </c>
      <c r="D140" t="s">
        <v>2621</v>
      </c>
      <c r="E140" t="s">
        <v>3672</v>
      </c>
      <c r="F140">
        <v>43</v>
      </c>
      <c r="G140" t="s">
        <v>3677</v>
      </c>
      <c r="H140" t="s">
        <v>3680</v>
      </c>
      <c r="I140" t="s">
        <v>3686</v>
      </c>
      <c r="J140" t="s">
        <v>3693</v>
      </c>
      <c r="K140" t="s">
        <v>3696</v>
      </c>
      <c r="L140">
        <v>4</v>
      </c>
      <c r="M140">
        <v>65000</v>
      </c>
      <c r="N140" t="s">
        <v>3702</v>
      </c>
      <c r="O140" t="s">
        <v>3706</v>
      </c>
      <c r="P140" s="2">
        <f t="shared" si="10"/>
        <v>45905</v>
      </c>
      <c r="Q140" t="str">
        <f t="shared" si="11"/>
        <v>Shanaya Deshpande</v>
      </c>
      <c r="R140" t="str">
        <f t="shared" si="12"/>
        <v>Mumbai</v>
      </c>
      <c r="S140" t="str">
        <f t="shared" si="13"/>
        <v>Maharashtra</v>
      </c>
      <c r="T140">
        <f t="shared" si="14"/>
        <v>260000</v>
      </c>
    </row>
    <row r="141" spans="1:20" x14ac:dyDescent="0.35">
      <c r="A141" t="s">
        <v>154</v>
      </c>
      <c r="B141" t="s">
        <v>1345</v>
      </c>
      <c r="C141" t="s">
        <v>1915</v>
      </c>
      <c r="D141" t="s">
        <v>2622</v>
      </c>
      <c r="E141" t="s">
        <v>3672</v>
      </c>
      <c r="F141">
        <v>30</v>
      </c>
      <c r="G141" t="s">
        <v>3676</v>
      </c>
      <c r="H141" t="s">
        <v>3682</v>
      </c>
      <c r="I141" t="s">
        <v>3687</v>
      </c>
      <c r="J141" t="s">
        <v>3693</v>
      </c>
      <c r="K141" t="s">
        <v>3697</v>
      </c>
      <c r="L141">
        <v>3</v>
      </c>
      <c r="M141">
        <v>5000</v>
      </c>
      <c r="N141" t="s">
        <v>3701</v>
      </c>
      <c r="O141" t="s">
        <v>3706</v>
      </c>
      <c r="P141" s="2">
        <f t="shared" si="10"/>
        <v>45926</v>
      </c>
      <c r="Q141" t="str">
        <f t="shared" si="11"/>
        <v>Charvi Soni</v>
      </c>
      <c r="R141" t="str">
        <f t="shared" si="12"/>
        <v>Chennai</v>
      </c>
      <c r="S141" t="str">
        <f t="shared" si="13"/>
        <v>Tamil Nadu</v>
      </c>
      <c r="T141">
        <f t="shared" si="14"/>
        <v>15000</v>
      </c>
    </row>
    <row r="142" spans="1:20" x14ac:dyDescent="0.35">
      <c r="A142" t="s">
        <v>155</v>
      </c>
      <c r="B142" t="s">
        <v>1346</v>
      </c>
      <c r="C142" t="s">
        <v>1916</v>
      </c>
      <c r="D142" t="s">
        <v>2623</v>
      </c>
      <c r="E142" t="s">
        <v>3671</v>
      </c>
      <c r="F142">
        <v>51</v>
      </c>
      <c r="G142" t="s">
        <v>3678</v>
      </c>
      <c r="H142" t="s">
        <v>3683</v>
      </c>
      <c r="I142" t="s">
        <v>3691</v>
      </c>
      <c r="J142" t="s">
        <v>3693</v>
      </c>
      <c r="K142" t="s">
        <v>3696</v>
      </c>
      <c r="L142">
        <v>4</v>
      </c>
      <c r="M142">
        <v>58000</v>
      </c>
      <c r="N142" t="s">
        <v>3702</v>
      </c>
      <c r="O142" t="s">
        <v>3707</v>
      </c>
      <c r="P142" s="2">
        <f t="shared" si="10"/>
        <v>45841</v>
      </c>
      <c r="Q142" t="str">
        <f t="shared" si="11"/>
        <v>Dhanuk Chandra</v>
      </c>
      <c r="R142" t="str">
        <f t="shared" si="12"/>
        <v>Hyderabad</v>
      </c>
      <c r="S142" t="str">
        <f t="shared" si="13"/>
        <v>Telangana</v>
      </c>
      <c r="T142">
        <f t="shared" si="14"/>
        <v>232000</v>
      </c>
    </row>
    <row r="143" spans="1:20" x14ac:dyDescent="0.35">
      <c r="A143" t="s">
        <v>156</v>
      </c>
      <c r="B143" t="s">
        <v>1271</v>
      </c>
      <c r="C143" t="s">
        <v>1907</v>
      </c>
      <c r="D143" t="s">
        <v>2624</v>
      </c>
      <c r="E143" t="s">
        <v>3672</v>
      </c>
      <c r="F143">
        <v>24</v>
      </c>
      <c r="G143" t="s">
        <v>3675</v>
      </c>
      <c r="H143" t="s">
        <v>3681</v>
      </c>
      <c r="I143" t="s">
        <v>3689</v>
      </c>
      <c r="J143" t="s">
        <v>3694</v>
      </c>
      <c r="K143" t="s">
        <v>3699</v>
      </c>
      <c r="L143">
        <v>2</v>
      </c>
      <c r="M143">
        <v>1800</v>
      </c>
      <c r="N143" t="s">
        <v>3701</v>
      </c>
      <c r="O143" t="s">
        <v>3706</v>
      </c>
      <c r="P143" s="2">
        <f t="shared" si="10"/>
        <v>45751</v>
      </c>
      <c r="Q143" t="str">
        <f t="shared" si="11"/>
        <v>Samiha Mani</v>
      </c>
      <c r="R143" t="str">
        <f t="shared" si="12"/>
        <v>Kolkata</v>
      </c>
      <c r="S143" t="str">
        <f t="shared" si="13"/>
        <v>West Bengal</v>
      </c>
      <c r="T143">
        <f t="shared" si="14"/>
        <v>3600</v>
      </c>
    </row>
    <row r="144" spans="1:20" x14ac:dyDescent="0.35">
      <c r="A144" t="s">
        <v>157</v>
      </c>
      <c r="B144" t="s">
        <v>1347</v>
      </c>
      <c r="C144" t="s">
        <v>1917</v>
      </c>
      <c r="D144" t="s">
        <v>2625</v>
      </c>
      <c r="E144" t="s">
        <v>3671</v>
      </c>
      <c r="F144">
        <v>32</v>
      </c>
      <c r="G144" t="s">
        <v>3673</v>
      </c>
      <c r="H144" t="s">
        <v>3673</v>
      </c>
      <c r="I144" t="s">
        <v>3686</v>
      </c>
      <c r="J144" t="s">
        <v>3693</v>
      </c>
      <c r="K144" t="s">
        <v>3696</v>
      </c>
      <c r="L144">
        <v>1</v>
      </c>
      <c r="M144">
        <v>65000</v>
      </c>
      <c r="N144" t="s">
        <v>3703</v>
      </c>
      <c r="O144" t="s">
        <v>3706</v>
      </c>
      <c r="P144" s="2">
        <f t="shared" si="10"/>
        <v>45744</v>
      </c>
      <c r="Q144" t="str">
        <f t="shared" si="11"/>
        <v>Ivan Rout</v>
      </c>
      <c r="R144" t="str">
        <f t="shared" si="12"/>
        <v>Delhi</v>
      </c>
      <c r="S144" t="str">
        <f t="shared" si="13"/>
        <v>Delhi</v>
      </c>
      <c r="T144">
        <f t="shared" si="14"/>
        <v>65000</v>
      </c>
    </row>
    <row r="145" spans="1:20" x14ac:dyDescent="0.35">
      <c r="A145" t="s">
        <v>158</v>
      </c>
      <c r="B145" t="s">
        <v>1348</v>
      </c>
      <c r="C145" t="s">
        <v>1918</v>
      </c>
      <c r="D145" t="s">
        <v>2626</v>
      </c>
      <c r="E145" t="s">
        <v>3671</v>
      </c>
      <c r="F145">
        <v>54</v>
      </c>
      <c r="G145" t="s">
        <v>3673</v>
      </c>
      <c r="H145" t="s">
        <v>3673</v>
      </c>
      <c r="I145" t="s">
        <v>3689</v>
      </c>
      <c r="J145" t="s">
        <v>3694</v>
      </c>
      <c r="K145" t="s">
        <v>3699</v>
      </c>
      <c r="L145">
        <v>5</v>
      </c>
      <c r="M145">
        <v>1800</v>
      </c>
      <c r="N145" t="s">
        <v>3704</v>
      </c>
      <c r="O145" t="s">
        <v>3707</v>
      </c>
      <c r="P145" s="2">
        <f t="shared" si="10"/>
        <v>46025</v>
      </c>
      <c r="Q145" t="str">
        <f t="shared" si="11"/>
        <v>Dishani Yadav</v>
      </c>
      <c r="R145" t="str">
        <f t="shared" si="12"/>
        <v>Delhi</v>
      </c>
      <c r="S145" t="str">
        <f t="shared" si="13"/>
        <v>Delhi</v>
      </c>
      <c r="T145">
        <f t="shared" si="14"/>
        <v>9000</v>
      </c>
    </row>
    <row r="146" spans="1:20" x14ac:dyDescent="0.35">
      <c r="A146" t="s">
        <v>159</v>
      </c>
      <c r="B146" t="s">
        <v>1349</v>
      </c>
      <c r="C146" t="s">
        <v>1919</v>
      </c>
      <c r="D146" t="s">
        <v>2627</v>
      </c>
      <c r="E146" t="s">
        <v>3671</v>
      </c>
      <c r="F146">
        <v>54</v>
      </c>
      <c r="G146" t="s">
        <v>3673</v>
      </c>
      <c r="H146" t="s">
        <v>3673</v>
      </c>
      <c r="I146" t="s">
        <v>3691</v>
      </c>
      <c r="J146" t="s">
        <v>3693</v>
      </c>
      <c r="K146" t="s">
        <v>3696</v>
      </c>
      <c r="L146">
        <v>1</v>
      </c>
      <c r="M146">
        <v>58000</v>
      </c>
      <c r="N146" t="s">
        <v>3704</v>
      </c>
      <c r="O146" t="s">
        <v>3707</v>
      </c>
      <c r="P146" s="2">
        <f t="shared" si="10"/>
        <v>45758</v>
      </c>
      <c r="Q146" t="str">
        <f t="shared" si="11"/>
        <v>Sara Sane</v>
      </c>
      <c r="R146" t="str">
        <f t="shared" si="12"/>
        <v>Delhi</v>
      </c>
      <c r="S146" t="str">
        <f t="shared" si="13"/>
        <v>Delhi</v>
      </c>
      <c r="T146">
        <f t="shared" si="14"/>
        <v>58000</v>
      </c>
    </row>
    <row r="147" spans="1:20" x14ac:dyDescent="0.35">
      <c r="A147" t="s">
        <v>160</v>
      </c>
      <c r="B147" t="s">
        <v>1350</v>
      </c>
      <c r="C147" t="s">
        <v>1920</v>
      </c>
      <c r="D147" t="s">
        <v>2628</v>
      </c>
      <c r="E147" t="s">
        <v>3671</v>
      </c>
      <c r="F147">
        <v>53</v>
      </c>
      <c r="G147" t="s">
        <v>3679</v>
      </c>
      <c r="H147" t="s">
        <v>3684</v>
      </c>
      <c r="I147" t="s">
        <v>3686</v>
      </c>
      <c r="J147" t="s">
        <v>3693</v>
      </c>
      <c r="K147" t="s">
        <v>3696</v>
      </c>
      <c r="L147">
        <v>2</v>
      </c>
      <c r="M147">
        <v>65000</v>
      </c>
      <c r="N147" t="s">
        <v>3704</v>
      </c>
      <c r="O147" t="s">
        <v>3705</v>
      </c>
      <c r="P147" s="2">
        <f t="shared" si="10"/>
        <v>45951</v>
      </c>
      <c r="Q147" t="str">
        <f t="shared" si="11"/>
        <v>Alisha Sahota</v>
      </c>
      <c r="R147" t="str">
        <f t="shared" si="12"/>
        <v>Bengaluru</v>
      </c>
      <c r="S147" t="str">
        <f t="shared" si="13"/>
        <v>Karnataka</v>
      </c>
      <c r="T147">
        <f t="shared" si="14"/>
        <v>130000</v>
      </c>
    </row>
    <row r="148" spans="1:20" x14ac:dyDescent="0.35">
      <c r="A148" t="s">
        <v>161</v>
      </c>
      <c r="B148" t="s">
        <v>1351</v>
      </c>
      <c r="C148" t="s">
        <v>1921</v>
      </c>
      <c r="D148" t="s">
        <v>2629</v>
      </c>
      <c r="E148" t="s">
        <v>3671</v>
      </c>
      <c r="F148">
        <v>22</v>
      </c>
      <c r="G148" t="s">
        <v>3676</v>
      </c>
      <c r="H148" t="s">
        <v>3682</v>
      </c>
      <c r="I148" t="s">
        <v>3685</v>
      </c>
      <c r="J148" t="s">
        <v>3692</v>
      </c>
      <c r="K148" t="s">
        <v>3695</v>
      </c>
      <c r="L148">
        <v>3</v>
      </c>
      <c r="M148">
        <v>12000</v>
      </c>
      <c r="N148" t="s">
        <v>3704</v>
      </c>
      <c r="O148" t="s">
        <v>3706</v>
      </c>
      <c r="P148" s="2">
        <f t="shared" si="10"/>
        <v>45728</v>
      </c>
      <c r="Q148" t="str">
        <f t="shared" si="11"/>
        <v>Ivan Balay</v>
      </c>
      <c r="R148" t="str">
        <f t="shared" si="12"/>
        <v>Chennai</v>
      </c>
      <c r="S148" t="str">
        <f t="shared" si="13"/>
        <v>Tamil Nadu</v>
      </c>
      <c r="T148">
        <f t="shared" si="14"/>
        <v>36000</v>
      </c>
    </row>
    <row r="149" spans="1:20" x14ac:dyDescent="0.35">
      <c r="A149" t="s">
        <v>162</v>
      </c>
      <c r="B149" t="s">
        <v>1352</v>
      </c>
      <c r="C149" t="s">
        <v>1922</v>
      </c>
      <c r="D149" t="s">
        <v>2630</v>
      </c>
      <c r="E149" t="s">
        <v>3671</v>
      </c>
      <c r="F149">
        <v>53</v>
      </c>
      <c r="G149" t="s">
        <v>3677</v>
      </c>
      <c r="H149" t="s">
        <v>3680</v>
      </c>
      <c r="I149" t="s">
        <v>3690</v>
      </c>
      <c r="J149" t="s">
        <v>3693</v>
      </c>
      <c r="K149" t="s">
        <v>3700</v>
      </c>
      <c r="L149">
        <v>5</v>
      </c>
      <c r="M149">
        <v>72000</v>
      </c>
      <c r="N149" t="s">
        <v>3704</v>
      </c>
      <c r="O149" t="s">
        <v>3706</v>
      </c>
      <c r="P149" s="2">
        <f t="shared" si="10"/>
        <v>45753</v>
      </c>
      <c r="Q149" t="str">
        <f t="shared" si="11"/>
        <v>Divij Mander</v>
      </c>
      <c r="R149" t="str">
        <f t="shared" si="12"/>
        <v>Mumbai</v>
      </c>
      <c r="S149" t="str">
        <f t="shared" si="13"/>
        <v>Maharashtra</v>
      </c>
      <c r="T149">
        <f t="shared" si="14"/>
        <v>360000</v>
      </c>
    </row>
    <row r="150" spans="1:20" x14ac:dyDescent="0.35">
      <c r="A150" t="s">
        <v>163</v>
      </c>
      <c r="B150" t="s">
        <v>1353</v>
      </c>
      <c r="C150" t="s">
        <v>1923</v>
      </c>
      <c r="D150" t="s">
        <v>2631</v>
      </c>
      <c r="E150" t="s">
        <v>3672</v>
      </c>
      <c r="F150">
        <v>19</v>
      </c>
      <c r="G150" t="s">
        <v>3675</v>
      </c>
      <c r="H150" t="s">
        <v>3681</v>
      </c>
      <c r="I150" t="s">
        <v>3688</v>
      </c>
      <c r="J150" t="s">
        <v>3694</v>
      </c>
      <c r="K150" t="s">
        <v>3698</v>
      </c>
      <c r="L150">
        <v>1</v>
      </c>
      <c r="M150">
        <v>4500</v>
      </c>
      <c r="N150" t="s">
        <v>3703</v>
      </c>
      <c r="O150" t="s">
        <v>3707</v>
      </c>
      <c r="P150" s="2">
        <f t="shared" si="10"/>
        <v>45773</v>
      </c>
      <c r="Q150" t="str">
        <f t="shared" si="11"/>
        <v>Mishti Sabharwal</v>
      </c>
      <c r="R150" t="str">
        <f t="shared" si="12"/>
        <v>Kolkata</v>
      </c>
      <c r="S150" t="str">
        <f t="shared" si="13"/>
        <v>West Bengal</v>
      </c>
      <c r="T150">
        <f t="shared" si="14"/>
        <v>4500</v>
      </c>
    </row>
    <row r="151" spans="1:20" x14ac:dyDescent="0.35">
      <c r="A151" t="s">
        <v>164</v>
      </c>
      <c r="B151" t="s">
        <v>1354</v>
      </c>
      <c r="C151" t="s">
        <v>1924</v>
      </c>
      <c r="D151" t="s">
        <v>2632</v>
      </c>
      <c r="E151" t="s">
        <v>3672</v>
      </c>
      <c r="F151">
        <v>54</v>
      </c>
      <c r="G151" t="s">
        <v>3673</v>
      </c>
      <c r="H151" t="s">
        <v>3673</v>
      </c>
      <c r="I151" t="s">
        <v>3691</v>
      </c>
      <c r="J151" t="s">
        <v>3693</v>
      </c>
      <c r="K151" t="s">
        <v>3696</v>
      </c>
      <c r="L151">
        <v>1</v>
      </c>
      <c r="M151">
        <v>58000</v>
      </c>
      <c r="N151" t="s">
        <v>3701</v>
      </c>
      <c r="O151" t="s">
        <v>3705</v>
      </c>
      <c r="P151" s="2">
        <f t="shared" si="10"/>
        <v>45733</v>
      </c>
      <c r="Q151" t="str">
        <f t="shared" si="11"/>
        <v>Mamooty Wadhwa</v>
      </c>
      <c r="R151" t="str">
        <f t="shared" si="12"/>
        <v>Delhi</v>
      </c>
      <c r="S151" t="str">
        <f t="shared" si="13"/>
        <v>Delhi</v>
      </c>
      <c r="T151">
        <f t="shared" si="14"/>
        <v>58000</v>
      </c>
    </row>
    <row r="152" spans="1:20" x14ac:dyDescent="0.35">
      <c r="A152" t="s">
        <v>165</v>
      </c>
      <c r="B152" t="s">
        <v>1322</v>
      </c>
      <c r="C152" t="s">
        <v>1925</v>
      </c>
      <c r="D152" t="s">
        <v>2633</v>
      </c>
      <c r="E152" t="s">
        <v>3671</v>
      </c>
      <c r="F152">
        <v>22</v>
      </c>
      <c r="G152" t="s">
        <v>3673</v>
      </c>
      <c r="H152" t="s">
        <v>3673</v>
      </c>
      <c r="I152" t="s">
        <v>3688</v>
      </c>
      <c r="J152" t="s">
        <v>3694</v>
      </c>
      <c r="K152" t="s">
        <v>3698</v>
      </c>
      <c r="L152">
        <v>1</v>
      </c>
      <c r="M152">
        <v>4500</v>
      </c>
      <c r="N152" t="s">
        <v>3701</v>
      </c>
      <c r="O152" t="s">
        <v>3707</v>
      </c>
      <c r="P152" s="2">
        <f t="shared" si="10"/>
        <v>45819</v>
      </c>
      <c r="Q152" t="str">
        <f t="shared" si="11"/>
        <v>Shray Hora</v>
      </c>
      <c r="R152" t="str">
        <f t="shared" si="12"/>
        <v>Delhi</v>
      </c>
      <c r="S152" t="str">
        <f t="shared" si="13"/>
        <v>Delhi</v>
      </c>
      <c r="T152">
        <f t="shared" si="14"/>
        <v>4500</v>
      </c>
    </row>
    <row r="153" spans="1:20" x14ac:dyDescent="0.35">
      <c r="A153" t="s">
        <v>166</v>
      </c>
      <c r="B153" t="s">
        <v>1355</v>
      </c>
      <c r="C153" t="s">
        <v>1926</v>
      </c>
      <c r="D153" t="s">
        <v>2634</v>
      </c>
      <c r="E153" t="s">
        <v>3671</v>
      </c>
      <c r="F153">
        <v>25</v>
      </c>
      <c r="G153" t="s">
        <v>3679</v>
      </c>
      <c r="H153" t="s">
        <v>3684</v>
      </c>
      <c r="I153" t="s">
        <v>3687</v>
      </c>
      <c r="J153" t="s">
        <v>3693</v>
      </c>
      <c r="K153" t="s">
        <v>3697</v>
      </c>
      <c r="L153">
        <v>3</v>
      </c>
      <c r="M153">
        <v>5000</v>
      </c>
      <c r="N153" t="s">
        <v>3702</v>
      </c>
      <c r="O153" t="s">
        <v>3707</v>
      </c>
      <c r="P153" s="2">
        <f t="shared" si="10"/>
        <v>45875</v>
      </c>
      <c r="Q153" t="str">
        <f t="shared" si="11"/>
        <v>Emir Mangat</v>
      </c>
      <c r="R153" t="str">
        <f t="shared" si="12"/>
        <v>Bengaluru</v>
      </c>
      <c r="S153" t="str">
        <f t="shared" si="13"/>
        <v>Karnataka</v>
      </c>
      <c r="T153">
        <f t="shared" si="14"/>
        <v>15000</v>
      </c>
    </row>
    <row r="154" spans="1:20" x14ac:dyDescent="0.35">
      <c r="A154" t="s">
        <v>167</v>
      </c>
      <c r="B154" t="s">
        <v>1356</v>
      </c>
      <c r="C154" t="s">
        <v>1851</v>
      </c>
      <c r="D154" t="s">
        <v>2635</v>
      </c>
      <c r="E154" t="s">
        <v>3672</v>
      </c>
      <c r="F154">
        <v>35</v>
      </c>
      <c r="G154" t="s">
        <v>3678</v>
      </c>
      <c r="H154" t="s">
        <v>3683</v>
      </c>
      <c r="I154" t="s">
        <v>3689</v>
      </c>
      <c r="J154" t="s">
        <v>3694</v>
      </c>
      <c r="K154" t="s">
        <v>3699</v>
      </c>
      <c r="L154">
        <v>5</v>
      </c>
      <c r="M154">
        <v>1800</v>
      </c>
      <c r="N154" t="s">
        <v>3703</v>
      </c>
      <c r="O154" t="s">
        <v>3706</v>
      </c>
      <c r="P154" s="2">
        <f t="shared" si="10"/>
        <v>45723</v>
      </c>
      <c r="Q154" t="str">
        <f t="shared" si="11"/>
        <v>Samarth Khatri</v>
      </c>
      <c r="R154" t="str">
        <f t="shared" si="12"/>
        <v>Hyderabad</v>
      </c>
      <c r="S154" t="str">
        <f t="shared" si="13"/>
        <v>Telangana</v>
      </c>
      <c r="T154">
        <f t="shared" si="14"/>
        <v>9000</v>
      </c>
    </row>
    <row r="155" spans="1:20" x14ac:dyDescent="0.35">
      <c r="A155" t="s">
        <v>168</v>
      </c>
      <c r="B155" t="s">
        <v>1233</v>
      </c>
      <c r="C155" t="s">
        <v>1927</v>
      </c>
      <c r="D155" t="s">
        <v>2636</v>
      </c>
      <c r="E155" t="s">
        <v>3672</v>
      </c>
      <c r="F155">
        <v>24</v>
      </c>
      <c r="G155" t="s">
        <v>3673</v>
      </c>
      <c r="H155" t="s">
        <v>3673</v>
      </c>
      <c r="I155" t="s">
        <v>3688</v>
      </c>
      <c r="J155" t="s">
        <v>3694</v>
      </c>
      <c r="K155" t="s">
        <v>3698</v>
      </c>
      <c r="L155">
        <v>4</v>
      </c>
      <c r="M155">
        <v>4500</v>
      </c>
      <c r="N155" t="s">
        <v>3703</v>
      </c>
      <c r="O155" t="s">
        <v>3707</v>
      </c>
      <c r="P155" s="2">
        <f t="shared" si="10"/>
        <v>45921</v>
      </c>
      <c r="Q155" t="str">
        <f t="shared" si="11"/>
        <v>Sana Jayaraman</v>
      </c>
      <c r="R155" t="str">
        <f t="shared" si="12"/>
        <v>Delhi</v>
      </c>
      <c r="S155" t="str">
        <f t="shared" si="13"/>
        <v>Delhi</v>
      </c>
      <c r="T155">
        <f t="shared" si="14"/>
        <v>18000</v>
      </c>
    </row>
    <row r="156" spans="1:20" x14ac:dyDescent="0.35">
      <c r="A156" t="s">
        <v>169</v>
      </c>
      <c r="B156" t="s">
        <v>1357</v>
      </c>
      <c r="C156" t="s">
        <v>1918</v>
      </c>
      <c r="D156" t="s">
        <v>2637</v>
      </c>
      <c r="E156" t="s">
        <v>3671</v>
      </c>
      <c r="F156">
        <v>38</v>
      </c>
      <c r="G156" t="s">
        <v>3677</v>
      </c>
      <c r="H156" t="s">
        <v>3680</v>
      </c>
      <c r="I156" t="s">
        <v>3688</v>
      </c>
      <c r="J156" t="s">
        <v>3694</v>
      </c>
      <c r="K156" t="s">
        <v>3698</v>
      </c>
      <c r="L156">
        <v>2</v>
      </c>
      <c r="M156">
        <v>4500</v>
      </c>
      <c r="N156" t="s">
        <v>3703</v>
      </c>
      <c r="O156" t="s">
        <v>3706</v>
      </c>
      <c r="P156" s="2">
        <f t="shared" si="10"/>
        <v>45812</v>
      </c>
      <c r="Q156" t="str">
        <f t="shared" si="11"/>
        <v>Hunar Dhar</v>
      </c>
      <c r="R156" t="str">
        <f t="shared" si="12"/>
        <v>Mumbai</v>
      </c>
      <c r="S156" t="str">
        <f t="shared" si="13"/>
        <v>Maharashtra</v>
      </c>
      <c r="T156">
        <f t="shared" si="14"/>
        <v>9000</v>
      </c>
    </row>
    <row r="157" spans="1:20" x14ac:dyDescent="0.35">
      <c r="A157" t="s">
        <v>170</v>
      </c>
      <c r="B157" t="s">
        <v>1358</v>
      </c>
      <c r="C157" t="s">
        <v>1928</v>
      </c>
      <c r="D157" t="s">
        <v>2638</v>
      </c>
      <c r="E157" t="s">
        <v>3672</v>
      </c>
      <c r="F157">
        <v>55</v>
      </c>
      <c r="G157" t="s">
        <v>3674</v>
      </c>
      <c r="H157" t="s">
        <v>3680</v>
      </c>
      <c r="I157" t="s">
        <v>3686</v>
      </c>
      <c r="J157" t="s">
        <v>3693</v>
      </c>
      <c r="K157" t="s">
        <v>3696</v>
      </c>
      <c r="L157">
        <v>5</v>
      </c>
      <c r="M157">
        <v>65000</v>
      </c>
      <c r="N157" t="s">
        <v>3701</v>
      </c>
      <c r="O157" t="s">
        <v>3705</v>
      </c>
      <c r="P157" s="2">
        <f t="shared" si="10"/>
        <v>45824</v>
      </c>
      <c r="Q157" t="str">
        <f t="shared" si="11"/>
        <v>Farhan Keer</v>
      </c>
      <c r="R157" t="str">
        <f t="shared" si="12"/>
        <v>Pune</v>
      </c>
      <c r="S157" t="str">
        <f t="shared" si="13"/>
        <v>Maharashtra</v>
      </c>
      <c r="T157">
        <f t="shared" si="14"/>
        <v>325000</v>
      </c>
    </row>
    <row r="158" spans="1:20" x14ac:dyDescent="0.35">
      <c r="A158" t="s">
        <v>171</v>
      </c>
      <c r="B158" t="s">
        <v>1223</v>
      </c>
      <c r="C158" t="s">
        <v>1929</v>
      </c>
      <c r="D158" t="s">
        <v>2639</v>
      </c>
      <c r="E158" t="s">
        <v>3672</v>
      </c>
      <c r="F158">
        <v>31</v>
      </c>
      <c r="G158" t="s">
        <v>3674</v>
      </c>
      <c r="H158" t="s">
        <v>3680</v>
      </c>
      <c r="I158" t="s">
        <v>3688</v>
      </c>
      <c r="J158" t="s">
        <v>3694</v>
      </c>
      <c r="K158" t="s">
        <v>3698</v>
      </c>
      <c r="L158">
        <v>5</v>
      </c>
      <c r="M158">
        <v>4500</v>
      </c>
      <c r="N158" t="s">
        <v>3702</v>
      </c>
      <c r="O158" t="s">
        <v>3707</v>
      </c>
      <c r="P158" s="2">
        <f t="shared" si="10"/>
        <v>45789</v>
      </c>
      <c r="Q158" t="str">
        <f t="shared" si="11"/>
        <v>Lakshay Rastogi</v>
      </c>
      <c r="R158" t="str">
        <f t="shared" si="12"/>
        <v>Pune</v>
      </c>
      <c r="S158" t="str">
        <f t="shared" si="13"/>
        <v>Maharashtra</v>
      </c>
      <c r="T158">
        <f t="shared" si="14"/>
        <v>22500</v>
      </c>
    </row>
    <row r="159" spans="1:20" x14ac:dyDescent="0.35">
      <c r="A159" t="s">
        <v>172</v>
      </c>
      <c r="B159" t="s">
        <v>1359</v>
      </c>
      <c r="C159" t="s">
        <v>1930</v>
      </c>
      <c r="D159" t="s">
        <v>2640</v>
      </c>
      <c r="E159" t="s">
        <v>3672</v>
      </c>
      <c r="F159">
        <v>35</v>
      </c>
      <c r="G159" t="s">
        <v>3676</v>
      </c>
      <c r="H159" t="s">
        <v>3682</v>
      </c>
      <c r="I159" t="s">
        <v>3687</v>
      </c>
      <c r="J159" t="s">
        <v>3693</v>
      </c>
      <c r="K159" t="s">
        <v>3697</v>
      </c>
      <c r="L159">
        <v>4</v>
      </c>
      <c r="M159">
        <v>5000</v>
      </c>
      <c r="N159" t="s">
        <v>3702</v>
      </c>
      <c r="O159" t="s">
        <v>3707</v>
      </c>
      <c r="P159" s="2">
        <f t="shared" si="10"/>
        <v>45843</v>
      </c>
      <c r="Q159" t="str">
        <f t="shared" si="11"/>
        <v>Riaan Loyal</v>
      </c>
      <c r="R159" t="str">
        <f t="shared" si="12"/>
        <v>Chennai</v>
      </c>
      <c r="S159" t="str">
        <f t="shared" si="13"/>
        <v>Tamil Nadu</v>
      </c>
      <c r="T159">
        <f t="shared" si="14"/>
        <v>20000</v>
      </c>
    </row>
    <row r="160" spans="1:20" x14ac:dyDescent="0.35">
      <c r="A160" t="s">
        <v>173</v>
      </c>
      <c r="B160" t="s">
        <v>1360</v>
      </c>
      <c r="C160" t="s">
        <v>1931</v>
      </c>
      <c r="D160" t="s">
        <v>2641</v>
      </c>
      <c r="E160" t="s">
        <v>3672</v>
      </c>
      <c r="F160">
        <v>56</v>
      </c>
      <c r="G160" t="s">
        <v>3677</v>
      </c>
      <c r="H160" t="s">
        <v>3680</v>
      </c>
      <c r="I160" t="s">
        <v>3688</v>
      </c>
      <c r="J160" t="s">
        <v>3694</v>
      </c>
      <c r="K160" t="s">
        <v>3698</v>
      </c>
      <c r="L160">
        <v>2</v>
      </c>
      <c r="M160">
        <v>4500</v>
      </c>
      <c r="N160" t="s">
        <v>3704</v>
      </c>
      <c r="O160" t="s">
        <v>3705</v>
      </c>
      <c r="P160" s="2">
        <f t="shared" si="10"/>
        <v>45809</v>
      </c>
      <c r="Q160" t="str">
        <f t="shared" si="11"/>
        <v>Sahil Baria</v>
      </c>
      <c r="R160" t="str">
        <f t="shared" si="12"/>
        <v>Mumbai</v>
      </c>
      <c r="S160" t="str">
        <f t="shared" si="13"/>
        <v>Maharashtra</v>
      </c>
      <c r="T160">
        <f t="shared" si="14"/>
        <v>9000</v>
      </c>
    </row>
    <row r="161" spans="1:20" x14ac:dyDescent="0.35">
      <c r="A161" t="s">
        <v>174</v>
      </c>
      <c r="B161" t="s">
        <v>1361</v>
      </c>
      <c r="C161" t="s">
        <v>1844</v>
      </c>
      <c r="D161" t="s">
        <v>2642</v>
      </c>
      <c r="E161" t="s">
        <v>3671</v>
      </c>
      <c r="F161">
        <v>21</v>
      </c>
      <c r="G161" t="s">
        <v>3678</v>
      </c>
      <c r="H161" t="s">
        <v>3683</v>
      </c>
      <c r="I161" t="s">
        <v>3689</v>
      </c>
      <c r="J161" t="s">
        <v>3694</v>
      </c>
      <c r="K161" t="s">
        <v>3699</v>
      </c>
      <c r="L161">
        <v>3</v>
      </c>
      <c r="M161">
        <v>1800</v>
      </c>
      <c r="N161" t="s">
        <v>3703</v>
      </c>
      <c r="O161" t="s">
        <v>3707</v>
      </c>
      <c r="P161" s="2">
        <f t="shared" si="10"/>
        <v>45984</v>
      </c>
      <c r="Q161" t="str">
        <f t="shared" si="11"/>
        <v>Akarsh Subramaniam</v>
      </c>
      <c r="R161" t="str">
        <f t="shared" si="12"/>
        <v>Hyderabad</v>
      </c>
      <c r="S161" t="str">
        <f t="shared" si="13"/>
        <v>Telangana</v>
      </c>
      <c r="T161">
        <f t="shared" si="14"/>
        <v>5400</v>
      </c>
    </row>
    <row r="162" spans="1:20" x14ac:dyDescent="0.35">
      <c r="A162" t="s">
        <v>175</v>
      </c>
      <c r="B162" t="s">
        <v>1355</v>
      </c>
      <c r="C162" t="s">
        <v>1932</v>
      </c>
      <c r="D162" t="s">
        <v>2643</v>
      </c>
      <c r="E162" t="s">
        <v>3671</v>
      </c>
      <c r="F162">
        <v>23</v>
      </c>
      <c r="G162" t="s">
        <v>3679</v>
      </c>
      <c r="H162" t="s">
        <v>3684</v>
      </c>
      <c r="I162" t="s">
        <v>3691</v>
      </c>
      <c r="J162" t="s">
        <v>3693</v>
      </c>
      <c r="K162" t="s">
        <v>3696</v>
      </c>
      <c r="L162">
        <v>2</v>
      </c>
      <c r="M162">
        <v>58000</v>
      </c>
      <c r="N162" t="s">
        <v>3702</v>
      </c>
      <c r="O162" t="s">
        <v>3706</v>
      </c>
      <c r="P162" s="2">
        <f t="shared" si="10"/>
        <v>45875</v>
      </c>
      <c r="Q162" t="str">
        <f t="shared" si="11"/>
        <v>Oorja Upadhyay</v>
      </c>
      <c r="R162" t="str">
        <f t="shared" si="12"/>
        <v>Bengaluru</v>
      </c>
      <c r="S162" t="str">
        <f t="shared" si="13"/>
        <v>Karnataka</v>
      </c>
      <c r="T162">
        <f t="shared" si="14"/>
        <v>116000</v>
      </c>
    </row>
    <row r="163" spans="1:20" x14ac:dyDescent="0.35">
      <c r="A163" t="s">
        <v>176</v>
      </c>
      <c r="B163" t="s">
        <v>1362</v>
      </c>
      <c r="C163" t="s">
        <v>1933</v>
      </c>
      <c r="D163" t="s">
        <v>2644</v>
      </c>
      <c r="E163" t="s">
        <v>3672</v>
      </c>
      <c r="F163">
        <v>23</v>
      </c>
      <c r="G163" t="s">
        <v>3678</v>
      </c>
      <c r="H163" t="s">
        <v>3683</v>
      </c>
      <c r="I163" t="s">
        <v>3691</v>
      </c>
      <c r="J163" t="s">
        <v>3693</v>
      </c>
      <c r="K163" t="s">
        <v>3696</v>
      </c>
      <c r="L163">
        <v>2</v>
      </c>
      <c r="M163">
        <v>58000</v>
      </c>
      <c r="N163" t="s">
        <v>3701</v>
      </c>
      <c r="O163" t="s">
        <v>3705</v>
      </c>
      <c r="P163" s="2">
        <f t="shared" si="10"/>
        <v>45674</v>
      </c>
      <c r="Q163" t="str">
        <f t="shared" si="11"/>
        <v>Advika Kala</v>
      </c>
      <c r="R163" t="str">
        <f t="shared" si="12"/>
        <v>Hyderabad</v>
      </c>
      <c r="S163" t="str">
        <f t="shared" si="13"/>
        <v>Telangana</v>
      </c>
      <c r="T163">
        <f t="shared" si="14"/>
        <v>116000</v>
      </c>
    </row>
    <row r="164" spans="1:20" x14ac:dyDescent="0.35">
      <c r="A164" t="s">
        <v>177</v>
      </c>
      <c r="B164" t="s">
        <v>1363</v>
      </c>
      <c r="C164" t="s">
        <v>1934</v>
      </c>
      <c r="D164" t="s">
        <v>2645</v>
      </c>
      <c r="E164" t="s">
        <v>3672</v>
      </c>
      <c r="F164">
        <v>26</v>
      </c>
      <c r="G164" t="s">
        <v>3676</v>
      </c>
      <c r="H164" t="s">
        <v>3682</v>
      </c>
      <c r="I164" t="s">
        <v>3691</v>
      </c>
      <c r="J164" t="s">
        <v>3693</v>
      </c>
      <c r="K164" t="s">
        <v>3696</v>
      </c>
      <c r="L164">
        <v>4</v>
      </c>
      <c r="M164">
        <v>58000</v>
      </c>
      <c r="N164" t="s">
        <v>3704</v>
      </c>
      <c r="O164" t="s">
        <v>3705</v>
      </c>
      <c r="P164" s="2">
        <f t="shared" si="10"/>
        <v>45830</v>
      </c>
      <c r="Q164" t="str">
        <f t="shared" si="11"/>
        <v>Kanav Upadhyay</v>
      </c>
      <c r="R164" t="str">
        <f t="shared" si="12"/>
        <v>Chennai</v>
      </c>
      <c r="S164" t="str">
        <f t="shared" si="13"/>
        <v>Tamil Nadu</v>
      </c>
      <c r="T164">
        <f t="shared" si="14"/>
        <v>232000</v>
      </c>
    </row>
    <row r="165" spans="1:20" x14ac:dyDescent="0.35">
      <c r="A165" t="s">
        <v>178</v>
      </c>
      <c r="B165" t="s">
        <v>1364</v>
      </c>
      <c r="C165" t="s">
        <v>1796</v>
      </c>
      <c r="D165" t="s">
        <v>2646</v>
      </c>
      <c r="E165" t="s">
        <v>3671</v>
      </c>
      <c r="F165">
        <v>23</v>
      </c>
      <c r="G165" t="s">
        <v>3677</v>
      </c>
      <c r="H165" t="s">
        <v>3680</v>
      </c>
      <c r="I165" t="s">
        <v>3691</v>
      </c>
      <c r="J165" t="s">
        <v>3693</v>
      </c>
      <c r="K165" t="s">
        <v>3696</v>
      </c>
      <c r="L165">
        <v>5</v>
      </c>
      <c r="M165">
        <v>58000</v>
      </c>
      <c r="N165" t="s">
        <v>3702</v>
      </c>
      <c r="O165" t="s">
        <v>3707</v>
      </c>
      <c r="P165" s="2">
        <f t="shared" si="10"/>
        <v>45939</v>
      </c>
      <c r="Q165" t="str">
        <f t="shared" si="11"/>
        <v>Madhup Chad</v>
      </c>
      <c r="R165" t="str">
        <f t="shared" si="12"/>
        <v>Mumbai</v>
      </c>
      <c r="S165" t="str">
        <f t="shared" si="13"/>
        <v>Maharashtra</v>
      </c>
      <c r="T165">
        <f t="shared" si="14"/>
        <v>290000</v>
      </c>
    </row>
    <row r="166" spans="1:20" x14ac:dyDescent="0.35">
      <c r="A166" t="s">
        <v>179</v>
      </c>
      <c r="B166" t="s">
        <v>1365</v>
      </c>
      <c r="C166" t="s">
        <v>1842</v>
      </c>
      <c r="D166" t="s">
        <v>2647</v>
      </c>
      <c r="E166" t="s">
        <v>3671</v>
      </c>
      <c r="F166">
        <v>22</v>
      </c>
      <c r="G166" t="s">
        <v>3677</v>
      </c>
      <c r="H166" t="s">
        <v>3680</v>
      </c>
      <c r="I166" t="s">
        <v>3685</v>
      </c>
      <c r="J166" t="s">
        <v>3692</v>
      </c>
      <c r="K166" t="s">
        <v>3695</v>
      </c>
      <c r="L166">
        <v>3</v>
      </c>
      <c r="M166">
        <v>12000</v>
      </c>
      <c r="N166" t="s">
        <v>3703</v>
      </c>
      <c r="O166" t="s">
        <v>3706</v>
      </c>
      <c r="P166" s="2">
        <f t="shared" si="10"/>
        <v>45981</v>
      </c>
      <c r="Q166" t="str">
        <f t="shared" si="11"/>
        <v>Seher Rajagopalan</v>
      </c>
      <c r="R166" t="str">
        <f t="shared" si="12"/>
        <v>Mumbai</v>
      </c>
      <c r="S166" t="str">
        <f t="shared" si="13"/>
        <v>Maharashtra</v>
      </c>
      <c r="T166">
        <f t="shared" si="14"/>
        <v>36000</v>
      </c>
    </row>
    <row r="167" spans="1:20" x14ac:dyDescent="0.35">
      <c r="A167" t="s">
        <v>180</v>
      </c>
      <c r="B167" t="s">
        <v>1366</v>
      </c>
      <c r="C167" t="s">
        <v>1829</v>
      </c>
      <c r="D167" t="s">
        <v>2648</v>
      </c>
      <c r="E167" t="s">
        <v>3671</v>
      </c>
      <c r="F167">
        <v>36</v>
      </c>
      <c r="G167" t="s">
        <v>3674</v>
      </c>
      <c r="H167" t="s">
        <v>3680</v>
      </c>
      <c r="I167" t="s">
        <v>3685</v>
      </c>
      <c r="J167" t="s">
        <v>3692</v>
      </c>
      <c r="K167" t="s">
        <v>3695</v>
      </c>
      <c r="L167">
        <v>3</v>
      </c>
      <c r="M167">
        <v>12000</v>
      </c>
      <c r="N167" t="s">
        <v>3704</v>
      </c>
      <c r="O167" t="s">
        <v>3705</v>
      </c>
      <c r="P167" s="2">
        <f t="shared" si="10"/>
        <v>45760</v>
      </c>
      <c r="Q167" t="str">
        <f t="shared" si="11"/>
        <v>Nishith Chandra</v>
      </c>
      <c r="R167" t="str">
        <f t="shared" si="12"/>
        <v>Pune</v>
      </c>
      <c r="S167" t="str">
        <f t="shared" si="13"/>
        <v>Maharashtra</v>
      </c>
      <c r="T167">
        <f t="shared" si="14"/>
        <v>36000</v>
      </c>
    </row>
    <row r="168" spans="1:20" x14ac:dyDescent="0.35">
      <c r="A168" t="s">
        <v>181</v>
      </c>
      <c r="B168" t="s">
        <v>1367</v>
      </c>
      <c r="C168" t="s">
        <v>1935</v>
      </c>
      <c r="D168" t="s">
        <v>2649</v>
      </c>
      <c r="E168" t="s">
        <v>3672</v>
      </c>
      <c r="F168">
        <v>27</v>
      </c>
      <c r="G168" t="s">
        <v>3679</v>
      </c>
      <c r="H168" t="s">
        <v>3684</v>
      </c>
      <c r="I168" t="s">
        <v>3689</v>
      </c>
      <c r="J168" t="s">
        <v>3694</v>
      </c>
      <c r="K168" t="s">
        <v>3699</v>
      </c>
      <c r="L168">
        <v>1</v>
      </c>
      <c r="M168">
        <v>1800</v>
      </c>
      <c r="N168" t="s">
        <v>3703</v>
      </c>
      <c r="O168" t="s">
        <v>3706</v>
      </c>
      <c r="P168" s="2">
        <f t="shared" si="10"/>
        <v>45713</v>
      </c>
      <c r="Q168" t="str">
        <f t="shared" si="11"/>
        <v>Shamik Kapadia</v>
      </c>
      <c r="R168" t="str">
        <f t="shared" si="12"/>
        <v>Bengaluru</v>
      </c>
      <c r="S168" t="str">
        <f t="shared" si="13"/>
        <v>Karnataka</v>
      </c>
      <c r="T168">
        <f t="shared" si="14"/>
        <v>1800</v>
      </c>
    </row>
    <row r="169" spans="1:20" x14ac:dyDescent="0.35">
      <c r="A169" t="s">
        <v>182</v>
      </c>
      <c r="B169" t="s">
        <v>1368</v>
      </c>
      <c r="C169" t="s">
        <v>1936</v>
      </c>
      <c r="D169" t="s">
        <v>2650</v>
      </c>
      <c r="E169" t="s">
        <v>3671</v>
      </c>
      <c r="F169">
        <v>43</v>
      </c>
      <c r="G169" t="s">
        <v>3677</v>
      </c>
      <c r="H169" t="s">
        <v>3680</v>
      </c>
      <c r="I169" t="s">
        <v>3687</v>
      </c>
      <c r="J169" t="s">
        <v>3693</v>
      </c>
      <c r="K169" t="s">
        <v>3697</v>
      </c>
      <c r="L169">
        <v>5</v>
      </c>
      <c r="M169">
        <v>5000</v>
      </c>
      <c r="N169" t="s">
        <v>3701</v>
      </c>
      <c r="O169" t="s">
        <v>3706</v>
      </c>
      <c r="P169" s="2">
        <f t="shared" si="10"/>
        <v>45803</v>
      </c>
      <c r="Q169" t="str">
        <f t="shared" si="11"/>
        <v>Seher Bansal</v>
      </c>
      <c r="R169" t="str">
        <f t="shared" si="12"/>
        <v>Mumbai</v>
      </c>
      <c r="S169" t="str">
        <f t="shared" si="13"/>
        <v>Maharashtra</v>
      </c>
      <c r="T169">
        <f t="shared" si="14"/>
        <v>25000</v>
      </c>
    </row>
    <row r="170" spans="1:20" x14ac:dyDescent="0.35">
      <c r="A170" t="s">
        <v>183</v>
      </c>
      <c r="B170" t="s">
        <v>1369</v>
      </c>
      <c r="C170" t="s">
        <v>1937</v>
      </c>
      <c r="D170" t="s">
        <v>2651</v>
      </c>
      <c r="E170" t="s">
        <v>3672</v>
      </c>
      <c r="F170">
        <v>29</v>
      </c>
      <c r="G170" t="s">
        <v>3679</v>
      </c>
      <c r="H170" t="s">
        <v>3684</v>
      </c>
      <c r="I170" t="s">
        <v>3687</v>
      </c>
      <c r="J170" t="s">
        <v>3693</v>
      </c>
      <c r="K170" t="s">
        <v>3697</v>
      </c>
      <c r="L170">
        <v>4</v>
      </c>
      <c r="M170">
        <v>5000</v>
      </c>
      <c r="N170" t="s">
        <v>3704</v>
      </c>
      <c r="O170" t="s">
        <v>3707</v>
      </c>
      <c r="P170" s="2">
        <f t="shared" si="10"/>
        <v>45864</v>
      </c>
      <c r="Q170" t="str">
        <f t="shared" si="11"/>
        <v>Abram Suresh</v>
      </c>
      <c r="R170" t="str">
        <f t="shared" si="12"/>
        <v>Bengaluru</v>
      </c>
      <c r="S170" t="str">
        <f t="shared" si="13"/>
        <v>Karnataka</v>
      </c>
      <c r="T170">
        <f t="shared" si="14"/>
        <v>20000</v>
      </c>
    </row>
    <row r="171" spans="1:20" x14ac:dyDescent="0.35">
      <c r="A171" t="s">
        <v>184</v>
      </c>
      <c r="B171" t="s">
        <v>1370</v>
      </c>
      <c r="C171" t="s">
        <v>1794</v>
      </c>
      <c r="D171" t="s">
        <v>2652</v>
      </c>
      <c r="E171" t="s">
        <v>3671</v>
      </c>
      <c r="F171">
        <v>59</v>
      </c>
      <c r="G171" t="s">
        <v>3677</v>
      </c>
      <c r="H171" t="s">
        <v>3680</v>
      </c>
      <c r="I171" t="s">
        <v>3688</v>
      </c>
      <c r="J171" t="s">
        <v>3694</v>
      </c>
      <c r="K171" t="s">
        <v>3698</v>
      </c>
      <c r="L171">
        <v>3</v>
      </c>
      <c r="M171">
        <v>4500</v>
      </c>
      <c r="N171" t="s">
        <v>3703</v>
      </c>
      <c r="O171" t="s">
        <v>3707</v>
      </c>
      <c r="P171" s="2">
        <f t="shared" si="10"/>
        <v>45804</v>
      </c>
      <c r="Q171" t="str">
        <f t="shared" si="11"/>
        <v>Ishaan Kata</v>
      </c>
      <c r="R171" t="str">
        <f t="shared" si="12"/>
        <v>Mumbai</v>
      </c>
      <c r="S171" t="str">
        <f t="shared" si="13"/>
        <v>Maharashtra</v>
      </c>
      <c r="T171">
        <f t="shared" si="14"/>
        <v>13500</v>
      </c>
    </row>
    <row r="172" spans="1:20" x14ac:dyDescent="0.35">
      <c r="A172" t="s">
        <v>185</v>
      </c>
      <c r="B172" t="s">
        <v>1371</v>
      </c>
      <c r="C172" t="s">
        <v>1829</v>
      </c>
      <c r="D172" t="s">
        <v>2653</v>
      </c>
      <c r="E172" t="s">
        <v>3671</v>
      </c>
      <c r="F172">
        <v>33</v>
      </c>
      <c r="G172" t="s">
        <v>3677</v>
      </c>
      <c r="H172" t="s">
        <v>3680</v>
      </c>
      <c r="I172" t="s">
        <v>3690</v>
      </c>
      <c r="J172" t="s">
        <v>3693</v>
      </c>
      <c r="K172" t="s">
        <v>3700</v>
      </c>
      <c r="L172">
        <v>5</v>
      </c>
      <c r="M172">
        <v>72000</v>
      </c>
      <c r="N172" t="s">
        <v>3704</v>
      </c>
      <c r="O172" t="s">
        <v>3705</v>
      </c>
      <c r="P172" s="2">
        <f t="shared" si="10"/>
        <v>45661</v>
      </c>
      <c r="Q172" t="str">
        <f t="shared" si="11"/>
        <v>Kiara Salvi</v>
      </c>
      <c r="R172" t="str">
        <f t="shared" si="12"/>
        <v>Mumbai</v>
      </c>
      <c r="S172" t="str">
        <f t="shared" si="13"/>
        <v>Maharashtra</v>
      </c>
      <c r="T172">
        <f t="shared" si="14"/>
        <v>360000</v>
      </c>
    </row>
    <row r="173" spans="1:20" x14ac:dyDescent="0.35">
      <c r="A173" t="s">
        <v>186</v>
      </c>
      <c r="B173" t="s">
        <v>1350</v>
      </c>
      <c r="C173" t="s">
        <v>1938</v>
      </c>
      <c r="D173" t="s">
        <v>2654</v>
      </c>
      <c r="E173" t="s">
        <v>3672</v>
      </c>
      <c r="F173">
        <v>21</v>
      </c>
      <c r="G173" t="s">
        <v>3675</v>
      </c>
      <c r="H173" t="s">
        <v>3681</v>
      </c>
      <c r="I173" t="s">
        <v>3688</v>
      </c>
      <c r="J173" t="s">
        <v>3694</v>
      </c>
      <c r="K173" t="s">
        <v>3698</v>
      </c>
      <c r="L173">
        <v>3</v>
      </c>
      <c r="M173">
        <v>4500</v>
      </c>
      <c r="N173" t="s">
        <v>3702</v>
      </c>
      <c r="O173" t="s">
        <v>3706</v>
      </c>
      <c r="P173" s="2">
        <f t="shared" si="10"/>
        <v>45951</v>
      </c>
      <c r="Q173" t="str">
        <f t="shared" si="11"/>
        <v>Anahita Bhatnagar</v>
      </c>
      <c r="R173" t="str">
        <f t="shared" si="12"/>
        <v>Kolkata</v>
      </c>
      <c r="S173" t="str">
        <f t="shared" si="13"/>
        <v>West Bengal</v>
      </c>
      <c r="T173">
        <f t="shared" si="14"/>
        <v>13500</v>
      </c>
    </row>
    <row r="174" spans="1:20" x14ac:dyDescent="0.35">
      <c r="A174" t="s">
        <v>187</v>
      </c>
      <c r="B174" t="s">
        <v>1372</v>
      </c>
      <c r="C174" t="s">
        <v>1939</v>
      </c>
      <c r="D174" t="s">
        <v>2655</v>
      </c>
      <c r="E174" t="s">
        <v>3672</v>
      </c>
      <c r="F174">
        <v>45</v>
      </c>
      <c r="G174" t="s">
        <v>3676</v>
      </c>
      <c r="H174" t="s">
        <v>3682</v>
      </c>
      <c r="I174" t="s">
        <v>3685</v>
      </c>
      <c r="J174" t="s">
        <v>3692</v>
      </c>
      <c r="K174" t="s">
        <v>3695</v>
      </c>
      <c r="L174">
        <v>1</v>
      </c>
      <c r="M174">
        <v>12000</v>
      </c>
      <c r="N174" t="s">
        <v>3703</v>
      </c>
      <c r="O174" t="s">
        <v>3706</v>
      </c>
      <c r="P174" s="2">
        <f t="shared" si="10"/>
        <v>45921</v>
      </c>
      <c r="Q174" t="str">
        <f t="shared" si="11"/>
        <v>Zeeshan Wali</v>
      </c>
      <c r="R174" t="str">
        <f t="shared" si="12"/>
        <v>Chennai</v>
      </c>
      <c r="S174" t="str">
        <f t="shared" si="13"/>
        <v>Tamil Nadu</v>
      </c>
      <c r="T174">
        <f t="shared" si="14"/>
        <v>12000</v>
      </c>
    </row>
    <row r="175" spans="1:20" x14ac:dyDescent="0.35">
      <c r="A175" t="s">
        <v>188</v>
      </c>
      <c r="B175" t="s">
        <v>1284</v>
      </c>
      <c r="C175" t="s">
        <v>1803</v>
      </c>
      <c r="D175" t="s">
        <v>2656</v>
      </c>
      <c r="E175" t="s">
        <v>3672</v>
      </c>
      <c r="F175">
        <v>22</v>
      </c>
      <c r="G175" t="s">
        <v>3673</v>
      </c>
      <c r="H175" t="s">
        <v>3673</v>
      </c>
      <c r="I175" t="s">
        <v>3686</v>
      </c>
      <c r="J175" t="s">
        <v>3693</v>
      </c>
      <c r="K175" t="s">
        <v>3696</v>
      </c>
      <c r="L175">
        <v>1</v>
      </c>
      <c r="M175">
        <v>65000</v>
      </c>
      <c r="N175" t="s">
        <v>3702</v>
      </c>
      <c r="O175" t="s">
        <v>3705</v>
      </c>
      <c r="P175" s="2">
        <f t="shared" si="10"/>
        <v>46003</v>
      </c>
      <c r="Q175" t="str">
        <f t="shared" si="11"/>
        <v>Sana Mane</v>
      </c>
      <c r="R175" t="str">
        <f t="shared" si="12"/>
        <v>Delhi</v>
      </c>
      <c r="S175" t="str">
        <f t="shared" si="13"/>
        <v>Delhi</v>
      </c>
      <c r="T175">
        <f t="shared" si="14"/>
        <v>65000</v>
      </c>
    </row>
    <row r="176" spans="1:20" x14ac:dyDescent="0.35">
      <c r="A176" t="s">
        <v>189</v>
      </c>
      <c r="B176" t="s">
        <v>1373</v>
      </c>
      <c r="C176" t="s">
        <v>1940</v>
      </c>
      <c r="D176" t="s">
        <v>2657</v>
      </c>
      <c r="E176" t="s">
        <v>3672</v>
      </c>
      <c r="F176">
        <v>28</v>
      </c>
      <c r="G176" t="s">
        <v>3674</v>
      </c>
      <c r="H176" t="s">
        <v>3680</v>
      </c>
      <c r="I176" t="s">
        <v>3688</v>
      </c>
      <c r="J176" t="s">
        <v>3694</v>
      </c>
      <c r="K176" t="s">
        <v>3698</v>
      </c>
      <c r="L176">
        <v>2</v>
      </c>
      <c r="M176">
        <v>4500</v>
      </c>
      <c r="N176" t="s">
        <v>3702</v>
      </c>
      <c r="O176" t="s">
        <v>3705</v>
      </c>
      <c r="P176" s="2">
        <f t="shared" si="10"/>
        <v>45793</v>
      </c>
      <c r="Q176" t="str">
        <f t="shared" si="11"/>
        <v>Mohanlal Sankar</v>
      </c>
      <c r="R176" t="str">
        <f t="shared" si="12"/>
        <v>Pune</v>
      </c>
      <c r="S176" t="str">
        <f t="shared" si="13"/>
        <v>Maharashtra</v>
      </c>
      <c r="T176">
        <f t="shared" si="14"/>
        <v>9000</v>
      </c>
    </row>
    <row r="177" spans="1:20" x14ac:dyDescent="0.35">
      <c r="A177" t="s">
        <v>190</v>
      </c>
      <c r="B177" t="s">
        <v>1374</v>
      </c>
      <c r="C177" t="s">
        <v>1941</v>
      </c>
      <c r="D177" t="s">
        <v>2658</v>
      </c>
      <c r="E177" t="s">
        <v>3671</v>
      </c>
      <c r="F177">
        <v>55</v>
      </c>
      <c r="G177" t="s">
        <v>3676</v>
      </c>
      <c r="H177" t="s">
        <v>3682</v>
      </c>
      <c r="I177" t="s">
        <v>3689</v>
      </c>
      <c r="J177" t="s">
        <v>3694</v>
      </c>
      <c r="K177" t="s">
        <v>3699</v>
      </c>
      <c r="L177">
        <v>2</v>
      </c>
      <c r="M177">
        <v>1800</v>
      </c>
      <c r="N177" t="s">
        <v>3703</v>
      </c>
      <c r="O177" t="s">
        <v>3707</v>
      </c>
      <c r="P177" s="2">
        <f t="shared" si="10"/>
        <v>45836</v>
      </c>
      <c r="Q177" t="str">
        <f t="shared" si="11"/>
        <v>Vaibhav Dada</v>
      </c>
      <c r="R177" t="str">
        <f t="shared" si="12"/>
        <v>Chennai</v>
      </c>
      <c r="S177" t="str">
        <f t="shared" si="13"/>
        <v>Tamil Nadu</v>
      </c>
      <c r="T177">
        <f t="shared" si="14"/>
        <v>3600</v>
      </c>
    </row>
    <row r="178" spans="1:20" x14ac:dyDescent="0.35">
      <c r="A178" t="s">
        <v>191</v>
      </c>
      <c r="B178" t="s">
        <v>1375</v>
      </c>
      <c r="C178" t="s">
        <v>1942</v>
      </c>
      <c r="D178" t="s">
        <v>2659</v>
      </c>
      <c r="E178" t="s">
        <v>3672</v>
      </c>
      <c r="F178">
        <v>51</v>
      </c>
      <c r="G178" t="s">
        <v>3674</v>
      </c>
      <c r="H178" t="s">
        <v>3680</v>
      </c>
      <c r="I178" t="s">
        <v>3685</v>
      </c>
      <c r="J178" t="s">
        <v>3692</v>
      </c>
      <c r="K178" t="s">
        <v>3695</v>
      </c>
      <c r="L178">
        <v>1</v>
      </c>
      <c r="M178">
        <v>12000</v>
      </c>
      <c r="N178" t="s">
        <v>3702</v>
      </c>
      <c r="O178" t="s">
        <v>3707</v>
      </c>
      <c r="P178" s="2">
        <f t="shared" si="10"/>
        <v>45806</v>
      </c>
      <c r="Q178" t="str">
        <f t="shared" si="11"/>
        <v>Dhruv Datta</v>
      </c>
      <c r="R178" t="str">
        <f t="shared" si="12"/>
        <v>Pune</v>
      </c>
      <c r="S178" t="str">
        <f t="shared" si="13"/>
        <v>Maharashtra</v>
      </c>
      <c r="T178">
        <f t="shared" si="14"/>
        <v>12000</v>
      </c>
    </row>
    <row r="179" spans="1:20" x14ac:dyDescent="0.35">
      <c r="A179" t="s">
        <v>192</v>
      </c>
      <c r="B179" t="s">
        <v>1376</v>
      </c>
      <c r="C179" t="s">
        <v>1888</v>
      </c>
      <c r="D179" t="s">
        <v>2660</v>
      </c>
      <c r="E179" t="s">
        <v>3671</v>
      </c>
      <c r="F179">
        <v>54</v>
      </c>
      <c r="G179" t="s">
        <v>3674</v>
      </c>
      <c r="H179" t="s">
        <v>3680</v>
      </c>
      <c r="I179" t="s">
        <v>3690</v>
      </c>
      <c r="J179" t="s">
        <v>3693</v>
      </c>
      <c r="K179" t="s">
        <v>3700</v>
      </c>
      <c r="L179">
        <v>2</v>
      </c>
      <c r="M179">
        <v>72000</v>
      </c>
      <c r="N179" t="s">
        <v>3702</v>
      </c>
      <c r="O179" t="s">
        <v>3705</v>
      </c>
      <c r="P179" s="2">
        <f t="shared" si="10"/>
        <v>45995</v>
      </c>
      <c r="Q179" t="str">
        <f t="shared" si="11"/>
        <v>Oorja Konda</v>
      </c>
      <c r="R179" t="str">
        <f t="shared" si="12"/>
        <v>Pune</v>
      </c>
      <c r="S179" t="str">
        <f t="shared" si="13"/>
        <v>Maharashtra</v>
      </c>
      <c r="T179">
        <f t="shared" si="14"/>
        <v>144000</v>
      </c>
    </row>
    <row r="180" spans="1:20" x14ac:dyDescent="0.35">
      <c r="A180" t="s">
        <v>193</v>
      </c>
      <c r="B180" t="s">
        <v>1315</v>
      </c>
      <c r="C180" t="s">
        <v>1943</v>
      </c>
      <c r="D180" t="s">
        <v>2661</v>
      </c>
      <c r="E180" t="s">
        <v>3671</v>
      </c>
      <c r="F180">
        <v>42</v>
      </c>
      <c r="G180" t="s">
        <v>3677</v>
      </c>
      <c r="H180" t="s">
        <v>3680</v>
      </c>
      <c r="I180" t="s">
        <v>3691</v>
      </c>
      <c r="J180" t="s">
        <v>3693</v>
      </c>
      <c r="K180" t="s">
        <v>3696</v>
      </c>
      <c r="L180">
        <v>3</v>
      </c>
      <c r="M180">
        <v>58000</v>
      </c>
      <c r="N180" t="s">
        <v>3704</v>
      </c>
      <c r="O180" t="s">
        <v>3706</v>
      </c>
      <c r="P180" s="2">
        <f t="shared" si="10"/>
        <v>46004</v>
      </c>
      <c r="Q180" t="str">
        <f t="shared" si="11"/>
        <v>Ahana Sethi</v>
      </c>
      <c r="R180" t="str">
        <f t="shared" si="12"/>
        <v>Mumbai</v>
      </c>
      <c r="S180" t="str">
        <f t="shared" si="13"/>
        <v>Maharashtra</v>
      </c>
      <c r="T180">
        <f t="shared" si="14"/>
        <v>174000</v>
      </c>
    </row>
    <row r="181" spans="1:20" x14ac:dyDescent="0.35">
      <c r="A181" t="s">
        <v>194</v>
      </c>
      <c r="B181" t="s">
        <v>1377</v>
      </c>
      <c r="C181" t="s">
        <v>1920</v>
      </c>
      <c r="D181" t="s">
        <v>2662</v>
      </c>
      <c r="E181" t="s">
        <v>3672</v>
      </c>
      <c r="F181">
        <v>47</v>
      </c>
      <c r="G181" t="s">
        <v>3673</v>
      </c>
      <c r="H181" t="s">
        <v>3673</v>
      </c>
      <c r="I181" t="s">
        <v>3686</v>
      </c>
      <c r="J181" t="s">
        <v>3693</v>
      </c>
      <c r="K181" t="s">
        <v>3696</v>
      </c>
      <c r="L181">
        <v>4</v>
      </c>
      <c r="M181">
        <v>65000</v>
      </c>
      <c r="N181" t="s">
        <v>3703</v>
      </c>
      <c r="O181" t="s">
        <v>3706</v>
      </c>
      <c r="P181" s="2">
        <f t="shared" si="10"/>
        <v>45704</v>
      </c>
      <c r="Q181" t="str">
        <f t="shared" si="11"/>
        <v>Vidur Bhargava</v>
      </c>
      <c r="R181" t="str">
        <f t="shared" si="12"/>
        <v>Delhi</v>
      </c>
      <c r="S181" t="str">
        <f t="shared" si="13"/>
        <v>Delhi</v>
      </c>
      <c r="T181">
        <f t="shared" si="14"/>
        <v>260000</v>
      </c>
    </row>
    <row r="182" spans="1:20" x14ac:dyDescent="0.35">
      <c r="A182" t="s">
        <v>195</v>
      </c>
      <c r="B182" t="s">
        <v>1378</v>
      </c>
      <c r="C182" t="s">
        <v>1944</v>
      </c>
      <c r="D182" t="s">
        <v>2663</v>
      </c>
      <c r="E182" t="s">
        <v>3672</v>
      </c>
      <c r="F182">
        <v>25</v>
      </c>
      <c r="G182" t="s">
        <v>3674</v>
      </c>
      <c r="H182" t="s">
        <v>3680</v>
      </c>
      <c r="I182" t="s">
        <v>3685</v>
      </c>
      <c r="J182" t="s">
        <v>3692</v>
      </c>
      <c r="K182" t="s">
        <v>3695</v>
      </c>
      <c r="L182">
        <v>3</v>
      </c>
      <c r="M182">
        <v>12000</v>
      </c>
      <c r="N182" t="s">
        <v>3703</v>
      </c>
      <c r="O182" t="s">
        <v>3705</v>
      </c>
      <c r="P182" s="2">
        <f t="shared" si="10"/>
        <v>45783</v>
      </c>
      <c r="Q182" t="str">
        <f t="shared" si="11"/>
        <v>Amira Kota</v>
      </c>
      <c r="R182" t="str">
        <f t="shared" si="12"/>
        <v>Pune</v>
      </c>
      <c r="S182" t="str">
        <f t="shared" si="13"/>
        <v>Maharashtra</v>
      </c>
      <c r="T182">
        <f t="shared" si="14"/>
        <v>36000</v>
      </c>
    </row>
    <row r="183" spans="1:20" x14ac:dyDescent="0.35">
      <c r="A183" t="s">
        <v>196</v>
      </c>
      <c r="B183" t="s">
        <v>1379</v>
      </c>
      <c r="C183" t="s">
        <v>1906</v>
      </c>
      <c r="D183" t="s">
        <v>2664</v>
      </c>
      <c r="E183" t="s">
        <v>3671</v>
      </c>
      <c r="F183">
        <v>21</v>
      </c>
      <c r="G183" t="s">
        <v>3675</v>
      </c>
      <c r="H183" t="s">
        <v>3681</v>
      </c>
      <c r="I183" t="s">
        <v>3689</v>
      </c>
      <c r="J183" t="s">
        <v>3694</v>
      </c>
      <c r="K183" t="s">
        <v>3699</v>
      </c>
      <c r="L183">
        <v>1</v>
      </c>
      <c r="M183">
        <v>1800</v>
      </c>
      <c r="N183" t="s">
        <v>3701</v>
      </c>
      <c r="O183" t="s">
        <v>3705</v>
      </c>
      <c r="P183" s="2">
        <f t="shared" si="10"/>
        <v>45873</v>
      </c>
      <c r="Q183" t="str">
        <f t="shared" si="11"/>
        <v>Raunak Devi</v>
      </c>
      <c r="R183" t="str">
        <f t="shared" si="12"/>
        <v>Kolkata</v>
      </c>
      <c r="S183" t="str">
        <f t="shared" si="13"/>
        <v>West Bengal</v>
      </c>
      <c r="T183">
        <f t="shared" si="14"/>
        <v>1800</v>
      </c>
    </row>
    <row r="184" spans="1:20" x14ac:dyDescent="0.35">
      <c r="A184" t="s">
        <v>197</v>
      </c>
      <c r="B184" t="s">
        <v>1380</v>
      </c>
      <c r="C184" t="s">
        <v>1829</v>
      </c>
      <c r="D184" t="s">
        <v>2665</v>
      </c>
      <c r="E184" t="s">
        <v>3671</v>
      </c>
      <c r="F184">
        <v>21</v>
      </c>
      <c r="G184" t="s">
        <v>3679</v>
      </c>
      <c r="H184" t="s">
        <v>3684</v>
      </c>
      <c r="I184" t="s">
        <v>3685</v>
      </c>
      <c r="J184" t="s">
        <v>3692</v>
      </c>
      <c r="K184" t="s">
        <v>3695</v>
      </c>
      <c r="L184">
        <v>1</v>
      </c>
      <c r="M184">
        <v>12000</v>
      </c>
      <c r="N184" t="s">
        <v>3703</v>
      </c>
      <c r="O184" t="s">
        <v>3705</v>
      </c>
      <c r="P184" s="2">
        <f t="shared" si="10"/>
        <v>45782</v>
      </c>
      <c r="Q184" t="str">
        <f t="shared" si="11"/>
        <v>Arhaan Tara</v>
      </c>
      <c r="R184" t="str">
        <f t="shared" si="12"/>
        <v>Bengaluru</v>
      </c>
      <c r="S184" t="str">
        <f t="shared" si="13"/>
        <v>Karnataka</v>
      </c>
      <c r="T184">
        <f t="shared" si="14"/>
        <v>12000</v>
      </c>
    </row>
    <row r="185" spans="1:20" x14ac:dyDescent="0.35">
      <c r="A185" t="s">
        <v>198</v>
      </c>
      <c r="B185" t="s">
        <v>1381</v>
      </c>
      <c r="C185" t="s">
        <v>1873</v>
      </c>
      <c r="D185" t="s">
        <v>2666</v>
      </c>
      <c r="E185" t="s">
        <v>3672</v>
      </c>
      <c r="F185">
        <v>19</v>
      </c>
      <c r="G185" t="s">
        <v>3676</v>
      </c>
      <c r="H185" t="s">
        <v>3682</v>
      </c>
      <c r="I185" t="s">
        <v>3685</v>
      </c>
      <c r="J185" t="s">
        <v>3692</v>
      </c>
      <c r="K185" t="s">
        <v>3695</v>
      </c>
      <c r="L185">
        <v>5</v>
      </c>
      <c r="M185">
        <v>12000</v>
      </c>
      <c r="N185" t="s">
        <v>3701</v>
      </c>
      <c r="O185" t="s">
        <v>3707</v>
      </c>
      <c r="P185" s="2">
        <f t="shared" si="10"/>
        <v>46018</v>
      </c>
      <c r="Q185" t="str">
        <f t="shared" si="11"/>
        <v>Amira Sengupta</v>
      </c>
      <c r="R185" t="str">
        <f t="shared" si="12"/>
        <v>Chennai</v>
      </c>
      <c r="S185" t="str">
        <f t="shared" si="13"/>
        <v>Tamil Nadu</v>
      </c>
      <c r="T185">
        <f t="shared" si="14"/>
        <v>60000</v>
      </c>
    </row>
    <row r="186" spans="1:20" x14ac:dyDescent="0.35">
      <c r="A186" t="s">
        <v>199</v>
      </c>
      <c r="B186" t="s">
        <v>1325</v>
      </c>
      <c r="C186" t="s">
        <v>1897</v>
      </c>
      <c r="D186" t="s">
        <v>2667</v>
      </c>
      <c r="E186" t="s">
        <v>3671</v>
      </c>
      <c r="F186">
        <v>50</v>
      </c>
      <c r="G186" t="s">
        <v>3676</v>
      </c>
      <c r="H186" t="s">
        <v>3682</v>
      </c>
      <c r="I186" t="s">
        <v>3690</v>
      </c>
      <c r="J186" t="s">
        <v>3693</v>
      </c>
      <c r="K186" t="s">
        <v>3700</v>
      </c>
      <c r="L186">
        <v>2</v>
      </c>
      <c r="M186">
        <v>72000</v>
      </c>
      <c r="N186" t="s">
        <v>3701</v>
      </c>
      <c r="O186" t="s">
        <v>3705</v>
      </c>
      <c r="P186" s="2">
        <f t="shared" si="10"/>
        <v>45838</v>
      </c>
      <c r="Q186" t="str">
        <f t="shared" si="11"/>
        <v>Lagan Mannan</v>
      </c>
      <c r="R186" t="str">
        <f t="shared" si="12"/>
        <v>Chennai</v>
      </c>
      <c r="S186" t="str">
        <f t="shared" si="13"/>
        <v>Tamil Nadu</v>
      </c>
      <c r="T186">
        <f t="shared" si="14"/>
        <v>144000</v>
      </c>
    </row>
    <row r="187" spans="1:20" x14ac:dyDescent="0.35">
      <c r="A187" t="s">
        <v>200</v>
      </c>
      <c r="B187" t="s">
        <v>1240</v>
      </c>
      <c r="C187" t="s">
        <v>1945</v>
      </c>
      <c r="D187" t="s">
        <v>2668</v>
      </c>
      <c r="E187" t="s">
        <v>3672</v>
      </c>
      <c r="F187">
        <v>21</v>
      </c>
      <c r="G187" t="s">
        <v>3676</v>
      </c>
      <c r="H187" t="s">
        <v>3682</v>
      </c>
      <c r="I187" t="s">
        <v>3689</v>
      </c>
      <c r="J187" t="s">
        <v>3694</v>
      </c>
      <c r="K187" t="s">
        <v>3699</v>
      </c>
      <c r="L187">
        <v>3</v>
      </c>
      <c r="M187">
        <v>1800</v>
      </c>
      <c r="N187" t="s">
        <v>3704</v>
      </c>
      <c r="O187" t="s">
        <v>3706</v>
      </c>
      <c r="P187" s="2">
        <f t="shared" si="10"/>
        <v>45853</v>
      </c>
      <c r="Q187" t="str">
        <f t="shared" si="11"/>
        <v>Prisha Dani</v>
      </c>
      <c r="R187" t="str">
        <f t="shared" si="12"/>
        <v>Chennai</v>
      </c>
      <c r="S187" t="str">
        <f t="shared" si="13"/>
        <v>Tamil Nadu</v>
      </c>
      <c r="T187">
        <f t="shared" si="14"/>
        <v>5400</v>
      </c>
    </row>
    <row r="188" spans="1:20" x14ac:dyDescent="0.35">
      <c r="A188" t="s">
        <v>201</v>
      </c>
      <c r="B188" t="s">
        <v>1382</v>
      </c>
      <c r="C188" t="s">
        <v>1946</v>
      </c>
      <c r="D188" t="s">
        <v>2669</v>
      </c>
      <c r="E188" t="s">
        <v>3672</v>
      </c>
      <c r="F188">
        <v>41</v>
      </c>
      <c r="G188" t="s">
        <v>3674</v>
      </c>
      <c r="H188" t="s">
        <v>3680</v>
      </c>
      <c r="I188" t="s">
        <v>3690</v>
      </c>
      <c r="J188" t="s">
        <v>3693</v>
      </c>
      <c r="K188" t="s">
        <v>3700</v>
      </c>
      <c r="L188">
        <v>2</v>
      </c>
      <c r="M188">
        <v>72000</v>
      </c>
      <c r="N188" t="s">
        <v>3701</v>
      </c>
      <c r="O188" t="s">
        <v>3706</v>
      </c>
      <c r="P188" s="2">
        <f t="shared" si="10"/>
        <v>45933</v>
      </c>
      <c r="Q188" t="str">
        <f t="shared" si="11"/>
        <v>Ahana Talwar</v>
      </c>
      <c r="R188" t="str">
        <f t="shared" si="12"/>
        <v>Pune</v>
      </c>
      <c r="S188" t="str">
        <f t="shared" si="13"/>
        <v>Maharashtra</v>
      </c>
      <c r="T188">
        <f t="shared" si="14"/>
        <v>144000</v>
      </c>
    </row>
    <row r="189" spans="1:20" x14ac:dyDescent="0.35">
      <c r="A189" t="s">
        <v>202</v>
      </c>
      <c r="B189" t="s">
        <v>1383</v>
      </c>
      <c r="C189" t="s">
        <v>1947</v>
      </c>
      <c r="D189" t="s">
        <v>2670</v>
      </c>
      <c r="E189" t="s">
        <v>3671</v>
      </c>
      <c r="F189">
        <v>56</v>
      </c>
      <c r="G189" t="s">
        <v>3678</v>
      </c>
      <c r="H189" t="s">
        <v>3683</v>
      </c>
      <c r="I189" t="s">
        <v>3690</v>
      </c>
      <c r="J189" t="s">
        <v>3693</v>
      </c>
      <c r="K189" t="s">
        <v>3700</v>
      </c>
      <c r="L189">
        <v>5</v>
      </c>
      <c r="M189">
        <v>72000</v>
      </c>
      <c r="N189" t="s">
        <v>3701</v>
      </c>
      <c r="O189" t="s">
        <v>3706</v>
      </c>
      <c r="P189" s="2">
        <f t="shared" si="10"/>
        <v>45698</v>
      </c>
      <c r="Q189" t="str">
        <f t="shared" si="11"/>
        <v>Himmat Kaur</v>
      </c>
      <c r="R189" t="str">
        <f t="shared" si="12"/>
        <v>Hyderabad</v>
      </c>
      <c r="S189" t="str">
        <f t="shared" si="13"/>
        <v>Telangana</v>
      </c>
      <c r="T189">
        <f t="shared" si="14"/>
        <v>360000</v>
      </c>
    </row>
    <row r="190" spans="1:20" x14ac:dyDescent="0.35">
      <c r="A190" t="s">
        <v>203</v>
      </c>
      <c r="B190" t="s">
        <v>1244</v>
      </c>
      <c r="C190" t="s">
        <v>1948</v>
      </c>
      <c r="D190" t="s">
        <v>2671</v>
      </c>
      <c r="E190" t="s">
        <v>3672</v>
      </c>
      <c r="F190">
        <v>48</v>
      </c>
      <c r="G190" t="s">
        <v>3673</v>
      </c>
      <c r="H190" t="s">
        <v>3673</v>
      </c>
      <c r="I190" t="s">
        <v>3689</v>
      </c>
      <c r="J190" t="s">
        <v>3694</v>
      </c>
      <c r="K190" t="s">
        <v>3699</v>
      </c>
      <c r="L190">
        <v>1</v>
      </c>
      <c r="M190">
        <v>1800</v>
      </c>
      <c r="N190" t="s">
        <v>3701</v>
      </c>
      <c r="O190" t="s">
        <v>3705</v>
      </c>
      <c r="P190" s="2">
        <f t="shared" si="10"/>
        <v>45678</v>
      </c>
      <c r="Q190" t="str">
        <f t="shared" si="11"/>
        <v>Yashvi Tank</v>
      </c>
      <c r="R190" t="str">
        <f t="shared" si="12"/>
        <v>Delhi</v>
      </c>
      <c r="S190" t="str">
        <f t="shared" si="13"/>
        <v>Delhi</v>
      </c>
      <c r="T190">
        <f t="shared" si="14"/>
        <v>1800</v>
      </c>
    </row>
    <row r="191" spans="1:20" x14ac:dyDescent="0.35">
      <c r="A191" t="s">
        <v>204</v>
      </c>
      <c r="B191" t="s">
        <v>1384</v>
      </c>
      <c r="C191" t="s">
        <v>1949</v>
      </c>
      <c r="D191" t="s">
        <v>2672</v>
      </c>
      <c r="E191" t="s">
        <v>3671</v>
      </c>
      <c r="F191">
        <v>51</v>
      </c>
      <c r="G191" t="s">
        <v>3676</v>
      </c>
      <c r="H191" t="s">
        <v>3682</v>
      </c>
      <c r="I191" t="s">
        <v>3687</v>
      </c>
      <c r="J191" t="s">
        <v>3693</v>
      </c>
      <c r="K191" t="s">
        <v>3697</v>
      </c>
      <c r="L191">
        <v>1</v>
      </c>
      <c r="M191">
        <v>5000</v>
      </c>
      <c r="N191" t="s">
        <v>3701</v>
      </c>
      <c r="O191" t="s">
        <v>3706</v>
      </c>
      <c r="P191" s="2">
        <f t="shared" si="10"/>
        <v>45891</v>
      </c>
      <c r="Q191" t="str">
        <f t="shared" si="11"/>
        <v>Amira Kara</v>
      </c>
      <c r="R191" t="str">
        <f t="shared" si="12"/>
        <v>Chennai</v>
      </c>
      <c r="S191" t="str">
        <f t="shared" si="13"/>
        <v>Tamil Nadu</v>
      </c>
      <c r="T191">
        <f t="shared" si="14"/>
        <v>5000</v>
      </c>
    </row>
    <row r="192" spans="1:20" x14ac:dyDescent="0.35">
      <c r="A192" t="s">
        <v>205</v>
      </c>
      <c r="B192" t="s">
        <v>1385</v>
      </c>
      <c r="C192" t="s">
        <v>1950</v>
      </c>
      <c r="D192" t="s">
        <v>2673</v>
      </c>
      <c r="E192" t="s">
        <v>3672</v>
      </c>
      <c r="F192">
        <v>48</v>
      </c>
      <c r="G192" t="s">
        <v>3674</v>
      </c>
      <c r="H192" t="s">
        <v>3680</v>
      </c>
      <c r="I192" t="s">
        <v>3689</v>
      </c>
      <c r="J192" t="s">
        <v>3694</v>
      </c>
      <c r="K192" t="s">
        <v>3699</v>
      </c>
      <c r="L192">
        <v>4</v>
      </c>
      <c r="M192">
        <v>1800</v>
      </c>
      <c r="N192" t="s">
        <v>3702</v>
      </c>
      <c r="O192" t="s">
        <v>3705</v>
      </c>
      <c r="P192" s="2">
        <f t="shared" si="10"/>
        <v>45861</v>
      </c>
      <c r="Q192" t="str">
        <f t="shared" si="11"/>
        <v>Trisha Gandhi</v>
      </c>
      <c r="R192" t="str">
        <f t="shared" si="12"/>
        <v>Pune</v>
      </c>
      <c r="S192" t="str">
        <f t="shared" si="13"/>
        <v>Maharashtra</v>
      </c>
      <c r="T192">
        <f t="shared" si="14"/>
        <v>7200</v>
      </c>
    </row>
    <row r="193" spans="1:20" x14ac:dyDescent="0.35">
      <c r="A193" t="s">
        <v>206</v>
      </c>
      <c r="B193" t="s">
        <v>1386</v>
      </c>
      <c r="C193" t="s">
        <v>1951</v>
      </c>
      <c r="D193" t="s">
        <v>2674</v>
      </c>
      <c r="E193" t="s">
        <v>3672</v>
      </c>
      <c r="F193">
        <v>30</v>
      </c>
      <c r="G193" t="s">
        <v>3678</v>
      </c>
      <c r="H193" t="s">
        <v>3683</v>
      </c>
      <c r="I193" t="s">
        <v>3686</v>
      </c>
      <c r="J193" t="s">
        <v>3693</v>
      </c>
      <c r="K193" t="s">
        <v>3696</v>
      </c>
      <c r="L193">
        <v>2</v>
      </c>
      <c r="M193">
        <v>65000</v>
      </c>
      <c r="N193" t="s">
        <v>3701</v>
      </c>
      <c r="O193" t="s">
        <v>3707</v>
      </c>
      <c r="P193" s="2">
        <f t="shared" si="10"/>
        <v>45952</v>
      </c>
      <c r="Q193" t="str">
        <f t="shared" si="11"/>
        <v>Tara Dhingra</v>
      </c>
      <c r="R193" t="str">
        <f t="shared" si="12"/>
        <v>Hyderabad</v>
      </c>
      <c r="S193" t="str">
        <f t="shared" si="13"/>
        <v>Telangana</v>
      </c>
      <c r="T193">
        <f t="shared" si="14"/>
        <v>130000</v>
      </c>
    </row>
    <row r="194" spans="1:20" x14ac:dyDescent="0.35">
      <c r="A194" t="s">
        <v>207</v>
      </c>
      <c r="B194" t="s">
        <v>1387</v>
      </c>
      <c r="C194" t="s">
        <v>1952</v>
      </c>
      <c r="D194" t="s">
        <v>2675</v>
      </c>
      <c r="E194" t="s">
        <v>3672</v>
      </c>
      <c r="F194">
        <v>34</v>
      </c>
      <c r="G194" t="s">
        <v>3674</v>
      </c>
      <c r="H194" t="s">
        <v>3680</v>
      </c>
      <c r="I194" t="s">
        <v>3689</v>
      </c>
      <c r="J194" t="s">
        <v>3694</v>
      </c>
      <c r="K194" t="s">
        <v>3699</v>
      </c>
      <c r="L194">
        <v>5</v>
      </c>
      <c r="M194">
        <v>1800</v>
      </c>
      <c r="N194" t="s">
        <v>3702</v>
      </c>
      <c r="O194" t="s">
        <v>3707</v>
      </c>
      <c r="P194" s="2">
        <f t="shared" si="10"/>
        <v>45773</v>
      </c>
      <c r="Q194" t="str">
        <f t="shared" si="11"/>
        <v>Anahita Bhalla</v>
      </c>
      <c r="R194" t="str">
        <f t="shared" si="12"/>
        <v>Pune</v>
      </c>
      <c r="S194" t="str">
        <f t="shared" si="13"/>
        <v>Maharashtra</v>
      </c>
      <c r="T194">
        <f t="shared" si="14"/>
        <v>9000</v>
      </c>
    </row>
    <row r="195" spans="1:20" x14ac:dyDescent="0.35">
      <c r="A195" t="s">
        <v>208</v>
      </c>
      <c r="B195" t="s">
        <v>1388</v>
      </c>
      <c r="C195" t="s">
        <v>1953</v>
      </c>
      <c r="D195" t="s">
        <v>2676</v>
      </c>
      <c r="E195" t="s">
        <v>3672</v>
      </c>
      <c r="F195">
        <v>19</v>
      </c>
      <c r="G195" t="s">
        <v>3676</v>
      </c>
      <c r="H195" t="s">
        <v>3682</v>
      </c>
      <c r="I195" t="s">
        <v>3686</v>
      </c>
      <c r="J195" t="s">
        <v>3693</v>
      </c>
      <c r="K195" t="s">
        <v>3696</v>
      </c>
      <c r="L195">
        <v>4</v>
      </c>
      <c r="M195">
        <v>65000</v>
      </c>
      <c r="N195" t="s">
        <v>3703</v>
      </c>
      <c r="O195" t="s">
        <v>3706</v>
      </c>
      <c r="P195" s="2">
        <f t="shared" ref="P195:P258" si="15">DATEVALUE(SUBSTITUTE(B195,"/","-"))</f>
        <v>45800</v>
      </c>
      <c r="Q195" t="str">
        <f t="shared" ref="Q195:Q258" si="16">TRIM(CLEAN(D195))</f>
        <v>Hunar Bahl</v>
      </c>
      <c r="R195" t="str">
        <f t="shared" ref="R195:R258" si="17">IF(G195="","Unknown",G195)</f>
        <v>Chennai</v>
      </c>
      <c r="S195" t="str">
        <f t="shared" ref="S195:S258" si="18">IF(H195="","Unknown",H195)</f>
        <v>Tamil Nadu</v>
      </c>
      <c r="T195">
        <f t="shared" ref="T195:T258" si="19">L195*M195</f>
        <v>260000</v>
      </c>
    </row>
    <row r="196" spans="1:20" x14ac:dyDescent="0.35">
      <c r="A196" t="s">
        <v>209</v>
      </c>
      <c r="B196" t="s">
        <v>1389</v>
      </c>
      <c r="C196" t="s">
        <v>1890</v>
      </c>
      <c r="D196" t="s">
        <v>2677</v>
      </c>
      <c r="E196" t="s">
        <v>3672</v>
      </c>
      <c r="F196">
        <v>32</v>
      </c>
      <c r="G196" t="s">
        <v>3676</v>
      </c>
      <c r="H196" t="s">
        <v>3682</v>
      </c>
      <c r="I196" t="s">
        <v>3691</v>
      </c>
      <c r="J196" t="s">
        <v>3693</v>
      </c>
      <c r="K196" t="s">
        <v>3696</v>
      </c>
      <c r="L196">
        <v>3</v>
      </c>
      <c r="M196">
        <v>58000</v>
      </c>
      <c r="N196" t="s">
        <v>3703</v>
      </c>
      <c r="O196" t="s">
        <v>3707</v>
      </c>
      <c r="P196" s="2">
        <f t="shared" si="15"/>
        <v>45686</v>
      </c>
      <c r="Q196" t="str">
        <f t="shared" si="16"/>
        <v>Zain Sibal</v>
      </c>
      <c r="R196" t="str">
        <f t="shared" si="17"/>
        <v>Chennai</v>
      </c>
      <c r="S196" t="str">
        <f t="shared" si="18"/>
        <v>Tamil Nadu</v>
      </c>
      <c r="T196">
        <f t="shared" si="19"/>
        <v>174000</v>
      </c>
    </row>
    <row r="197" spans="1:20" x14ac:dyDescent="0.35">
      <c r="A197" t="s">
        <v>210</v>
      </c>
      <c r="B197" t="s">
        <v>1390</v>
      </c>
      <c r="C197" t="s">
        <v>1954</v>
      </c>
      <c r="D197" t="s">
        <v>2678</v>
      </c>
      <c r="E197" t="s">
        <v>3671</v>
      </c>
      <c r="F197">
        <v>39</v>
      </c>
      <c r="G197" t="s">
        <v>3676</v>
      </c>
      <c r="H197" t="s">
        <v>3682</v>
      </c>
      <c r="I197" t="s">
        <v>3691</v>
      </c>
      <c r="J197" t="s">
        <v>3693</v>
      </c>
      <c r="K197" t="s">
        <v>3696</v>
      </c>
      <c r="L197">
        <v>2</v>
      </c>
      <c r="M197">
        <v>58000</v>
      </c>
      <c r="N197" t="s">
        <v>3701</v>
      </c>
      <c r="O197" t="s">
        <v>3705</v>
      </c>
      <c r="P197" s="2">
        <f t="shared" si="15"/>
        <v>45962</v>
      </c>
      <c r="Q197" t="str">
        <f t="shared" si="16"/>
        <v>Lavanya Trivedi</v>
      </c>
      <c r="R197" t="str">
        <f t="shared" si="17"/>
        <v>Chennai</v>
      </c>
      <c r="S197" t="str">
        <f t="shared" si="18"/>
        <v>Tamil Nadu</v>
      </c>
      <c r="T197">
        <f t="shared" si="19"/>
        <v>116000</v>
      </c>
    </row>
    <row r="198" spans="1:20" x14ac:dyDescent="0.35">
      <c r="A198" t="s">
        <v>211</v>
      </c>
      <c r="B198" t="s">
        <v>1391</v>
      </c>
      <c r="C198" t="s">
        <v>1880</v>
      </c>
      <c r="D198" t="s">
        <v>2679</v>
      </c>
      <c r="E198" t="s">
        <v>3672</v>
      </c>
      <c r="F198">
        <v>30</v>
      </c>
      <c r="G198" t="s">
        <v>3678</v>
      </c>
      <c r="H198" t="s">
        <v>3683</v>
      </c>
      <c r="I198" t="s">
        <v>3689</v>
      </c>
      <c r="J198" t="s">
        <v>3694</v>
      </c>
      <c r="K198" t="s">
        <v>3699</v>
      </c>
      <c r="L198">
        <v>1</v>
      </c>
      <c r="M198">
        <v>1800</v>
      </c>
      <c r="N198" t="s">
        <v>3704</v>
      </c>
      <c r="O198" t="s">
        <v>3706</v>
      </c>
      <c r="P198" s="2">
        <f t="shared" si="15"/>
        <v>45705</v>
      </c>
      <c r="Q198" t="str">
        <f t="shared" si="16"/>
        <v>Kanav Rama</v>
      </c>
      <c r="R198" t="str">
        <f t="shared" si="17"/>
        <v>Hyderabad</v>
      </c>
      <c r="S198" t="str">
        <f t="shared" si="18"/>
        <v>Telangana</v>
      </c>
      <c r="T198">
        <f t="shared" si="19"/>
        <v>1800</v>
      </c>
    </row>
    <row r="199" spans="1:20" x14ac:dyDescent="0.35">
      <c r="A199" t="s">
        <v>212</v>
      </c>
      <c r="B199" t="s">
        <v>1293</v>
      </c>
      <c r="C199" t="s">
        <v>1955</v>
      </c>
      <c r="D199" t="s">
        <v>2680</v>
      </c>
      <c r="E199" t="s">
        <v>3672</v>
      </c>
      <c r="F199">
        <v>41</v>
      </c>
      <c r="G199" t="s">
        <v>3675</v>
      </c>
      <c r="H199" t="s">
        <v>3681</v>
      </c>
      <c r="I199" t="s">
        <v>3690</v>
      </c>
      <c r="J199" t="s">
        <v>3693</v>
      </c>
      <c r="K199" t="s">
        <v>3700</v>
      </c>
      <c r="L199">
        <v>1</v>
      </c>
      <c r="M199">
        <v>72000</v>
      </c>
      <c r="N199" t="s">
        <v>3703</v>
      </c>
      <c r="O199" t="s">
        <v>3706</v>
      </c>
      <c r="P199" s="2">
        <f t="shared" si="15"/>
        <v>45992</v>
      </c>
      <c r="Q199" t="str">
        <f t="shared" si="16"/>
        <v>Hunar Chaudhry</v>
      </c>
      <c r="R199" t="str">
        <f t="shared" si="17"/>
        <v>Kolkata</v>
      </c>
      <c r="S199" t="str">
        <f t="shared" si="18"/>
        <v>West Bengal</v>
      </c>
      <c r="T199">
        <f t="shared" si="19"/>
        <v>72000</v>
      </c>
    </row>
    <row r="200" spans="1:20" x14ac:dyDescent="0.35">
      <c r="A200" t="s">
        <v>213</v>
      </c>
      <c r="B200" t="s">
        <v>1348</v>
      </c>
      <c r="C200" t="s">
        <v>1956</v>
      </c>
      <c r="D200" t="s">
        <v>2681</v>
      </c>
      <c r="E200" t="s">
        <v>3672</v>
      </c>
      <c r="F200">
        <v>38</v>
      </c>
      <c r="G200" t="s">
        <v>3678</v>
      </c>
      <c r="H200" t="s">
        <v>3683</v>
      </c>
      <c r="I200" t="s">
        <v>3689</v>
      </c>
      <c r="J200" t="s">
        <v>3694</v>
      </c>
      <c r="K200" t="s">
        <v>3699</v>
      </c>
      <c r="L200">
        <v>4</v>
      </c>
      <c r="M200">
        <v>1800</v>
      </c>
      <c r="N200" t="s">
        <v>3702</v>
      </c>
      <c r="O200" t="s">
        <v>3706</v>
      </c>
      <c r="P200" s="2">
        <f t="shared" si="15"/>
        <v>46025</v>
      </c>
      <c r="Q200" t="str">
        <f t="shared" si="16"/>
        <v>Jayan Varkey</v>
      </c>
      <c r="R200" t="str">
        <f t="shared" si="17"/>
        <v>Hyderabad</v>
      </c>
      <c r="S200" t="str">
        <f t="shared" si="18"/>
        <v>Telangana</v>
      </c>
      <c r="T200">
        <f t="shared" si="19"/>
        <v>7200</v>
      </c>
    </row>
    <row r="201" spans="1:20" x14ac:dyDescent="0.35">
      <c r="A201" t="s">
        <v>214</v>
      </c>
      <c r="B201" t="s">
        <v>1392</v>
      </c>
      <c r="C201" t="s">
        <v>1957</v>
      </c>
      <c r="D201" t="s">
        <v>2682</v>
      </c>
      <c r="E201" t="s">
        <v>3671</v>
      </c>
      <c r="F201">
        <v>45</v>
      </c>
      <c r="G201" t="s">
        <v>3675</v>
      </c>
      <c r="H201" t="s">
        <v>3681</v>
      </c>
      <c r="I201" t="s">
        <v>3685</v>
      </c>
      <c r="J201" t="s">
        <v>3692</v>
      </c>
      <c r="K201" t="s">
        <v>3695</v>
      </c>
      <c r="L201">
        <v>1</v>
      </c>
      <c r="M201">
        <v>12000</v>
      </c>
      <c r="N201" t="s">
        <v>3703</v>
      </c>
      <c r="O201" t="s">
        <v>3707</v>
      </c>
      <c r="P201" s="2">
        <f t="shared" si="15"/>
        <v>45793</v>
      </c>
      <c r="Q201" t="str">
        <f t="shared" si="16"/>
        <v>Inaaya Sabharwal</v>
      </c>
      <c r="R201" t="str">
        <f t="shared" si="17"/>
        <v>Kolkata</v>
      </c>
      <c r="S201" t="str">
        <f t="shared" si="18"/>
        <v>West Bengal</v>
      </c>
      <c r="T201">
        <f t="shared" si="19"/>
        <v>12000</v>
      </c>
    </row>
    <row r="202" spans="1:20" x14ac:dyDescent="0.35">
      <c r="A202" t="s">
        <v>215</v>
      </c>
      <c r="B202" t="s">
        <v>1393</v>
      </c>
      <c r="C202" t="s">
        <v>1958</v>
      </c>
      <c r="D202" t="s">
        <v>2683</v>
      </c>
      <c r="E202" t="s">
        <v>3672</v>
      </c>
      <c r="F202">
        <v>52</v>
      </c>
      <c r="G202" t="s">
        <v>3673</v>
      </c>
      <c r="H202" t="s">
        <v>3673</v>
      </c>
      <c r="I202" t="s">
        <v>3686</v>
      </c>
      <c r="J202" t="s">
        <v>3693</v>
      </c>
      <c r="K202" t="s">
        <v>3696</v>
      </c>
      <c r="L202">
        <v>5</v>
      </c>
      <c r="M202">
        <v>65000</v>
      </c>
      <c r="N202" t="s">
        <v>3704</v>
      </c>
      <c r="O202" t="s">
        <v>3707</v>
      </c>
      <c r="P202" s="2">
        <f t="shared" si="15"/>
        <v>45972</v>
      </c>
      <c r="Q202" t="str">
        <f t="shared" si="16"/>
        <v>Hridaan Dewan</v>
      </c>
      <c r="R202" t="str">
        <f t="shared" si="17"/>
        <v>Delhi</v>
      </c>
      <c r="S202" t="str">
        <f t="shared" si="18"/>
        <v>Delhi</v>
      </c>
      <c r="T202">
        <f t="shared" si="19"/>
        <v>325000</v>
      </c>
    </row>
    <row r="203" spans="1:20" x14ac:dyDescent="0.35">
      <c r="A203" t="s">
        <v>216</v>
      </c>
      <c r="B203" t="s">
        <v>1394</v>
      </c>
      <c r="C203" t="s">
        <v>1959</v>
      </c>
      <c r="D203" t="s">
        <v>2684</v>
      </c>
      <c r="E203" t="s">
        <v>3671</v>
      </c>
      <c r="F203">
        <v>50</v>
      </c>
      <c r="G203" t="s">
        <v>3677</v>
      </c>
      <c r="H203" t="s">
        <v>3680</v>
      </c>
      <c r="I203" t="s">
        <v>3690</v>
      </c>
      <c r="J203" t="s">
        <v>3693</v>
      </c>
      <c r="K203" t="s">
        <v>3700</v>
      </c>
      <c r="L203">
        <v>1</v>
      </c>
      <c r="M203">
        <v>72000</v>
      </c>
      <c r="N203" t="s">
        <v>3703</v>
      </c>
      <c r="O203" t="s">
        <v>3705</v>
      </c>
      <c r="P203" s="2">
        <f t="shared" si="15"/>
        <v>46016</v>
      </c>
      <c r="Q203" t="str">
        <f t="shared" si="16"/>
        <v>Kavya Konda</v>
      </c>
      <c r="R203" t="str">
        <f t="shared" si="17"/>
        <v>Mumbai</v>
      </c>
      <c r="S203" t="str">
        <f t="shared" si="18"/>
        <v>Maharashtra</v>
      </c>
      <c r="T203">
        <f t="shared" si="19"/>
        <v>72000</v>
      </c>
    </row>
    <row r="204" spans="1:20" x14ac:dyDescent="0.35">
      <c r="A204" t="s">
        <v>217</v>
      </c>
      <c r="B204" t="s">
        <v>1395</v>
      </c>
      <c r="C204" t="s">
        <v>1960</v>
      </c>
      <c r="D204" t="s">
        <v>2685</v>
      </c>
      <c r="E204" t="s">
        <v>3672</v>
      </c>
      <c r="F204">
        <v>60</v>
      </c>
      <c r="G204" t="s">
        <v>3679</v>
      </c>
      <c r="H204" t="s">
        <v>3684</v>
      </c>
      <c r="I204" t="s">
        <v>3689</v>
      </c>
      <c r="J204" t="s">
        <v>3694</v>
      </c>
      <c r="K204" t="s">
        <v>3699</v>
      </c>
      <c r="L204">
        <v>2</v>
      </c>
      <c r="M204">
        <v>1800</v>
      </c>
      <c r="N204" t="s">
        <v>3703</v>
      </c>
      <c r="O204" t="s">
        <v>3707</v>
      </c>
      <c r="P204" s="2">
        <f t="shared" si="15"/>
        <v>45847</v>
      </c>
      <c r="Q204" t="str">
        <f t="shared" si="16"/>
        <v>Ranbir Ray</v>
      </c>
      <c r="R204" t="str">
        <f t="shared" si="17"/>
        <v>Bengaluru</v>
      </c>
      <c r="S204" t="str">
        <f t="shared" si="18"/>
        <v>Karnataka</v>
      </c>
      <c r="T204">
        <f t="shared" si="19"/>
        <v>3600</v>
      </c>
    </row>
    <row r="205" spans="1:20" x14ac:dyDescent="0.35">
      <c r="A205" t="s">
        <v>218</v>
      </c>
      <c r="B205" t="s">
        <v>1396</v>
      </c>
      <c r="C205" t="s">
        <v>1961</v>
      </c>
      <c r="D205" t="s">
        <v>2686</v>
      </c>
      <c r="E205" t="s">
        <v>3671</v>
      </c>
      <c r="F205">
        <v>39</v>
      </c>
      <c r="G205" t="s">
        <v>3677</v>
      </c>
      <c r="H205" t="s">
        <v>3680</v>
      </c>
      <c r="I205" t="s">
        <v>3691</v>
      </c>
      <c r="J205" t="s">
        <v>3693</v>
      </c>
      <c r="K205" t="s">
        <v>3696</v>
      </c>
      <c r="L205">
        <v>1</v>
      </c>
      <c r="M205">
        <v>58000</v>
      </c>
      <c r="N205" t="s">
        <v>3704</v>
      </c>
      <c r="O205" t="s">
        <v>3706</v>
      </c>
      <c r="P205" s="2">
        <f t="shared" si="15"/>
        <v>46001</v>
      </c>
      <c r="Q205" t="str">
        <f t="shared" si="16"/>
        <v>Yuvaan Kunda</v>
      </c>
      <c r="R205" t="str">
        <f t="shared" si="17"/>
        <v>Mumbai</v>
      </c>
      <c r="S205" t="str">
        <f t="shared" si="18"/>
        <v>Maharashtra</v>
      </c>
      <c r="T205">
        <f t="shared" si="19"/>
        <v>58000</v>
      </c>
    </row>
    <row r="206" spans="1:20" x14ac:dyDescent="0.35">
      <c r="A206" t="s">
        <v>219</v>
      </c>
      <c r="B206" t="s">
        <v>1397</v>
      </c>
      <c r="C206" t="s">
        <v>1962</v>
      </c>
      <c r="D206" t="s">
        <v>2687</v>
      </c>
      <c r="E206" t="s">
        <v>3672</v>
      </c>
      <c r="F206">
        <v>40</v>
      </c>
      <c r="G206" t="s">
        <v>3676</v>
      </c>
      <c r="H206" t="s">
        <v>3682</v>
      </c>
      <c r="I206" t="s">
        <v>3687</v>
      </c>
      <c r="J206" t="s">
        <v>3693</v>
      </c>
      <c r="K206" t="s">
        <v>3697</v>
      </c>
      <c r="L206">
        <v>5</v>
      </c>
      <c r="M206">
        <v>5000</v>
      </c>
      <c r="N206" t="s">
        <v>3701</v>
      </c>
      <c r="O206" t="s">
        <v>3705</v>
      </c>
      <c r="P206" s="2">
        <f t="shared" si="15"/>
        <v>45869</v>
      </c>
      <c r="Q206" t="str">
        <f t="shared" si="16"/>
        <v>Alisha Khatri</v>
      </c>
      <c r="R206" t="str">
        <f t="shared" si="17"/>
        <v>Chennai</v>
      </c>
      <c r="S206" t="str">
        <f t="shared" si="18"/>
        <v>Tamil Nadu</v>
      </c>
      <c r="T206">
        <f t="shared" si="19"/>
        <v>25000</v>
      </c>
    </row>
    <row r="207" spans="1:20" x14ac:dyDescent="0.35">
      <c r="A207" t="s">
        <v>220</v>
      </c>
      <c r="B207" t="s">
        <v>1272</v>
      </c>
      <c r="C207" t="s">
        <v>1893</v>
      </c>
      <c r="D207" t="s">
        <v>2688</v>
      </c>
      <c r="E207" t="s">
        <v>3672</v>
      </c>
      <c r="F207">
        <v>38</v>
      </c>
      <c r="G207" t="s">
        <v>3676</v>
      </c>
      <c r="H207" t="s">
        <v>3682</v>
      </c>
      <c r="I207" t="s">
        <v>3691</v>
      </c>
      <c r="J207" t="s">
        <v>3693</v>
      </c>
      <c r="K207" t="s">
        <v>3696</v>
      </c>
      <c r="L207">
        <v>1</v>
      </c>
      <c r="M207">
        <v>58000</v>
      </c>
      <c r="N207" t="s">
        <v>3701</v>
      </c>
      <c r="O207" t="s">
        <v>3706</v>
      </c>
      <c r="P207" s="2">
        <f t="shared" si="15"/>
        <v>45827</v>
      </c>
      <c r="Q207" t="str">
        <f t="shared" si="16"/>
        <v>Kismat Shah</v>
      </c>
      <c r="R207" t="str">
        <f t="shared" si="17"/>
        <v>Chennai</v>
      </c>
      <c r="S207" t="str">
        <f t="shared" si="18"/>
        <v>Tamil Nadu</v>
      </c>
      <c r="T207">
        <f t="shared" si="19"/>
        <v>58000</v>
      </c>
    </row>
    <row r="208" spans="1:20" x14ac:dyDescent="0.35">
      <c r="A208" t="s">
        <v>221</v>
      </c>
      <c r="B208" t="s">
        <v>1309</v>
      </c>
      <c r="C208" t="s">
        <v>1963</v>
      </c>
      <c r="D208" t="s">
        <v>2689</v>
      </c>
      <c r="E208" t="s">
        <v>3672</v>
      </c>
      <c r="F208">
        <v>56</v>
      </c>
      <c r="G208" t="s">
        <v>3673</v>
      </c>
      <c r="H208" t="s">
        <v>3673</v>
      </c>
      <c r="I208" t="s">
        <v>3689</v>
      </c>
      <c r="J208" t="s">
        <v>3694</v>
      </c>
      <c r="K208" t="s">
        <v>3699</v>
      </c>
      <c r="L208">
        <v>5</v>
      </c>
      <c r="M208">
        <v>1800</v>
      </c>
      <c r="N208" t="s">
        <v>3704</v>
      </c>
      <c r="O208" t="s">
        <v>3705</v>
      </c>
      <c r="P208" s="2">
        <f t="shared" si="15"/>
        <v>45802</v>
      </c>
      <c r="Q208" t="str">
        <f t="shared" si="16"/>
        <v>Suhana Sama</v>
      </c>
      <c r="R208" t="str">
        <f t="shared" si="17"/>
        <v>Delhi</v>
      </c>
      <c r="S208" t="str">
        <f t="shared" si="18"/>
        <v>Delhi</v>
      </c>
      <c r="T208">
        <f t="shared" si="19"/>
        <v>9000</v>
      </c>
    </row>
    <row r="209" spans="1:20" x14ac:dyDescent="0.35">
      <c r="A209" t="s">
        <v>222</v>
      </c>
      <c r="B209" t="s">
        <v>1398</v>
      </c>
      <c r="C209" t="s">
        <v>1964</v>
      </c>
      <c r="D209" t="s">
        <v>2690</v>
      </c>
      <c r="E209" t="s">
        <v>3671</v>
      </c>
      <c r="F209">
        <v>50</v>
      </c>
      <c r="G209" t="s">
        <v>3674</v>
      </c>
      <c r="H209" t="s">
        <v>3680</v>
      </c>
      <c r="I209" t="s">
        <v>3691</v>
      </c>
      <c r="J209" t="s">
        <v>3693</v>
      </c>
      <c r="K209" t="s">
        <v>3696</v>
      </c>
      <c r="L209">
        <v>4</v>
      </c>
      <c r="M209">
        <v>58000</v>
      </c>
      <c r="N209" t="s">
        <v>3704</v>
      </c>
      <c r="O209" t="s">
        <v>3705</v>
      </c>
      <c r="P209" s="2">
        <f t="shared" si="15"/>
        <v>45668</v>
      </c>
      <c r="Q209" t="str">
        <f t="shared" si="16"/>
        <v>Azad Hari</v>
      </c>
      <c r="R209" t="str">
        <f t="shared" si="17"/>
        <v>Pune</v>
      </c>
      <c r="S209" t="str">
        <f t="shared" si="18"/>
        <v>Maharashtra</v>
      </c>
      <c r="T209">
        <f t="shared" si="19"/>
        <v>232000</v>
      </c>
    </row>
    <row r="210" spans="1:20" x14ac:dyDescent="0.35">
      <c r="A210" t="s">
        <v>223</v>
      </c>
      <c r="B210" t="s">
        <v>1230</v>
      </c>
      <c r="C210" t="s">
        <v>1965</v>
      </c>
      <c r="D210" t="s">
        <v>2691</v>
      </c>
      <c r="E210" t="s">
        <v>3672</v>
      </c>
      <c r="F210">
        <v>48</v>
      </c>
      <c r="G210" t="s">
        <v>3675</v>
      </c>
      <c r="H210" t="s">
        <v>3681</v>
      </c>
      <c r="I210" t="s">
        <v>3688</v>
      </c>
      <c r="J210" t="s">
        <v>3694</v>
      </c>
      <c r="K210" t="s">
        <v>3698</v>
      </c>
      <c r="L210">
        <v>5</v>
      </c>
      <c r="M210">
        <v>4500</v>
      </c>
      <c r="N210" t="s">
        <v>3701</v>
      </c>
      <c r="O210" t="s">
        <v>3707</v>
      </c>
      <c r="P210" s="2">
        <f t="shared" si="15"/>
        <v>45790</v>
      </c>
      <c r="Q210" t="str">
        <f t="shared" si="16"/>
        <v>Dhanush Som</v>
      </c>
      <c r="R210" t="str">
        <f t="shared" si="17"/>
        <v>Kolkata</v>
      </c>
      <c r="S210" t="str">
        <f t="shared" si="18"/>
        <v>West Bengal</v>
      </c>
      <c r="T210">
        <f t="shared" si="19"/>
        <v>22500</v>
      </c>
    </row>
    <row r="211" spans="1:20" x14ac:dyDescent="0.35">
      <c r="A211" t="s">
        <v>224</v>
      </c>
      <c r="B211" t="s">
        <v>1399</v>
      </c>
      <c r="C211" t="s">
        <v>1966</v>
      </c>
      <c r="D211" t="s">
        <v>2692</v>
      </c>
      <c r="E211" t="s">
        <v>3671</v>
      </c>
      <c r="F211">
        <v>27</v>
      </c>
      <c r="G211" t="s">
        <v>3678</v>
      </c>
      <c r="H211" t="s">
        <v>3683</v>
      </c>
      <c r="I211" t="s">
        <v>3687</v>
      </c>
      <c r="J211" t="s">
        <v>3693</v>
      </c>
      <c r="K211" t="s">
        <v>3697</v>
      </c>
      <c r="L211">
        <v>3</v>
      </c>
      <c r="M211">
        <v>5000</v>
      </c>
      <c r="N211" t="s">
        <v>3703</v>
      </c>
      <c r="O211" t="s">
        <v>3707</v>
      </c>
      <c r="P211" s="2">
        <f t="shared" si="15"/>
        <v>45911</v>
      </c>
      <c r="Q211" t="str">
        <f t="shared" si="16"/>
        <v>Baiju Kothari</v>
      </c>
      <c r="R211" t="str">
        <f t="shared" si="17"/>
        <v>Hyderabad</v>
      </c>
      <c r="S211" t="str">
        <f t="shared" si="18"/>
        <v>Telangana</v>
      </c>
      <c r="T211">
        <f t="shared" si="19"/>
        <v>15000</v>
      </c>
    </row>
    <row r="212" spans="1:20" x14ac:dyDescent="0.35">
      <c r="A212" t="s">
        <v>225</v>
      </c>
      <c r="B212" t="s">
        <v>1400</v>
      </c>
      <c r="C212" t="s">
        <v>1967</v>
      </c>
      <c r="D212" t="s">
        <v>2693</v>
      </c>
      <c r="E212" t="s">
        <v>3671</v>
      </c>
      <c r="F212">
        <v>48</v>
      </c>
      <c r="G212" t="s">
        <v>3678</v>
      </c>
      <c r="H212" t="s">
        <v>3683</v>
      </c>
      <c r="I212" t="s">
        <v>3687</v>
      </c>
      <c r="J212" t="s">
        <v>3693</v>
      </c>
      <c r="K212" t="s">
        <v>3697</v>
      </c>
      <c r="L212">
        <v>1</v>
      </c>
      <c r="M212">
        <v>5000</v>
      </c>
      <c r="N212" t="s">
        <v>3704</v>
      </c>
      <c r="O212" t="s">
        <v>3706</v>
      </c>
      <c r="P212" s="2">
        <f t="shared" si="15"/>
        <v>45730</v>
      </c>
      <c r="Q212" t="str">
        <f t="shared" si="16"/>
        <v>Jivika Chad</v>
      </c>
      <c r="R212" t="str">
        <f t="shared" si="17"/>
        <v>Hyderabad</v>
      </c>
      <c r="S212" t="str">
        <f t="shared" si="18"/>
        <v>Telangana</v>
      </c>
      <c r="T212">
        <f t="shared" si="19"/>
        <v>5000</v>
      </c>
    </row>
    <row r="213" spans="1:20" x14ac:dyDescent="0.35">
      <c r="A213" t="s">
        <v>226</v>
      </c>
      <c r="B213" t="s">
        <v>1399</v>
      </c>
      <c r="C213" t="s">
        <v>1968</v>
      </c>
      <c r="D213" t="s">
        <v>2694</v>
      </c>
      <c r="E213" t="s">
        <v>3672</v>
      </c>
      <c r="F213">
        <v>53</v>
      </c>
      <c r="G213" t="s">
        <v>3676</v>
      </c>
      <c r="H213" t="s">
        <v>3682</v>
      </c>
      <c r="I213" t="s">
        <v>3690</v>
      </c>
      <c r="J213" t="s">
        <v>3693</v>
      </c>
      <c r="K213" t="s">
        <v>3700</v>
      </c>
      <c r="L213">
        <v>5</v>
      </c>
      <c r="M213">
        <v>72000</v>
      </c>
      <c r="N213" t="s">
        <v>3702</v>
      </c>
      <c r="O213" t="s">
        <v>3706</v>
      </c>
      <c r="P213" s="2">
        <f t="shared" si="15"/>
        <v>45911</v>
      </c>
      <c r="Q213" t="str">
        <f t="shared" si="16"/>
        <v>Rhea Loyal</v>
      </c>
      <c r="R213" t="str">
        <f t="shared" si="17"/>
        <v>Chennai</v>
      </c>
      <c r="S213" t="str">
        <f t="shared" si="18"/>
        <v>Tamil Nadu</v>
      </c>
      <c r="T213">
        <f t="shared" si="19"/>
        <v>360000</v>
      </c>
    </row>
    <row r="214" spans="1:20" x14ac:dyDescent="0.35">
      <c r="A214" t="s">
        <v>227</v>
      </c>
      <c r="B214" t="s">
        <v>1228</v>
      </c>
      <c r="C214" t="s">
        <v>1969</v>
      </c>
      <c r="D214" t="s">
        <v>2695</v>
      </c>
      <c r="E214" t="s">
        <v>3671</v>
      </c>
      <c r="F214">
        <v>28</v>
      </c>
      <c r="G214" t="s">
        <v>3675</v>
      </c>
      <c r="H214" t="s">
        <v>3681</v>
      </c>
      <c r="I214" t="s">
        <v>3686</v>
      </c>
      <c r="J214" t="s">
        <v>3693</v>
      </c>
      <c r="K214" t="s">
        <v>3696</v>
      </c>
      <c r="L214">
        <v>4</v>
      </c>
      <c r="M214">
        <v>65000</v>
      </c>
      <c r="N214" t="s">
        <v>3703</v>
      </c>
      <c r="O214" t="s">
        <v>3707</v>
      </c>
      <c r="P214" s="2">
        <f t="shared" si="15"/>
        <v>45996</v>
      </c>
      <c r="Q214" t="str">
        <f t="shared" si="16"/>
        <v>Advika Bath</v>
      </c>
      <c r="R214" t="str">
        <f t="shared" si="17"/>
        <v>Kolkata</v>
      </c>
      <c r="S214" t="str">
        <f t="shared" si="18"/>
        <v>West Bengal</v>
      </c>
      <c r="T214">
        <f t="shared" si="19"/>
        <v>260000</v>
      </c>
    </row>
    <row r="215" spans="1:20" x14ac:dyDescent="0.35">
      <c r="A215" t="s">
        <v>228</v>
      </c>
      <c r="B215" t="s">
        <v>1401</v>
      </c>
      <c r="C215" t="s">
        <v>1970</v>
      </c>
      <c r="D215" t="s">
        <v>2696</v>
      </c>
      <c r="E215" t="s">
        <v>3671</v>
      </c>
      <c r="F215">
        <v>40</v>
      </c>
      <c r="G215" t="s">
        <v>3679</v>
      </c>
      <c r="H215" t="s">
        <v>3684</v>
      </c>
      <c r="I215" t="s">
        <v>3687</v>
      </c>
      <c r="J215" t="s">
        <v>3693</v>
      </c>
      <c r="K215" t="s">
        <v>3697</v>
      </c>
      <c r="L215">
        <v>1</v>
      </c>
      <c r="M215">
        <v>5000</v>
      </c>
      <c r="N215" t="s">
        <v>3704</v>
      </c>
      <c r="O215" t="s">
        <v>3706</v>
      </c>
      <c r="P215" s="2">
        <f t="shared" si="15"/>
        <v>45734</v>
      </c>
      <c r="Q215" t="str">
        <f t="shared" si="16"/>
        <v>Samar Shukla</v>
      </c>
      <c r="R215" t="str">
        <f t="shared" si="17"/>
        <v>Bengaluru</v>
      </c>
      <c r="S215" t="str">
        <f t="shared" si="18"/>
        <v>Karnataka</v>
      </c>
      <c r="T215">
        <f t="shared" si="19"/>
        <v>5000</v>
      </c>
    </row>
    <row r="216" spans="1:20" x14ac:dyDescent="0.35">
      <c r="A216" t="s">
        <v>229</v>
      </c>
      <c r="B216" t="s">
        <v>1402</v>
      </c>
      <c r="C216" t="s">
        <v>1971</v>
      </c>
      <c r="D216" t="s">
        <v>2697</v>
      </c>
      <c r="E216" t="s">
        <v>3672</v>
      </c>
      <c r="F216">
        <v>47</v>
      </c>
      <c r="G216" t="s">
        <v>3677</v>
      </c>
      <c r="H216" t="s">
        <v>3680</v>
      </c>
      <c r="I216" t="s">
        <v>3691</v>
      </c>
      <c r="J216" t="s">
        <v>3693</v>
      </c>
      <c r="K216" t="s">
        <v>3696</v>
      </c>
      <c r="L216">
        <v>3</v>
      </c>
      <c r="M216">
        <v>58000</v>
      </c>
      <c r="N216" t="s">
        <v>3704</v>
      </c>
      <c r="O216" t="s">
        <v>3706</v>
      </c>
      <c r="P216" s="2">
        <f t="shared" si="15"/>
        <v>45770</v>
      </c>
      <c r="Q216" t="str">
        <f t="shared" si="16"/>
        <v>Nitya Tak</v>
      </c>
      <c r="R216" t="str">
        <f t="shared" si="17"/>
        <v>Mumbai</v>
      </c>
      <c r="S216" t="str">
        <f t="shared" si="18"/>
        <v>Maharashtra</v>
      </c>
      <c r="T216">
        <f t="shared" si="19"/>
        <v>174000</v>
      </c>
    </row>
    <row r="217" spans="1:20" x14ac:dyDescent="0.35">
      <c r="A217" t="s">
        <v>230</v>
      </c>
      <c r="B217" t="s">
        <v>1230</v>
      </c>
      <c r="C217" t="s">
        <v>1804</v>
      </c>
      <c r="D217" t="s">
        <v>2698</v>
      </c>
      <c r="E217" t="s">
        <v>3671</v>
      </c>
      <c r="F217">
        <v>60</v>
      </c>
      <c r="G217" t="s">
        <v>3677</v>
      </c>
      <c r="H217" t="s">
        <v>3680</v>
      </c>
      <c r="I217" t="s">
        <v>3687</v>
      </c>
      <c r="J217" t="s">
        <v>3693</v>
      </c>
      <c r="K217" t="s">
        <v>3697</v>
      </c>
      <c r="L217">
        <v>4</v>
      </c>
      <c r="M217">
        <v>5000</v>
      </c>
      <c r="N217" t="s">
        <v>3701</v>
      </c>
      <c r="O217" t="s">
        <v>3705</v>
      </c>
      <c r="P217" s="2">
        <f t="shared" si="15"/>
        <v>45790</v>
      </c>
      <c r="Q217" t="str">
        <f t="shared" si="16"/>
        <v>Zain Kannan</v>
      </c>
      <c r="R217" t="str">
        <f t="shared" si="17"/>
        <v>Mumbai</v>
      </c>
      <c r="S217" t="str">
        <f t="shared" si="18"/>
        <v>Maharashtra</v>
      </c>
      <c r="T217">
        <f t="shared" si="19"/>
        <v>20000</v>
      </c>
    </row>
    <row r="218" spans="1:20" x14ac:dyDescent="0.35">
      <c r="A218" t="s">
        <v>231</v>
      </c>
      <c r="B218" t="s">
        <v>1317</v>
      </c>
      <c r="C218" t="s">
        <v>1972</v>
      </c>
      <c r="D218" t="s">
        <v>2699</v>
      </c>
      <c r="E218" t="s">
        <v>3672</v>
      </c>
      <c r="F218">
        <v>49</v>
      </c>
      <c r="G218" t="s">
        <v>3677</v>
      </c>
      <c r="H218" t="s">
        <v>3680</v>
      </c>
      <c r="I218" t="s">
        <v>3686</v>
      </c>
      <c r="J218" t="s">
        <v>3693</v>
      </c>
      <c r="K218" t="s">
        <v>3696</v>
      </c>
      <c r="L218">
        <v>2</v>
      </c>
      <c r="M218">
        <v>65000</v>
      </c>
      <c r="N218" t="s">
        <v>3704</v>
      </c>
      <c r="O218" t="s">
        <v>3705</v>
      </c>
      <c r="P218" s="2">
        <f t="shared" si="15"/>
        <v>45734</v>
      </c>
      <c r="Q218" t="str">
        <f t="shared" si="16"/>
        <v>Vivaan Gandhi</v>
      </c>
      <c r="R218" t="str">
        <f t="shared" si="17"/>
        <v>Mumbai</v>
      </c>
      <c r="S218" t="str">
        <f t="shared" si="18"/>
        <v>Maharashtra</v>
      </c>
      <c r="T218">
        <f t="shared" si="19"/>
        <v>130000</v>
      </c>
    </row>
    <row r="219" spans="1:20" x14ac:dyDescent="0.35">
      <c r="A219" t="s">
        <v>232</v>
      </c>
      <c r="B219" t="s">
        <v>1403</v>
      </c>
      <c r="C219" t="s">
        <v>1972</v>
      </c>
      <c r="D219" t="s">
        <v>2700</v>
      </c>
      <c r="E219" t="s">
        <v>3672</v>
      </c>
      <c r="F219">
        <v>46</v>
      </c>
      <c r="G219" t="s">
        <v>3673</v>
      </c>
      <c r="H219" t="s">
        <v>3673</v>
      </c>
      <c r="I219" t="s">
        <v>3685</v>
      </c>
      <c r="J219" t="s">
        <v>3692</v>
      </c>
      <c r="K219" t="s">
        <v>3695</v>
      </c>
      <c r="L219">
        <v>2</v>
      </c>
      <c r="M219">
        <v>12000</v>
      </c>
      <c r="N219" t="s">
        <v>3703</v>
      </c>
      <c r="O219" t="s">
        <v>3705</v>
      </c>
      <c r="P219" s="2">
        <f t="shared" si="15"/>
        <v>45711</v>
      </c>
      <c r="Q219" t="str">
        <f t="shared" si="16"/>
        <v>Zara Ganguly</v>
      </c>
      <c r="R219" t="str">
        <f t="shared" si="17"/>
        <v>Delhi</v>
      </c>
      <c r="S219" t="str">
        <f t="shared" si="18"/>
        <v>Delhi</v>
      </c>
      <c r="T219">
        <f t="shared" si="19"/>
        <v>24000</v>
      </c>
    </row>
    <row r="220" spans="1:20" x14ac:dyDescent="0.35">
      <c r="A220" t="s">
        <v>233</v>
      </c>
      <c r="B220" t="s">
        <v>1404</v>
      </c>
      <c r="C220" t="s">
        <v>1973</v>
      </c>
      <c r="D220" t="s">
        <v>2701</v>
      </c>
      <c r="E220" t="s">
        <v>3671</v>
      </c>
      <c r="F220">
        <v>41</v>
      </c>
      <c r="G220" t="s">
        <v>3677</v>
      </c>
      <c r="H220" t="s">
        <v>3680</v>
      </c>
      <c r="I220" t="s">
        <v>3689</v>
      </c>
      <c r="J220" t="s">
        <v>3694</v>
      </c>
      <c r="K220" t="s">
        <v>3699</v>
      </c>
      <c r="L220">
        <v>5</v>
      </c>
      <c r="M220">
        <v>1800</v>
      </c>
      <c r="N220" t="s">
        <v>3701</v>
      </c>
      <c r="O220" t="s">
        <v>3706</v>
      </c>
      <c r="P220" s="2">
        <f t="shared" si="15"/>
        <v>45920</v>
      </c>
      <c r="Q220" t="str">
        <f t="shared" si="16"/>
        <v>Biju Karan</v>
      </c>
      <c r="R220" t="str">
        <f t="shared" si="17"/>
        <v>Mumbai</v>
      </c>
      <c r="S220" t="str">
        <f t="shared" si="18"/>
        <v>Maharashtra</v>
      </c>
      <c r="T220">
        <f t="shared" si="19"/>
        <v>9000</v>
      </c>
    </row>
    <row r="221" spans="1:20" x14ac:dyDescent="0.35">
      <c r="A221" t="s">
        <v>234</v>
      </c>
      <c r="B221" t="s">
        <v>1405</v>
      </c>
      <c r="C221" t="s">
        <v>1974</v>
      </c>
      <c r="D221" t="s">
        <v>2702</v>
      </c>
      <c r="E221" t="s">
        <v>3671</v>
      </c>
      <c r="F221">
        <v>53</v>
      </c>
      <c r="G221" t="s">
        <v>3673</v>
      </c>
      <c r="H221" t="s">
        <v>3673</v>
      </c>
      <c r="I221" t="s">
        <v>3687</v>
      </c>
      <c r="J221" t="s">
        <v>3693</v>
      </c>
      <c r="K221" t="s">
        <v>3697</v>
      </c>
      <c r="L221">
        <v>2</v>
      </c>
      <c r="M221">
        <v>5000</v>
      </c>
      <c r="N221" t="s">
        <v>3704</v>
      </c>
      <c r="O221" t="s">
        <v>3707</v>
      </c>
      <c r="P221" s="2">
        <f t="shared" si="15"/>
        <v>45900</v>
      </c>
      <c r="Q221" t="str">
        <f t="shared" si="16"/>
        <v>Nishith Gara</v>
      </c>
      <c r="R221" t="str">
        <f t="shared" si="17"/>
        <v>Delhi</v>
      </c>
      <c r="S221" t="str">
        <f t="shared" si="18"/>
        <v>Delhi</v>
      </c>
      <c r="T221">
        <f t="shared" si="19"/>
        <v>10000</v>
      </c>
    </row>
    <row r="222" spans="1:20" x14ac:dyDescent="0.35">
      <c r="A222" t="s">
        <v>235</v>
      </c>
      <c r="B222" t="s">
        <v>1406</v>
      </c>
      <c r="C222" t="s">
        <v>1975</v>
      </c>
      <c r="D222" t="s">
        <v>2703</v>
      </c>
      <c r="E222" t="s">
        <v>3672</v>
      </c>
      <c r="F222">
        <v>39</v>
      </c>
      <c r="G222" t="s">
        <v>3677</v>
      </c>
      <c r="H222" t="s">
        <v>3680</v>
      </c>
      <c r="I222" t="s">
        <v>3687</v>
      </c>
      <c r="J222" t="s">
        <v>3693</v>
      </c>
      <c r="K222" t="s">
        <v>3697</v>
      </c>
      <c r="L222">
        <v>5</v>
      </c>
      <c r="M222">
        <v>5000</v>
      </c>
      <c r="N222" t="s">
        <v>3701</v>
      </c>
      <c r="O222" t="s">
        <v>3705</v>
      </c>
      <c r="P222" s="2">
        <f t="shared" si="15"/>
        <v>45927</v>
      </c>
      <c r="Q222" t="str">
        <f t="shared" si="16"/>
        <v>Advika Rajan</v>
      </c>
      <c r="R222" t="str">
        <f t="shared" si="17"/>
        <v>Mumbai</v>
      </c>
      <c r="S222" t="str">
        <f t="shared" si="18"/>
        <v>Maharashtra</v>
      </c>
      <c r="T222">
        <f t="shared" si="19"/>
        <v>25000</v>
      </c>
    </row>
    <row r="223" spans="1:20" x14ac:dyDescent="0.35">
      <c r="A223" t="s">
        <v>236</v>
      </c>
      <c r="B223" t="s">
        <v>1261</v>
      </c>
      <c r="C223" t="s">
        <v>1976</v>
      </c>
      <c r="D223" t="s">
        <v>2704</v>
      </c>
      <c r="E223" t="s">
        <v>3672</v>
      </c>
      <c r="F223">
        <v>37</v>
      </c>
      <c r="G223" t="s">
        <v>3678</v>
      </c>
      <c r="H223" t="s">
        <v>3683</v>
      </c>
      <c r="I223" t="s">
        <v>3689</v>
      </c>
      <c r="J223" t="s">
        <v>3694</v>
      </c>
      <c r="K223" t="s">
        <v>3699</v>
      </c>
      <c r="L223">
        <v>3</v>
      </c>
      <c r="M223">
        <v>1800</v>
      </c>
      <c r="N223" t="s">
        <v>3701</v>
      </c>
      <c r="O223" t="s">
        <v>3705</v>
      </c>
      <c r="P223" s="2">
        <f t="shared" si="15"/>
        <v>45857</v>
      </c>
      <c r="Q223" t="str">
        <f t="shared" si="16"/>
        <v>Raghav Chanda</v>
      </c>
      <c r="R223" t="str">
        <f t="shared" si="17"/>
        <v>Hyderabad</v>
      </c>
      <c r="S223" t="str">
        <f t="shared" si="18"/>
        <v>Telangana</v>
      </c>
      <c r="T223">
        <f t="shared" si="19"/>
        <v>5400</v>
      </c>
    </row>
    <row r="224" spans="1:20" x14ac:dyDescent="0.35">
      <c r="A224" t="s">
        <v>237</v>
      </c>
      <c r="B224" t="s">
        <v>1407</v>
      </c>
      <c r="C224" t="s">
        <v>1977</v>
      </c>
      <c r="D224" t="s">
        <v>2705</v>
      </c>
      <c r="E224" t="s">
        <v>3672</v>
      </c>
      <c r="F224">
        <v>20</v>
      </c>
      <c r="G224" t="s">
        <v>3673</v>
      </c>
      <c r="H224" t="s">
        <v>3673</v>
      </c>
      <c r="I224" t="s">
        <v>3686</v>
      </c>
      <c r="J224" t="s">
        <v>3693</v>
      </c>
      <c r="K224" t="s">
        <v>3696</v>
      </c>
      <c r="L224">
        <v>2</v>
      </c>
      <c r="M224">
        <v>65000</v>
      </c>
      <c r="N224" t="s">
        <v>3702</v>
      </c>
      <c r="O224" t="s">
        <v>3707</v>
      </c>
      <c r="P224" s="2">
        <f t="shared" si="15"/>
        <v>45902</v>
      </c>
      <c r="Q224" t="str">
        <f t="shared" si="16"/>
        <v>Kanav Varty</v>
      </c>
      <c r="R224" t="str">
        <f t="shared" si="17"/>
        <v>Delhi</v>
      </c>
      <c r="S224" t="str">
        <f t="shared" si="18"/>
        <v>Delhi</v>
      </c>
      <c r="T224">
        <f t="shared" si="19"/>
        <v>130000</v>
      </c>
    </row>
    <row r="225" spans="1:20" x14ac:dyDescent="0.35">
      <c r="A225" t="s">
        <v>238</v>
      </c>
      <c r="B225" t="s">
        <v>1278</v>
      </c>
      <c r="C225" t="s">
        <v>1978</v>
      </c>
      <c r="D225" t="s">
        <v>2706</v>
      </c>
      <c r="E225" t="s">
        <v>3672</v>
      </c>
      <c r="F225">
        <v>37</v>
      </c>
      <c r="G225" t="s">
        <v>3673</v>
      </c>
      <c r="H225" t="s">
        <v>3673</v>
      </c>
      <c r="I225" t="s">
        <v>3689</v>
      </c>
      <c r="J225" t="s">
        <v>3694</v>
      </c>
      <c r="K225" t="s">
        <v>3699</v>
      </c>
      <c r="L225">
        <v>2</v>
      </c>
      <c r="M225">
        <v>1800</v>
      </c>
      <c r="N225" t="s">
        <v>3701</v>
      </c>
      <c r="O225" t="s">
        <v>3706</v>
      </c>
      <c r="P225" s="2">
        <f t="shared" si="15"/>
        <v>45924</v>
      </c>
      <c r="Q225" t="str">
        <f t="shared" si="16"/>
        <v>Yakshit Divan</v>
      </c>
      <c r="R225" t="str">
        <f t="shared" si="17"/>
        <v>Delhi</v>
      </c>
      <c r="S225" t="str">
        <f t="shared" si="18"/>
        <v>Delhi</v>
      </c>
      <c r="T225">
        <f t="shared" si="19"/>
        <v>3600</v>
      </c>
    </row>
    <row r="226" spans="1:20" x14ac:dyDescent="0.35">
      <c r="A226" t="s">
        <v>239</v>
      </c>
      <c r="B226" t="s">
        <v>1272</v>
      </c>
      <c r="C226" t="s">
        <v>1979</v>
      </c>
      <c r="D226" t="s">
        <v>2707</v>
      </c>
      <c r="E226" t="s">
        <v>3671</v>
      </c>
      <c r="F226">
        <v>53</v>
      </c>
      <c r="G226" t="s">
        <v>3675</v>
      </c>
      <c r="H226" t="s">
        <v>3681</v>
      </c>
      <c r="I226" t="s">
        <v>3688</v>
      </c>
      <c r="J226" t="s">
        <v>3694</v>
      </c>
      <c r="K226" t="s">
        <v>3698</v>
      </c>
      <c r="L226">
        <v>5</v>
      </c>
      <c r="M226">
        <v>4500</v>
      </c>
      <c r="N226" t="s">
        <v>3702</v>
      </c>
      <c r="O226" t="s">
        <v>3705</v>
      </c>
      <c r="P226" s="2">
        <f t="shared" si="15"/>
        <v>45827</v>
      </c>
      <c r="Q226" t="str">
        <f t="shared" si="16"/>
        <v>Vaibhav Sarna</v>
      </c>
      <c r="R226" t="str">
        <f t="shared" si="17"/>
        <v>Kolkata</v>
      </c>
      <c r="S226" t="str">
        <f t="shared" si="18"/>
        <v>West Bengal</v>
      </c>
      <c r="T226">
        <f t="shared" si="19"/>
        <v>22500</v>
      </c>
    </row>
    <row r="227" spans="1:20" x14ac:dyDescent="0.35">
      <c r="A227" t="s">
        <v>240</v>
      </c>
      <c r="B227" t="s">
        <v>1300</v>
      </c>
      <c r="C227" t="s">
        <v>1980</v>
      </c>
      <c r="D227" t="s">
        <v>2708</v>
      </c>
      <c r="E227" t="s">
        <v>3671</v>
      </c>
      <c r="F227">
        <v>53</v>
      </c>
      <c r="G227" t="s">
        <v>3674</v>
      </c>
      <c r="H227" t="s">
        <v>3680</v>
      </c>
      <c r="I227" t="s">
        <v>3686</v>
      </c>
      <c r="J227" t="s">
        <v>3693</v>
      </c>
      <c r="K227" t="s">
        <v>3696</v>
      </c>
      <c r="L227">
        <v>1</v>
      </c>
      <c r="M227">
        <v>65000</v>
      </c>
      <c r="N227" t="s">
        <v>3703</v>
      </c>
      <c r="O227" t="s">
        <v>3707</v>
      </c>
      <c r="P227" s="2">
        <f t="shared" si="15"/>
        <v>45905</v>
      </c>
      <c r="Q227" t="str">
        <f t="shared" si="16"/>
        <v>Jhanvi Dewan</v>
      </c>
      <c r="R227" t="str">
        <f t="shared" si="17"/>
        <v>Pune</v>
      </c>
      <c r="S227" t="str">
        <f t="shared" si="18"/>
        <v>Maharashtra</v>
      </c>
      <c r="T227">
        <f t="shared" si="19"/>
        <v>65000</v>
      </c>
    </row>
    <row r="228" spans="1:20" x14ac:dyDescent="0.35">
      <c r="A228" t="s">
        <v>241</v>
      </c>
      <c r="B228" t="s">
        <v>1408</v>
      </c>
      <c r="C228" t="s">
        <v>1981</v>
      </c>
      <c r="D228" t="s">
        <v>2709</v>
      </c>
      <c r="E228" t="s">
        <v>3671</v>
      </c>
      <c r="F228">
        <v>51</v>
      </c>
      <c r="G228" t="s">
        <v>3675</v>
      </c>
      <c r="H228" t="s">
        <v>3681</v>
      </c>
      <c r="I228" t="s">
        <v>3685</v>
      </c>
      <c r="J228" t="s">
        <v>3692</v>
      </c>
      <c r="K228" t="s">
        <v>3695</v>
      </c>
      <c r="L228">
        <v>4</v>
      </c>
      <c r="M228">
        <v>12000</v>
      </c>
      <c r="N228" t="s">
        <v>3704</v>
      </c>
      <c r="O228" t="s">
        <v>3705</v>
      </c>
      <c r="P228" s="2">
        <f t="shared" si="15"/>
        <v>46019</v>
      </c>
      <c r="Q228" t="str">
        <f t="shared" si="16"/>
        <v>Anay Dass</v>
      </c>
      <c r="R228" t="str">
        <f t="shared" si="17"/>
        <v>Kolkata</v>
      </c>
      <c r="S228" t="str">
        <f t="shared" si="18"/>
        <v>West Bengal</v>
      </c>
      <c r="T228">
        <f t="shared" si="19"/>
        <v>48000</v>
      </c>
    </row>
    <row r="229" spans="1:20" x14ac:dyDescent="0.35">
      <c r="A229" t="s">
        <v>242</v>
      </c>
      <c r="B229" t="s">
        <v>1409</v>
      </c>
      <c r="C229" t="s">
        <v>1982</v>
      </c>
      <c r="D229" t="s">
        <v>2710</v>
      </c>
      <c r="E229" t="s">
        <v>3671</v>
      </c>
      <c r="F229">
        <v>56</v>
      </c>
      <c r="G229" t="s">
        <v>3674</v>
      </c>
      <c r="H229" t="s">
        <v>3680</v>
      </c>
      <c r="I229" t="s">
        <v>3691</v>
      </c>
      <c r="J229" t="s">
        <v>3693</v>
      </c>
      <c r="K229" t="s">
        <v>3696</v>
      </c>
      <c r="L229">
        <v>1</v>
      </c>
      <c r="M229">
        <v>58000</v>
      </c>
      <c r="N229" t="s">
        <v>3704</v>
      </c>
      <c r="O229" t="s">
        <v>3705</v>
      </c>
      <c r="P229" s="2">
        <f t="shared" si="15"/>
        <v>45727</v>
      </c>
      <c r="Q229" t="str">
        <f t="shared" si="16"/>
        <v>Aarush Bora</v>
      </c>
      <c r="R229" t="str">
        <f t="shared" si="17"/>
        <v>Pune</v>
      </c>
      <c r="S229" t="str">
        <f t="shared" si="18"/>
        <v>Maharashtra</v>
      </c>
      <c r="T229">
        <f t="shared" si="19"/>
        <v>58000</v>
      </c>
    </row>
    <row r="230" spans="1:20" x14ac:dyDescent="0.35">
      <c r="A230" t="s">
        <v>243</v>
      </c>
      <c r="B230" t="s">
        <v>1410</v>
      </c>
      <c r="C230" t="s">
        <v>1983</v>
      </c>
      <c r="D230" t="s">
        <v>2711</v>
      </c>
      <c r="E230" t="s">
        <v>3671</v>
      </c>
      <c r="F230">
        <v>58</v>
      </c>
      <c r="G230" t="s">
        <v>3675</v>
      </c>
      <c r="H230" t="s">
        <v>3681</v>
      </c>
      <c r="I230" t="s">
        <v>3686</v>
      </c>
      <c r="J230" t="s">
        <v>3693</v>
      </c>
      <c r="K230" t="s">
        <v>3696</v>
      </c>
      <c r="L230">
        <v>3</v>
      </c>
      <c r="M230">
        <v>65000</v>
      </c>
      <c r="N230" t="s">
        <v>3702</v>
      </c>
      <c r="O230" t="s">
        <v>3706</v>
      </c>
      <c r="P230" s="2">
        <f t="shared" si="15"/>
        <v>45765</v>
      </c>
      <c r="Q230" t="str">
        <f t="shared" si="16"/>
        <v>Advik Dyal</v>
      </c>
      <c r="R230" t="str">
        <f t="shared" si="17"/>
        <v>Kolkata</v>
      </c>
      <c r="S230" t="str">
        <f t="shared" si="18"/>
        <v>West Bengal</v>
      </c>
      <c r="T230">
        <f t="shared" si="19"/>
        <v>195000</v>
      </c>
    </row>
    <row r="231" spans="1:20" x14ac:dyDescent="0.35">
      <c r="A231" t="s">
        <v>244</v>
      </c>
      <c r="B231" t="s">
        <v>1411</v>
      </c>
      <c r="C231" t="s">
        <v>1984</v>
      </c>
      <c r="D231" t="s">
        <v>2712</v>
      </c>
      <c r="E231" t="s">
        <v>3672</v>
      </c>
      <c r="F231">
        <v>56</v>
      </c>
      <c r="G231" t="s">
        <v>3678</v>
      </c>
      <c r="H231" t="s">
        <v>3683</v>
      </c>
      <c r="I231" t="s">
        <v>3690</v>
      </c>
      <c r="J231" t="s">
        <v>3693</v>
      </c>
      <c r="K231" t="s">
        <v>3700</v>
      </c>
      <c r="L231">
        <v>4</v>
      </c>
      <c r="M231">
        <v>72000</v>
      </c>
      <c r="N231" t="s">
        <v>3704</v>
      </c>
      <c r="O231" t="s">
        <v>3707</v>
      </c>
      <c r="P231" s="2">
        <f t="shared" si="15"/>
        <v>45857</v>
      </c>
      <c r="Q231" t="str">
        <f t="shared" si="16"/>
        <v>Lagan Behl</v>
      </c>
      <c r="R231" t="str">
        <f t="shared" si="17"/>
        <v>Hyderabad</v>
      </c>
      <c r="S231" t="str">
        <f t="shared" si="18"/>
        <v>Telangana</v>
      </c>
      <c r="T231">
        <f t="shared" si="19"/>
        <v>288000</v>
      </c>
    </row>
    <row r="232" spans="1:20" x14ac:dyDescent="0.35">
      <c r="A232" t="s">
        <v>245</v>
      </c>
      <c r="B232" t="s">
        <v>1285</v>
      </c>
      <c r="C232" t="s">
        <v>1963</v>
      </c>
      <c r="D232" t="s">
        <v>2713</v>
      </c>
      <c r="E232" t="s">
        <v>3671</v>
      </c>
      <c r="F232">
        <v>28</v>
      </c>
      <c r="G232" t="s">
        <v>3678</v>
      </c>
      <c r="H232" t="s">
        <v>3683</v>
      </c>
      <c r="I232" t="s">
        <v>3691</v>
      </c>
      <c r="J232" t="s">
        <v>3693</v>
      </c>
      <c r="K232" t="s">
        <v>3696</v>
      </c>
      <c r="L232">
        <v>3</v>
      </c>
      <c r="M232">
        <v>58000</v>
      </c>
      <c r="N232" t="s">
        <v>3704</v>
      </c>
      <c r="O232" t="s">
        <v>3705</v>
      </c>
      <c r="P232" s="2">
        <f t="shared" si="15"/>
        <v>45971</v>
      </c>
      <c r="Q232" t="str">
        <f t="shared" si="16"/>
        <v>Stuvan Chaudhry</v>
      </c>
      <c r="R232" t="str">
        <f t="shared" si="17"/>
        <v>Hyderabad</v>
      </c>
      <c r="S232" t="str">
        <f t="shared" si="18"/>
        <v>Telangana</v>
      </c>
      <c r="T232">
        <f t="shared" si="19"/>
        <v>174000</v>
      </c>
    </row>
    <row r="233" spans="1:20" x14ac:dyDescent="0.35">
      <c r="A233" t="s">
        <v>246</v>
      </c>
      <c r="B233" t="s">
        <v>1377</v>
      </c>
      <c r="C233" t="s">
        <v>1985</v>
      </c>
      <c r="D233" t="s">
        <v>2714</v>
      </c>
      <c r="E233" t="s">
        <v>3671</v>
      </c>
      <c r="F233">
        <v>57</v>
      </c>
      <c r="G233" t="s">
        <v>3675</v>
      </c>
      <c r="H233" t="s">
        <v>3681</v>
      </c>
      <c r="I233" t="s">
        <v>3687</v>
      </c>
      <c r="J233" t="s">
        <v>3693</v>
      </c>
      <c r="K233" t="s">
        <v>3697</v>
      </c>
      <c r="L233">
        <v>4</v>
      </c>
      <c r="M233">
        <v>5000</v>
      </c>
      <c r="N233" t="s">
        <v>3701</v>
      </c>
      <c r="O233" t="s">
        <v>3705</v>
      </c>
      <c r="P233" s="2">
        <f t="shared" si="15"/>
        <v>45704</v>
      </c>
      <c r="Q233" t="str">
        <f t="shared" si="16"/>
        <v>Alisha Malhotra</v>
      </c>
      <c r="R233" t="str">
        <f t="shared" si="17"/>
        <v>Kolkata</v>
      </c>
      <c r="S233" t="str">
        <f t="shared" si="18"/>
        <v>West Bengal</v>
      </c>
      <c r="T233">
        <f t="shared" si="19"/>
        <v>20000</v>
      </c>
    </row>
    <row r="234" spans="1:20" x14ac:dyDescent="0.35">
      <c r="A234" t="s">
        <v>247</v>
      </c>
      <c r="B234" t="s">
        <v>1412</v>
      </c>
      <c r="C234" t="s">
        <v>1986</v>
      </c>
      <c r="D234" t="s">
        <v>2715</v>
      </c>
      <c r="E234" t="s">
        <v>3671</v>
      </c>
      <c r="F234">
        <v>23</v>
      </c>
      <c r="G234" t="s">
        <v>3673</v>
      </c>
      <c r="H234" t="s">
        <v>3673</v>
      </c>
      <c r="I234" t="s">
        <v>3688</v>
      </c>
      <c r="J234" t="s">
        <v>3694</v>
      </c>
      <c r="K234" t="s">
        <v>3698</v>
      </c>
      <c r="L234">
        <v>3</v>
      </c>
      <c r="M234">
        <v>4500</v>
      </c>
      <c r="N234" t="s">
        <v>3701</v>
      </c>
      <c r="O234" t="s">
        <v>3707</v>
      </c>
      <c r="P234" s="2">
        <f t="shared" si="15"/>
        <v>45979</v>
      </c>
      <c r="Q234" t="str">
        <f t="shared" si="16"/>
        <v>Arnav Choudhary</v>
      </c>
      <c r="R234" t="str">
        <f t="shared" si="17"/>
        <v>Delhi</v>
      </c>
      <c r="S234" t="str">
        <f t="shared" si="18"/>
        <v>Delhi</v>
      </c>
      <c r="T234">
        <f t="shared" si="19"/>
        <v>13500</v>
      </c>
    </row>
    <row r="235" spans="1:20" x14ac:dyDescent="0.35">
      <c r="A235" t="s">
        <v>248</v>
      </c>
      <c r="B235" t="s">
        <v>1413</v>
      </c>
      <c r="C235" t="s">
        <v>1987</v>
      </c>
      <c r="D235" t="s">
        <v>2716</v>
      </c>
      <c r="E235" t="s">
        <v>3672</v>
      </c>
      <c r="F235">
        <v>22</v>
      </c>
      <c r="G235" t="s">
        <v>3679</v>
      </c>
      <c r="H235" t="s">
        <v>3684</v>
      </c>
      <c r="I235" t="s">
        <v>3689</v>
      </c>
      <c r="J235" t="s">
        <v>3694</v>
      </c>
      <c r="K235" t="s">
        <v>3699</v>
      </c>
      <c r="L235">
        <v>4</v>
      </c>
      <c r="M235">
        <v>1800</v>
      </c>
      <c r="N235" t="s">
        <v>3702</v>
      </c>
      <c r="O235" t="s">
        <v>3707</v>
      </c>
      <c r="P235" s="2">
        <f t="shared" si="15"/>
        <v>45730</v>
      </c>
      <c r="Q235" t="str">
        <f t="shared" si="16"/>
        <v>Rania Jhaveri</v>
      </c>
      <c r="R235" t="str">
        <f t="shared" si="17"/>
        <v>Bengaluru</v>
      </c>
      <c r="S235" t="str">
        <f t="shared" si="18"/>
        <v>Karnataka</v>
      </c>
      <c r="T235">
        <f t="shared" si="19"/>
        <v>7200</v>
      </c>
    </row>
    <row r="236" spans="1:20" x14ac:dyDescent="0.35">
      <c r="A236" t="s">
        <v>249</v>
      </c>
      <c r="B236" t="s">
        <v>1414</v>
      </c>
      <c r="C236" t="s">
        <v>1988</v>
      </c>
      <c r="D236" t="s">
        <v>2717</v>
      </c>
      <c r="E236" t="s">
        <v>3672</v>
      </c>
      <c r="F236">
        <v>18</v>
      </c>
      <c r="G236" t="s">
        <v>3678</v>
      </c>
      <c r="H236" t="s">
        <v>3683</v>
      </c>
      <c r="I236" t="s">
        <v>3690</v>
      </c>
      <c r="J236" t="s">
        <v>3693</v>
      </c>
      <c r="K236" t="s">
        <v>3700</v>
      </c>
      <c r="L236">
        <v>5</v>
      </c>
      <c r="M236">
        <v>72000</v>
      </c>
      <c r="N236" t="s">
        <v>3701</v>
      </c>
      <c r="O236" t="s">
        <v>3706</v>
      </c>
      <c r="P236" s="2">
        <f t="shared" si="15"/>
        <v>45883</v>
      </c>
      <c r="Q236" t="str">
        <f t="shared" si="16"/>
        <v>Farhan Dhar</v>
      </c>
      <c r="R236" t="str">
        <f t="shared" si="17"/>
        <v>Hyderabad</v>
      </c>
      <c r="S236" t="str">
        <f t="shared" si="18"/>
        <v>Telangana</v>
      </c>
      <c r="T236">
        <f t="shared" si="19"/>
        <v>360000</v>
      </c>
    </row>
    <row r="237" spans="1:20" x14ac:dyDescent="0.35">
      <c r="A237" t="s">
        <v>250</v>
      </c>
      <c r="B237" t="s">
        <v>1415</v>
      </c>
      <c r="C237" t="s">
        <v>1989</v>
      </c>
      <c r="D237" t="s">
        <v>2718</v>
      </c>
      <c r="E237" t="s">
        <v>3671</v>
      </c>
      <c r="F237">
        <v>54</v>
      </c>
      <c r="G237" t="s">
        <v>3678</v>
      </c>
      <c r="H237" t="s">
        <v>3683</v>
      </c>
      <c r="I237" t="s">
        <v>3685</v>
      </c>
      <c r="J237" t="s">
        <v>3692</v>
      </c>
      <c r="K237" t="s">
        <v>3695</v>
      </c>
      <c r="L237">
        <v>3</v>
      </c>
      <c r="M237">
        <v>12000</v>
      </c>
      <c r="N237" t="s">
        <v>3704</v>
      </c>
      <c r="O237" t="s">
        <v>3705</v>
      </c>
      <c r="P237" s="2">
        <f t="shared" si="15"/>
        <v>45951</v>
      </c>
      <c r="Q237" t="str">
        <f t="shared" si="16"/>
        <v>Ehsaan Thakur</v>
      </c>
      <c r="R237" t="str">
        <f t="shared" si="17"/>
        <v>Hyderabad</v>
      </c>
      <c r="S237" t="str">
        <f t="shared" si="18"/>
        <v>Telangana</v>
      </c>
      <c r="T237">
        <f t="shared" si="19"/>
        <v>36000</v>
      </c>
    </row>
    <row r="238" spans="1:20" x14ac:dyDescent="0.35">
      <c r="A238" t="s">
        <v>251</v>
      </c>
      <c r="B238" t="s">
        <v>1416</v>
      </c>
      <c r="C238" t="s">
        <v>1990</v>
      </c>
      <c r="D238" t="s">
        <v>2719</v>
      </c>
      <c r="E238" t="s">
        <v>3671</v>
      </c>
      <c r="F238">
        <v>27</v>
      </c>
      <c r="G238" t="s">
        <v>3673</v>
      </c>
      <c r="H238" t="s">
        <v>3673</v>
      </c>
      <c r="I238" t="s">
        <v>3685</v>
      </c>
      <c r="J238" t="s">
        <v>3692</v>
      </c>
      <c r="K238" t="s">
        <v>3695</v>
      </c>
      <c r="L238">
        <v>1</v>
      </c>
      <c r="M238">
        <v>12000</v>
      </c>
      <c r="N238" t="s">
        <v>3704</v>
      </c>
      <c r="O238" t="s">
        <v>3706</v>
      </c>
      <c r="P238" s="2">
        <f t="shared" si="15"/>
        <v>45786</v>
      </c>
      <c r="Q238" t="str">
        <f t="shared" si="16"/>
        <v>Samarth Kari</v>
      </c>
      <c r="R238" t="str">
        <f t="shared" si="17"/>
        <v>Delhi</v>
      </c>
      <c r="S238" t="str">
        <f t="shared" si="18"/>
        <v>Delhi</v>
      </c>
      <c r="T238">
        <f t="shared" si="19"/>
        <v>12000</v>
      </c>
    </row>
    <row r="239" spans="1:20" x14ac:dyDescent="0.35">
      <c r="A239" t="s">
        <v>252</v>
      </c>
      <c r="B239" t="s">
        <v>1288</v>
      </c>
      <c r="C239" t="s">
        <v>1991</v>
      </c>
      <c r="D239" t="s">
        <v>2720</v>
      </c>
      <c r="E239" t="s">
        <v>3672</v>
      </c>
      <c r="F239">
        <v>48</v>
      </c>
      <c r="G239" t="s">
        <v>3678</v>
      </c>
      <c r="H239" t="s">
        <v>3683</v>
      </c>
      <c r="I239" t="s">
        <v>3690</v>
      </c>
      <c r="J239" t="s">
        <v>3693</v>
      </c>
      <c r="K239" t="s">
        <v>3700</v>
      </c>
      <c r="L239">
        <v>4</v>
      </c>
      <c r="M239">
        <v>72000</v>
      </c>
      <c r="N239" t="s">
        <v>3701</v>
      </c>
      <c r="O239" t="s">
        <v>3706</v>
      </c>
      <c r="P239" s="2">
        <f t="shared" si="15"/>
        <v>45699</v>
      </c>
      <c r="Q239" t="str">
        <f t="shared" si="16"/>
        <v>Kiaan Sunder</v>
      </c>
      <c r="R239" t="str">
        <f t="shared" si="17"/>
        <v>Hyderabad</v>
      </c>
      <c r="S239" t="str">
        <f t="shared" si="18"/>
        <v>Telangana</v>
      </c>
      <c r="T239">
        <f t="shared" si="19"/>
        <v>288000</v>
      </c>
    </row>
    <row r="240" spans="1:20" x14ac:dyDescent="0.35">
      <c r="A240" t="s">
        <v>253</v>
      </c>
      <c r="B240" t="s">
        <v>1259</v>
      </c>
      <c r="C240" t="s">
        <v>1992</v>
      </c>
      <c r="D240" t="s">
        <v>2721</v>
      </c>
      <c r="E240" t="s">
        <v>3672</v>
      </c>
      <c r="F240">
        <v>20</v>
      </c>
      <c r="G240" t="s">
        <v>3673</v>
      </c>
      <c r="H240" t="s">
        <v>3673</v>
      </c>
      <c r="I240" t="s">
        <v>3690</v>
      </c>
      <c r="J240" t="s">
        <v>3693</v>
      </c>
      <c r="K240" t="s">
        <v>3700</v>
      </c>
      <c r="L240">
        <v>1</v>
      </c>
      <c r="M240">
        <v>72000</v>
      </c>
      <c r="N240" t="s">
        <v>3703</v>
      </c>
      <c r="O240" t="s">
        <v>3706</v>
      </c>
      <c r="P240" s="2">
        <f t="shared" si="15"/>
        <v>45924</v>
      </c>
      <c r="Q240" t="str">
        <f t="shared" si="16"/>
        <v>Nitara Bhasin</v>
      </c>
      <c r="R240" t="str">
        <f t="shared" si="17"/>
        <v>Delhi</v>
      </c>
      <c r="S240" t="str">
        <f t="shared" si="18"/>
        <v>Delhi</v>
      </c>
      <c r="T240">
        <f t="shared" si="19"/>
        <v>72000</v>
      </c>
    </row>
    <row r="241" spans="1:20" x14ac:dyDescent="0.35">
      <c r="A241" t="s">
        <v>254</v>
      </c>
      <c r="B241" t="s">
        <v>1417</v>
      </c>
      <c r="C241" t="s">
        <v>1993</v>
      </c>
      <c r="D241" t="s">
        <v>2722</v>
      </c>
      <c r="E241" t="s">
        <v>3672</v>
      </c>
      <c r="F241">
        <v>56</v>
      </c>
      <c r="G241" t="s">
        <v>3675</v>
      </c>
      <c r="H241" t="s">
        <v>3681</v>
      </c>
      <c r="I241" t="s">
        <v>3685</v>
      </c>
      <c r="J241" t="s">
        <v>3692</v>
      </c>
      <c r="K241" t="s">
        <v>3695</v>
      </c>
      <c r="L241">
        <v>2</v>
      </c>
      <c r="M241">
        <v>12000</v>
      </c>
      <c r="N241" t="s">
        <v>3703</v>
      </c>
      <c r="O241" t="s">
        <v>3707</v>
      </c>
      <c r="P241" s="2">
        <f t="shared" si="15"/>
        <v>45675</v>
      </c>
      <c r="Q241" t="str">
        <f t="shared" si="16"/>
        <v>Biju Sangha</v>
      </c>
      <c r="R241" t="str">
        <f t="shared" si="17"/>
        <v>Kolkata</v>
      </c>
      <c r="S241" t="str">
        <f t="shared" si="18"/>
        <v>West Bengal</v>
      </c>
      <c r="T241">
        <f t="shared" si="19"/>
        <v>24000</v>
      </c>
    </row>
    <row r="242" spans="1:20" x14ac:dyDescent="0.35">
      <c r="A242" t="s">
        <v>255</v>
      </c>
      <c r="B242" t="s">
        <v>1418</v>
      </c>
      <c r="C242" t="s">
        <v>1858</v>
      </c>
      <c r="D242" t="s">
        <v>2723</v>
      </c>
      <c r="E242" t="s">
        <v>3672</v>
      </c>
      <c r="F242">
        <v>41</v>
      </c>
      <c r="G242" t="s">
        <v>3673</v>
      </c>
      <c r="H242" t="s">
        <v>3673</v>
      </c>
      <c r="I242" t="s">
        <v>3689</v>
      </c>
      <c r="J242" t="s">
        <v>3694</v>
      </c>
      <c r="K242" t="s">
        <v>3699</v>
      </c>
      <c r="L242">
        <v>5</v>
      </c>
      <c r="M242">
        <v>1800</v>
      </c>
      <c r="N242" t="s">
        <v>3703</v>
      </c>
      <c r="O242" t="s">
        <v>3706</v>
      </c>
      <c r="P242" s="2">
        <f t="shared" si="15"/>
        <v>45864</v>
      </c>
      <c r="Q242" t="str">
        <f t="shared" si="16"/>
        <v>Divyansh Mandal</v>
      </c>
      <c r="R242" t="str">
        <f t="shared" si="17"/>
        <v>Delhi</v>
      </c>
      <c r="S242" t="str">
        <f t="shared" si="18"/>
        <v>Delhi</v>
      </c>
      <c r="T242">
        <f t="shared" si="19"/>
        <v>9000</v>
      </c>
    </row>
    <row r="243" spans="1:20" x14ac:dyDescent="0.35">
      <c r="A243" t="s">
        <v>256</v>
      </c>
      <c r="B243" t="s">
        <v>1419</v>
      </c>
      <c r="C243" t="s">
        <v>1994</v>
      </c>
      <c r="D243" t="s">
        <v>2724</v>
      </c>
      <c r="E243" t="s">
        <v>3672</v>
      </c>
      <c r="F243">
        <v>19</v>
      </c>
      <c r="G243" t="s">
        <v>3677</v>
      </c>
      <c r="H243" t="s">
        <v>3680</v>
      </c>
      <c r="I243" t="s">
        <v>3691</v>
      </c>
      <c r="J243" t="s">
        <v>3693</v>
      </c>
      <c r="K243" t="s">
        <v>3696</v>
      </c>
      <c r="L243">
        <v>1</v>
      </c>
      <c r="M243">
        <v>58000</v>
      </c>
      <c r="N243" t="s">
        <v>3702</v>
      </c>
      <c r="O243" t="s">
        <v>3705</v>
      </c>
      <c r="P243" s="2">
        <f t="shared" si="15"/>
        <v>45874</v>
      </c>
      <c r="Q243" t="str">
        <f t="shared" si="16"/>
        <v>Tarini Wadhwa</v>
      </c>
      <c r="R243" t="str">
        <f t="shared" si="17"/>
        <v>Mumbai</v>
      </c>
      <c r="S243" t="str">
        <f t="shared" si="18"/>
        <v>Maharashtra</v>
      </c>
      <c r="T243">
        <f t="shared" si="19"/>
        <v>58000</v>
      </c>
    </row>
    <row r="244" spans="1:20" x14ac:dyDescent="0.35">
      <c r="A244" t="s">
        <v>257</v>
      </c>
      <c r="B244" t="s">
        <v>1378</v>
      </c>
      <c r="C244" t="s">
        <v>1995</v>
      </c>
      <c r="D244" t="s">
        <v>2725</v>
      </c>
      <c r="E244" t="s">
        <v>3672</v>
      </c>
      <c r="F244">
        <v>36</v>
      </c>
      <c r="G244" t="s">
        <v>3676</v>
      </c>
      <c r="H244" t="s">
        <v>3682</v>
      </c>
      <c r="I244" t="s">
        <v>3688</v>
      </c>
      <c r="J244" t="s">
        <v>3694</v>
      </c>
      <c r="K244" t="s">
        <v>3698</v>
      </c>
      <c r="L244">
        <v>2</v>
      </c>
      <c r="M244">
        <v>4500</v>
      </c>
      <c r="N244" t="s">
        <v>3703</v>
      </c>
      <c r="O244" t="s">
        <v>3706</v>
      </c>
      <c r="P244" s="2">
        <f t="shared" si="15"/>
        <v>45783</v>
      </c>
      <c r="Q244" t="str">
        <f t="shared" si="16"/>
        <v>Shaan Sane</v>
      </c>
      <c r="R244" t="str">
        <f t="shared" si="17"/>
        <v>Chennai</v>
      </c>
      <c r="S244" t="str">
        <f t="shared" si="18"/>
        <v>Tamil Nadu</v>
      </c>
      <c r="T244">
        <f t="shared" si="19"/>
        <v>9000</v>
      </c>
    </row>
    <row r="245" spans="1:20" x14ac:dyDescent="0.35">
      <c r="A245" t="s">
        <v>258</v>
      </c>
      <c r="B245" t="s">
        <v>1420</v>
      </c>
      <c r="C245" t="s">
        <v>1996</v>
      </c>
      <c r="D245" t="s">
        <v>2726</v>
      </c>
      <c r="E245" t="s">
        <v>3671</v>
      </c>
      <c r="F245">
        <v>38</v>
      </c>
      <c r="G245" t="s">
        <v>3673</v>
      </c>
      <c r="H245" t="s">
        <v>3673</v>
      </c>
      <c r="I245" t="s">
        <v>3685</v>
      </c>
      <c r="J245" t="s">
        <v>3692</v>
      </c>
      <c r="K245" t="s">
        <v>3695</v>
      </c>
      <c r="L245">
        <v>4</v>
      </c>
      <c r="M245">
        <v>12000</v>
      </c>
      <c r="N245" t="s">
        <v>3704</v>
      </c>
      <c r="O245" t="s">
        <v>3705</v>
      </c>
      <c r="P245" s="2">
        <f t="shared" si="15"/>
        <v>45742</v>
      </c>
      <c r="Q245" t="str">
        <f t="shared" si="16"/>
        <v>Stuvan Amble</v>
      </c>
      <c r="R245" t="str">
        <f t="shared" si="17"/>
        <v>Delhi</v>
      </c>
      <c r="S245" t="str">
        <f t="shared" si="18"/>
        <v>Delhi</v>
      </c>
      <c r="T245">
        <f t="shared" si="19"/>
        <v>48000</v>
      </c>
    </row>
    <row r="246" spans="1:20" x14ac:dyDescent="0.35">
      <c r="A246" t="s">
        <v>259</v>
      </c>
      <c r="B246" t="s">
        <v>1421</v>
      </c>
      <c r="C246" t="s">
        <v>1997</v>
      </c>
      <c r="D246" t="s">
        <v>2727</v>
      </c>
      <c r="E246" t="s">
        <v>3672</v>
      </c>
      <c r="F246">
        <v>20</v>
      </c>
      <c r="G246" t="s">
        <v>3677</v>
      </c>
      <c r="H246" t="s">
        <v>3680</v>
      </c>
      <c r="I246" t="s">
        <v>3687</v>
      </c>
      <c r="J246" t="s">
        <v>3693</v>
      </c>
      <c r="K246" t="s">
        <v>3697</v>
      </c>
      <c r="L246">
        <v>2</v>
      </c>
      <c r="M246">
        <v>5000</v>
      </c>
      <c r="N246" t="s">
        <v>3701</v>
      </c>
      <c r="O246" t="s">
        <v>3705</v>
      </c>
      <c r="P246" s="2">
        <f t="shared" si="15"/>
        <v>45770</v>
      </c>
      <c r="Q246" t="str">
        <f t="shared" si="16"/>
        <v>Pranay Hegde</v>
      </c>
      <c r="R246" t="str">
        <f t="shared" si="17"/>
        <v>Mumbai</v>
      </c>
      <c r="S246" t="str">
        <f t="shared" si="18"/>
        <v>Maharashtra</v>
      </c>
      <c r="T246">
        <f t="shared" si="19"/>
        <v>10000</v>
      </c>
    </row>
    <row r="247" spans="1:20" x14ac:dyDescent="0.35">
      <c r="A247" t="s">
        <v>260</v>
      </c>
      <c r="B247" t="s">
        <v>1384</v>
      </c>
      <c r="C247" t="s">
        <v>1998</v>
      </c>
      <c r="D247" t="s">
        <v>2728</v>
      </c>
      <c r="E247" t="s">
        <v>3671</v>
      </c>
      <c r="F247">
        <v>21</v>
      </c>
      <c r="G247" t="s">
        <v>3676</v>
      </c>
      <c r="H247" t="s">
        <v>3682</v>
      </c>
      <c r="I247" t="s">
        <v>3688</v>
      </c>
      <c r="J247" t="s">
        <v>3694</v>
      </c>
      <c r="K247" t="s">
        <v>3698</v>
      </c>
      <c r="L247">
        <v>4</v>
      </c>
      <c r="M247">
        <v>4500</v>
      </c>
      <c r="N247" t="s">
        <v>3701</v>
      </c>
      <c r="O247" t="s">
        <v>3705</v>
      </c>
      <c r="P247" s="2">
        <f t="shared" si="15"/>
        <v>45891</v>
      </c>
      <c r="Q247" t="str">
        <f t="shared" si="16"/>
        <v>Tejas Dixit</v>
      </c>
      <c r="R247" t="str">
        <f t="shared" si="17"/>
        <v>Chennai</v>
      </c>
      <c r="S247" t="str">
        <f t="shared" si="18"/>
        <v>Tamil Nadu</v>
      </c>
      <c r="T247">
        <f t="shared" si="19"/>
        <v>18000</v>
      </c>
    </row>
    <row r="248" spans="1:20" x14ac:dyDescent="0.35">
      <c r="A248" t="s">
        <v>261</v>
      </c>
      <c r="B248" t="s">
        <v>1260</v>
      </c>
      <c r="C248" t="s">
        <v>1999</v>
      </c>
      <c r="D248" t="s">
        <v>2729</v>
      </c>
      <c r="E248" t="s">
        <v>3671</v>
      </c>
      <c r="F248">
        <v>32</v>
      </c>
      <c r="G248" t="s">
        <v>3678</v>
      </c>
      <c r="H248" t="s">
        <v>3683</v>
      </c>
      <c r="I248" t="s">
        <v>3685</v>
      </c>
      <c r="J248" t="s">
        <v>3692</v>
      </c>
      <c r="K248" t="s">
        <v>3695</v>
      </c>
      <c r="L248">
        <v>4</v>
      </c>
      <c r="M248">
        <v>12000</v>
      </c>
      <c r="N248" t="s">
        <v>3704</v>
      </c>
      <c r="O248" t="s">
        <v>3705</v>
      </c>
      <c r="P248" s="2">
        <f t="shared" si="15"/>
        <v>45877</v>
      </c>
      <c r="Q248" t="str">
        <f t="shared" si="16"/>
        <v>Farhan Mand</v>
      </c>
      <c r="R248" t="str">
        <f t="shared" si="17"/>
        <v>Hyderabad</v>
      </c>
      <c r="S248" t="str">
        <f t="shared" si="18"/>
        <v>Telangana</v>
      </c>
      <c r="T248">
        <f t="shared" si="19"/>
        <v>48000</v>
      </c>
    </row>
    <row r="249" spans="1:20" x14ac:dyDescent="0.35">
      <c r="A249" t="s">
        <v>262</v>
      </c>
      <c r="B249" t="s">
        <v>1337</v>
      </c>
      <c r="C249" t="s">
        <v>1834</v>
      </c>
      <c r="D249" t="s">
        <v>2730</v>
      </c>
      <c r="E249" t="s">
        <v>3671</v>
      </c>
      <c r="F249">
        <v>33</v>
      </c>
      <c r="G249" t="s">
        <v>3674</v>
      </c>
      <c r="H249" t="s">
        <v>3680</v>
      </c>
      <c r="I249" t="s">
        <v>3691</v>
      </c>
      <c r="J249" t="s">
        <v>3693</v>
      </c>
      <c r="K249" t="s">
        <v>3696</v>
      </c>
      <c r="L249">
        <v>1</v>
      </c>
      <c r="M249">
        <v>58000</v>
      </c>
      <c r="N249" t="s">
        <v>3703</v>
      </c>
      <c r="O249" t="s">
        <v>3706</v>
      </c>
      <c r="P249" s="2">
        <f t="shared" si="15"/>
        <v>45880</v>
      </c>
      <c r="Q249" t="str">
        <f t="shared" si="16"/>
        <v>Lakshit Srinivasan</v>
      </c>
      <c r="R249" t="str">
        <f t="shared" si="17"/>
        <v>Pune</v>
      </c>
      <c r="S249" t="str">
        <f t="shared" si="18"/>
        <v>Maharashtra</v>
      </c>
      <c r="T249">
        <f t="shared" si="19"/>
        <v>58000</v>
      </c>
    </row>
    <row r="250" spans="1:20" x14ac:dyDescent="0.35">
      <c r="A250" t="s">
        <v>263</v>
      </c>
      <c r="B250" t="s">
        <v>1422</v>
      </c>
      <c r="C250" t="s">
        <v>2000</v>
      </c>
      <c r="D250" t="s">
        <v>2731</v>
      </c>
      <c r="E250" t="s">
        <v>3671</v>
      </c>
      <c r="F250">
        <v>52</v>
      </c>
      <c r="G250" t="s">
        <v>3679</v>
      </c>
      <c r="H250" t="s">
        <v>3684</v>
      </c>
      <c r="I250" t="s">
        <v>3689</v>
      </c>
      <c r="J250" t="s">
        <v>3694</v>
      </c>
      <c r="K250" t="s">
        <v>3699</v>
      </c>
      <c r="L250">
        <v>2</v>
      </c>
      <c r="M250">
        <v>1800</v>
      </c>
      <c r="N250" t="s">
        <v>3702</v>
      </c>
      <c r="O250" t="s">
        <v>3705</v>
      </c>
      <c r="P250" s="2">
        <f t="shared" si="15"/>
        <v>45965</v>
      </c>
      <c r="Q250" t="str">
        <f t="shared" si="16"/>
        <v>Anya Shroff</v>
      </c>
      <c r="R250" t="str">
        <f t="shared" si="17"/>
        <v>Bengaluru</v>
      </c>
      <c r="S250" t="str">
        <f t="shared" si="18"/>
        <v>Karnataka</v>
      </c>
      <c r="T250">
        <f t="shared" si="19"/>
        <v>3600</v>
      </c>
    </row>
    <row r="251" spans="1:20" x14ac:dyDescent="0.35">
      <c r="A251" t="s">
        <v>264</v>
      </c>
      <c r="B251" t="s">
        <v>1423</v>
      </c>
      <c r="C251" t="s">
        <v>2001</v>
      </c>
      <c r="D251" t="s">
        <v>2732</v>
      </c>
      <c r="E251" t="s">
        <v>3672</v>
      </c>
      <c r="F251">
        <v>48</v>
      </c>
      <c r="G251" t="s">
        <v>3674</v>
      </c>
      <c r="H251" t="s">
        <v>3680</v>
      </c>
      <c r="I251" t="s">
        <v>3691</v>
      </c>
      <c r="J251" t="s">
        <v>3693</v>
      </c>
      <c r="K251" t="s">
        <v>3696</v>
      </c>
      <c r="L251">
        <v>1</v>
      </c>
      <c r="M251">
        <v>58000</v>
      </c>
      <c r="N251" t="s">
        <v>3704</v>
      </c>
      <c r="O251" t="s">
        <v>3706</v>
      </c>
      <c r="P251" s="2">
        <f t="shared" si="15"/>
        <v>45858</v>
      </c>
      <c r="Q251" t="str">
        <f t="shared" si="16"/>
        <v>Rati Bail</v>
      </c>
      <c r="R251" t="str">
        <f t="shared" si="17"/>
        <v>Pune</v>
      </c>
      <c r="S251" t="str">
        <f t="shared" si="18"/>
        <v>Maharashtra</v>
      </c>
      <c r="T251">
        <f t="shared" si="19"/>
        <v>58000</v>
      </c>
    </row>
    <row r="252" spans="1:20" x14ac:dyDescent="0.35">
      <c r="A252" t="s">
        <v>265</v>
      </c>
      <c r="B252" t="s">
        <v>1362</v>
      </c>
      <c r="C252" t="s">
        <v>2002</v>
      </c>
      <c r="D252" t="s">
        <v>2733</v>
      </c>
      <c r="E252" t="s">
        <v>3671</v>
      </c>
      <c r="F252">
        <v>56</v>
      </c>
      <c r="G252" t="s">
        <v>3673</v>
      </c>
      <c r="H252" t="s">
        <v>3673</v>
      </c>
      <c r="I252" t="s">
        <v>3689</v>
      </c>
      <c r="J252" t="s">
        <v>3694</v>
      </c>
      <c r="K252" t="s">
        <v>3699</v>
      </c>
      <c r="L252">
        <v>4</v>
      </c>
      <c r="M252">
        <v>1800</v>
      </c>
      <c r="N252" t="s">
        <v>3701</v>
      </c>
      <c r="O252" t="s">
        <v>3707</v>
      </c>
      <c r="P252" s="2">
        <f t="shared" si="15"/>
        <v>45674</v>
      </c>
      <c r="Q252" t="str">
        <f t="shared" si="16"/>
        <v>Samar Batta</v>
      </c>
      <c r="R252" t="str">
        <f t="shared" si="17"/>
        <v>Delhi</v>
      </c>
      <c r="S252" t="str">
        <f t="shared" si="18"/>
        <v>Delhi</v>
      </c>
      <c r="T252">
        <f t="shared" si="19"/>
        <v>7200</v>
      </c>
    </row>
    <row r="253" spans="1:20" x14ac:dyDescent="0.35">
      <c r="A253" t="s">
        <v>266</v>
      </c>
      <c r="B253" t="s">
        <v>1424</v>
      </c>
      <c r="C253" t="s">
        <v>1839</v>
      </c>
      <c r="D253" t="s">
        <v>2734</v>
      </c>
      <c r="E253" t="s">
        <v>3672</v>
      </c>
      <c r="F253">
        <v>19</v>
      </c>
      <c r="G253" t="s">
        <v>3677</v>
      </c>
      <c r="H253" t="s">
        <v>3680</v>
      </c>
      <c r="I253" t="s">
        <v>3687</v>
      </c>
      <c r="J253" t="s">
        <v>3693</v>
      </c>
      <c r="K253" t="s">
        <v>3697</v>
      </c>
      <c r="L253">
        <v>5</v>
      </c>
      <c r="M253">
        <v>5000</v>
      </c>
      <c r="N253" t="s">
        <v>3701</v>
      </c>
      <c r="O253" t="s">
        <v>3706</v>
      </c>
      <c r="P253" s="2">
        <f t="shared" si="15"/>
        <v>45743</v>
      </c>
      <c r="Q253" t="str">
        <f t="shared" si="16"/>
        <v>Madhav Sehgal</v>
      </c>
      <c r="R253" t="str">
        <f t="shared" si="17"/>
        <v>Mumbai</v>
      </c>
      <c r="S253" t="str">
        <f t="shared" si="18"/>
        <v>Maharashtra</v>
      </c>
      <c r="T253">
        <f t="shared" si="19"/>
        <v>25000</v>
      </c>
    </row>
    <row r="254" spans="1:20" x14ac:dyDescent="0.35">
      <c r="A254" t="s">
        <v>267</v>
      </c>
      <c r="B254" t="s">
        <v>1297</v>
      </c>
      <c r="C254" t="s">
        <v>2003</v>
      </c>
      <c r="D254" t="s">
        <v>2735</v>
      </c>
      <c r="E254" t="s">
        <v>3671</v>
      </c>
      <c r="F254">
        <v>33</v>
      </c>
      <c r="G254" t="s">
        <v>3679</v>
      </c>
      <c r="H254" t="s">
        <v>3684</v>
      </c>
      <c r="I254" t="s">
        <v>3686</v>
      </c>
      <c r="J254" t="s">
        <v>3693</v>
      </c>
      <c r="K254" t="s">
        <v>3696</v>
      </c>
      <c r="L254">
        <v>2</v>
      </c>
      <c r="M254">
        <v>65000</v>
      </c>
      <c r="N254" t="s">
        <v>3702</v>
      </c>
      <c r="O254" t="s">
        <v>3706</v>
      </c>
      <c r="P254" s="2">
        <f t="shared" si="15"/>
        <v>45871</v>
      </c>
      <c r="Q254" t="str">
        <f t="shared" si="16"/>
        <v>Amani Vig</v>
      </c>
      <c r="R254" t="str">
        <f t="shared" si="17"/>
        <v>Bengaluru</v>
      </c>
      <c r="S254" t="str">
        <f t="shared" si="18"/>
        <v>Karnataka</v>
      </c>
      <c r="T254">
        <f t="shared" si="19"/>
        <v>130000</v>
      </c>
    </row>
    <row r="255" spans="1:20" x14ac:dyDescent="0.35">
      <c r="A255" t="s">
        <v>268</v>
      </c>
      <c r="B255" t="s">
        <v>1425</v>
      </c>
      <c r="C255" t="s">
        <v>2004</v>
      </c>
      <c r="D255" t="s">
        <v>2736</v>
      </c>
      <c r="E255" t="s">
        <v>3671</v>
      </c>
      <c r="F255">
        <v>54</v>
      </c>
      <c r="G255" t="s">
        <v>3679</v>
      </c>
      <c r="H255" t="s">
        <v>3684</v>
      </c>
      <c r="I255" t="s">
        <v>3690</v>
      </c>
      <c r="J255" t="s">
        <v>3693</v>
      </c>
      <c r="K255" t="s">
        <v>3700</v>
      </c>
      <c r="L255">
        <v>3</v>
      </c>
      <c r="M255">
        <v>72000</v>
      </c>
      <c r="N255" t="s">
        <v>3701</v>
      </c>
      <c r="O255" t="s">
        <v>3707</v>
      </c>
      <c r="P255" s="2">
        <f t="shared" si="15"/>
        <v>45700</v>
      </c>
      <c r="Q255" t="str">
        <f t="shared" si="16"/>
        <v>Jivin Wali</v>
      </c>
      <c r="R255" t="str">
        <f t="shared" si="17"/>
        <v>Bengaluru</v>
      </c>
      <c r="S255" t="str">
        <f t="shared" si="18"/>
        <v>Karnataka</v>
      </c>
      <c r="T255">
        <f t="shared" si="19"/>
        <v>216000</v>
      </c>
    </row>
    <row r="256" spans="1:20" x14ac:dyDescent="0.35">
      <c r="A256" t="s">
        <v>269</v>
      </c>
      <c r="B256" t="s">
        <v>1426</v>
      </c>
      <c r="C256" t="s">
        <v>2005</v>
      </c>
      <c r="D256" t="s">
        <v>2737</v>
      </c>
      <c r="E256" t="s">
        <v>3672</v>
      </c>
      <c r="F256">
        <v>49</v>
      </c>
      <c r="G256" t="s">
        <v>3679</v>
      </c>
      <c r="H256" t="s">
        <v>3684</v>
      </c>
      <c r="I256" t="s">
        <v>3687</v>
      </c>
      <c r="J256" t="s">
        <v>3693</v>
      </c>
      <c r="K256" t="s">
        <v>3697</v>
      </c>
      <c r="L256">
        <v>1</v>
      </c>
      <c r="M256">
        <v>5000</v>
      </c>
      <c r="N256" t="s">
        <v>3702</v>
      </c>
      <c r="O256" t="s">
        <v>3706</v>
      </c>
      <c r="P256" s="2">
        <f t="shared" si="15"/>
        <v>45909</v>
      </c>
      <c r="Q256" t="str">
        <f t="shared" si="16"/>
        <v>Ivan Borde</v>
      </c>
      <c r="R256" t="str">
        <f t="shared" si="17"/>
        <v>Bengaluru</v>
      </c>
      <c r="S256" t="str">
        <f t="shared" si="18"/>
        <v>Karnataka</v>
      </c>
      <c r="T256">
        <f t="shared" si="19"/>
        <v>5000</v>
      </c>
    </row>
    <row r="257" spans="1:20" x14ac:dyDescent="0.35">
      <c r="A257" t="s">
        <v>270</v>
      </c>
      <c r="B257" t="s">
        <v>1368</v>
      </c>
      <c r="C257" t="s">
        <v>1795</v>
      </c>
      <c r="D257" t="s">
        <v>2738</v>
      </c>
      <c r="E257" t="s">
        <v>3672</v>
      </c>
      <c r="F257">
        <v>59</v>
      </c>
      <c r="G257" t="s">
        <v>3673</v>
      </c>
      <c r="H257" t="s">
        <v>3673</v>
      </c>
      <c r="I257" t="s">
        <v>3688</v>
      </c>
      <c r="J257" t="s">
        <v>3694</v>
      </c>
      <c r="K257" t="s">
        <v>3698</v>
      </c>
      <c r="L257">
        <v>3</v>
      </c>
      <c r="M257">
        <v>4500</v>
      </c>
      <c r="N257" t="s">
        <v>3703</v>
      </c>
      <c r="O257" t="s">
        <v>3707</v>
      </c>
      <c r="P257" s="2">
        <f t="shared" si="15"/>
        <v>45803</v>
      </c>
      <c r="Q257" t="str">
        <f t="shared" si="16"/>
        <v>Rasha Choudhury</v>
      </c>
      <c r="R257" t="str">
        <f t="shared" si="17"/>
        <v>Delhi</v>
      </c>
      <c r="S257" t="str">
        <f t="shared" si="18"/>
        <v>Delhi</v>
      </c>
      <c r="T257">
        <f t="shared" si="19"/>
        <v>13500</v>
      </c>
    </row>
    <row r="258" spans="1:20" x14ac:dyDescent="0.35">
      <c r="A258" t="s">
        <v>271</v>
      </c>
      <c r="B258" t="s">
        <v>1372</v>
      </c>
      <c r="C258" t="s">
        <v>1938</v>
      </c>
      <c r="D258" t="s">
        <v>2739</v>
      </c>
      <c r="E258" t="s">
        <v>3672</v>
      </c>
      <c r="F258">
        <v>22</v>
      </c>
      <c r="G258" t="s">
        <v>3674</v>
      </c>
      <c r="H258" t="s">
        <v>3680</v>
      </c>
      <c r="I258" t="s">
        <v>3688</v>
      </c>
      <c r="J258" t="s">
        <v>3694</v>
      </c>
      <c r="K258" t="s">
        <v>3698</v>
      </c>
      <c r="L258">
        <v>5</v>
      </c>
      <c r="M258">
        <v>4500</v>
      </c>
      <c r="N258" t="s">
        <v>3702</v>
      </c>
      <c r="O258" t="s">
        <v>3706</v>
      </c>
      <c r="P258" s="2">
        <f t="shared" si="15"/>
        <v>45921</v>
      </c>
      <c r="Q258" t="str">
        <f t="shared" si="16"/>
        <v>Abram Chada</v>
      </c>
      <c r="R258" t="str">
        <f t="shared" si="17"/>
        <v>Pune</v>
      </c>
      <c r="S258" t="str">
        <f t="shared" si="18"/>
        <v>Maharashtra</v>
      </c>
      <c r="T258">
        <f t="shared" si="19"/>
        <v>22500</v>
      </c>
    </row>
    <row r="259" spans="1:20" x14ac:dyDescent="0.35">
      <c r="A259" t="s">
        <v>272</v>
      </c>
      <c r="B259" t="s">
        <v>1427</v>
      </c>
      <c r="C259" t="s">
        <v>2006</v>
      </c>
      <c r="D259" t="s">
        <v>2740</v>
      </c>
      <c r="E259" t="s">
        <v>3672</v>
      </c>
      <c r="F259">
        <v>36</v>
      </c>
      <c r="G259" t="s">
        <v>3676</v>
      </c>
      <c r="H259" t="s">
        <v>3682</v>
      </c>
      <c r="I259" t="s">
        <v>3689</v>
      </c>
      <c r="J259" t="s">
        <v>3694</v>
      </c>
      <c r="K259" t="s">
        <v>3699</v>
      </c>
      <c r="L259">
        <v>5</v>
      </c>
      <c r="M259">
        <v>1800</v>
      </c>
      <c r="N259" t="s">
        <v>3701</v>
      </c>
      <c r="O259" t="s">
        <v>3706</v>
      </c>
      <c r="P259" s="2">
        <f t="shared" ref="P259:P322" si="20">DATEVALUE(SUBSTITUTE(B259,"/","-"))</f>
        <v>45888</v>
      </c>
      <c r="Q259" t="str">
        <f t="shared" ref="Q259:Q322" si="21">TRIM(CLEAN(D259))</f>
        <v>Nirvaan Kale</v>
      </c>
      <c r="R259" t="str">
        <f t="shared" ref="R259:R322" si="22">IF(G259="","Unknown",G259)</f>
        <v>Chennai</v>
      </c>
      <c r="S259" t="str">
        <f t="shared" ref="S259:S322" si="23">IF(H259="","Unknown",H259)</f>
        <v>Tamil Nadu</v>
      </c>
      <c r="T259">
        <f t="shared" ref="T259:T322" si="24">L259*M259</f>
        <v>9000</v>
      </c>
    </row>
    <row r="260" spans="1:20" x14ac:dyDescent="0.35">
      <c r="A260" t="s">
        <v>273</v>
      </c>
      <c r="B260" t="s">
        <v>1279</v>
      </c>
      <c r="C260" t="s">
        <v>2007</v>
      </c>
      <c r="D260" t="s">
        <v>2741</v>
      </c>
      <c r="E260" t="s">
        <v>3672</v>
      </c>
      <c r="F260">
        <v>52</v>
      </c>
      <c r="G260" t="s">
        <v>3677</v>
      </c>
      <c r="H260" t="s">
        <v>3680</v>
      </c>
      <c r="I260" t="s">
        <v>3687</v>
      </c>
      <c r="J260" t="s">
        <v>3693</v>
      </c>
      <c r="K260" t="s">
        <v>3697</v>
      </c>
      <c r="L260">
        <v>3</v>
      </c>
      <c r="M260">
        <v>5000</v>
      </c>
      <c r="N260" t="s">
        <v>3702</v>
      </c>
      <c r="O260" t="s">
        <v>3706</v>
      </c>
      <c r="P260" s="2">
        <f t="shared" si="20"/>
        <v>45717</v>
      </c>
      <c r="Q260" t="str">
        <f t="shared" si="21"/>
        <v>Aaryahi Verma</v>
      </c>
      <c r="R260" t="str">
        <f t="shared" si="22"/>
        <v>Mumbai</v>
      </c>
      <c r="S260" t="str">
        <f t="shared" si="23"/>
        <v>Maharashtra</v>
      </c>
      <c r="T260">
        <f t="shared" si="24"/>
        <v>15000</v>
      </c>
    </row>
    <row r="261" spans="1:20" x14ac:dyDescent="0.35">
      <c r="A261" t="s">
        <v>274</v>
      </c>
      <c r="B261" t="s">
        <v>1428</v>
      </c>
      <c r="C261" t="s">
        <v>2008</v>
      </c>
      <c r="D261" t="s">
        <v>2742</v>
      </c>
      <c r="E261" t="s">
        <v>3672</v>
      </c>
      <c r="F261">
        <v>25</v>
      </c>
      <c r="G261" t="s">
        <v>3676</v>
      </c>
      <c r="H261" t="s">
        <v>3682</v>
      </c>
      <c r="I261" t="s">
        <v>3687</v>
      </c>
      <c r="J261" t="s">
        <v>3693</v>
      </c>
      <c r="K261" t="s">
        <v>3697</v>
      </c>
      <c r="L261">
        <v>1</v>
      </c>
      <c r="M261">
        <v>5000</v>
      </c>
      <c r="N261" t="s">
        <v>3701</v>
      </c>
      <c r="O261" t="s">
        <v>3706</v>
      </c>
      <c r="P261" s="2">
        <f t="shared" si="20"/>
        <v>45960</v>
      </c>
      <c r="Q261" t="str">
        <f t="shared" si="21"/>
        <v>Kimaya Bhardwaj</v>
      </c>
      <c r="R261" t="str">
        <f t="shared" si="22"/>
        <v>Chennai</v>
      </c>
      <c r="S261" t="str">
        <f t="shared" si="23"/>
        <v>Tamil Nadu</v>
      </c>
      <c r="T261">
        <f t="shared" si="24"/>
        <v>5000</v>
      </c>
    </row>
    <row r="262" spans="1:20" x14ac:dyDescent="0.35">
      <c r="A262" t="s">
        <v>275</v>
      </c>
      <c r="B262" t="s">
        <v>1349</v>
      </c>
      <c r="C262" t="s">
        <v>1943</v>
      </c>
      <c r="D262" t="s">
        <v>2743</v>
      </c>
      <c r="E262" t="s">
        <v>3671</v>
      </c>
      <c r="F262">
        <v>47</v>
      </c>
      <c r="G262" t="s">
        <v>3674</v>
      </c>
      <c r="H262" t="s">
        <v>3680</v>
      </c>
      <c r="I262" t="s">
        <v>3685</v>
      </c>
      <c r="J262" t="s">
        <v>3692</v>
      </c>
      <c r="K262" t="s">
        <v>3695</v>
      </c>
      <c r="L262">
        <v>1</v>
      </c>
      <c r="M262">
        <v>12000</v>
      </c>
      <c r="N262" t="s">
        <v>3702</v>
      </c>
      <c r="O262" t="s">
        <v>3706</v>
      </c>
      <c r="P262" s="2">
        <f t="shared" si="20"/>
        <v>45758</v>
      </c>
      <c r="Q262" t="str">
        <f t="shared" si="21"/>
        <v>Sara Grover</v>
      </c>
      <c r="R262" t="str">
        <f t="shared" si="22"/>
        <v>Pune</v>
      </c>
      <c r="S262" t="str">
        <f t="shared" si="23"/>
        <v>Maharashtra</v>
      </c>
      <c r="T262">
        <f t="shared" si="24"/>
        <v>12000</v>
      </c>
    </row>
    <row r="263" spans="1:20" x14ac:dyDescent="0.35">
      <c r="A263" t="s">
        <v>276</v>
      </c>
      <c r="B263" t="s">
        <v>1361</v>
      </c>
      <c r="C263" t="s">
        <v>2009</v>
      </c>
      <c r="D263" t="s">
        <v>2744</v>
      </c>
      <c r="E263" t="s">
        <v>3672</v>
      </c>
      <c r="F263">
        <v>30</v>
      </c>
      <c r="G263" t="s">
        <v>3678</v>
      </c>
      <c r="H263" t="s">
        <v>3683</v>
      </c>
      <c r="I263" t="s">
        <v>3691</v>
      </c>
      <c r="J263" t="s">
        <v>3693</v>
      </c>
      <c r="K263" t="s">
        <v>3696</v>
      </c>
      <c r="L263">
        <v>1</v>
      </c>
      <c r="M263">
        <v>58000</v>
      </c>
      <c r="N263" t="s">
        <v>3702</v>
      </c>
      <c r="O263" t="s">
        <v>3706</v>
      </c>
      <c r="P263" s="2">
        <f t="shared" si="20"/>
        <v>45984</v>
      </c>
      <c r="Q263" t="str">
        <f t="shared" si="21"/>
        <v>Divit Dhingra</v>
      </c>
      <c r="R263" t="str">
        <f t="shared" si="22"/>
        <v>Hyderabad</v>
      </c>
      <c r="S263" t="str">
        <f t="shared" si="23"/>
        <v>Telangana</v>
      </c>
      <c r="T263">
        <f t="shared" si="24"/>
        <v>58000</v>
      </c>
    </row>
    <row r="264" spans="1:20" x14ac:dyDescent="0.35">
      <c r="A264" t="s">
        <v>277</v>
      </c>
      <c r="B264" t="s">
        <v>1346</v>
      </c>
      <c r="C264" t="s">
        <v>2010</v>
      </c>
      <c r="D264" t="s">
        <v>2745</v>
      </c>
      <c r="E264" t="s">
        <v>3671</v>
      </c>
      <c r="F264">
        <v>57</v>
      </c>
      <c r="G264" t="s">
        <v>3675</v>
      </c>
      <c r="H264" t="s">
        <v>3681</v>
      </c>
      <c r="I264" t="s">
        <v>3688</v>
      </c>
      <c r="J264" t="s">
        <v>3694</v>
      </c>
      <c r="K264" t="s">
        <v>3698</v>
      </c>
      <c r="L264">
        <v>4</v>
      </c>
      <c r="M264">
        <v>4500</v>
      </c>
      <c r="N264" t="s">
        <v>3702</v>
      </c>
      <c r="O264" t="s">
        <v>3707</v>
      </c>
      <c r="P264" s="2">
        <f t="shared" si="20"/>
        <v>45841</v>
      </c>
      <c r="Q264" t="str">
        <f t="shared" si="21"/>
        <v>Farhan Ratta</v>
      </c>
      <c r="R264" t="str">
        <f t="shared" si="22"/>
        <v>Kolkata</v>
      </c>
      <c r="S264" t="str">
        <f t="shared" si="23"/>
        <v>West Bengal</v>
      </c>
      <c r="T264">
        <f t="shared" si="24"/>
        <v>18000</v>
      </c>
    </row>
    <row r="265" spans="1:20" x14ac:dyDescent="0.35">
      <c r="A265" t="s">
        <v>278</v>
      </c>
      <c r="B265" t="s">
        <v>1429</v>
      </c>
      <c r="C265" t="s">
        <v>2011</v>
      </c>
      <c r="D265" t="s">
        <v>2746</v>
      </c>
      <c r="E265" t="s">
        <v>3672</v>
      </c>
      <c r="F265">
        <v>59</v>
      </c>
      <c r="G265" t="s">
        <v>3676</v>
      </c>
      <c r="H265" t="s">
        <v>3682</v>
      </c>
      <c r="I265" t="s">
        <v>3685</v>
      </c>
      <c r="J265" t="s">
        <v>3692</v>
      </c>
      <c r="K265" t="s">
        <v>3695</v>
      </c>
      <c r="L265">
        <v>5</v>
      </c>
      <c r="M265">
        <v>12000</v>
      </c>
      <c r="N265" t="s">
        <v>3704</v>
      </c>
      <c r="O265" t="s">
        <v>3707</v>
      </c>
      <c r="P265" s="2">
        <f t="shared" si="20"/>
        <v>45946</v>
      </c>
      <c r="Q265" t="str">
        <f t="shared" si="21"/>
        <v>Aaina Tella</v>
      </c>
      <c r="R265" t="str">
        <f t="shared" si="22"/>
        <v>Chennai</v>
      </c>
      <c r="S265" t="str">
        <f t="shared" si="23"/>
        <v>Tamil Nadu</v>
      </c>
      <c r="T265">
        <f t="shared" si="24"/>
        <v>60000</v>
      </c>
    </row>
    <row r="266" spans="1:20" x14ac:dyDescent="0.35">
      <c r="A266" t="s">
        <v>279</v>
      </c>
      <c r="B266" t="s">
        <v>1430</v>
      </c>
      <c r="C266" t="s">
        <v>1834</v>
      </c>
      <c r="D266" t="s">
        <v>2747</v>
      </c>
      <c r="E266" t="s">
        <v>3671</v>
      </c>
      <c r="F266">
        <v>24</v>
      </c>
      <c r="G266" t="s">
        <v>3679</v>
      </c>
      <c r="H266" t="s">
        <v>3684</v>
      </c>
      <c r="I266" t="s">
        <v>3688</v>
      </c>
      <c r="J266" t="s">
        <v>3694</v>
      </c>
      <c r="K266" t="s">
        <v>3698</v>
      </c>
      <c r="L266">
        <v>2</v>
      </c>
      <c r="M266">
        <v>4500</v>
      </c>
      <c r="N266" t="s">
        <v>3702</v>
      </c>
      <c r="O266" t="s">
        <v>3707</v>
      </c>
      <c r="P266" s="2">
        <f t="shared" si="20"/>
        <v>45955</v>
      </c>
      <c r="Q266" t="str">
        <f t="shared" si="21"/>
        <v>Piya Majumdar</v>
      </c>
      <c r="R266" t="str">
        <f t="shared" si="22"/>
        <v>Bengaluru</v>
      </c>
      <c r="S266" t="str">
        <f t="shared" si="23"/>
        <v>Karnataka</v>
      </c>
      <c r="T266">
        <f t="shared" si="24"/>
        <v>9000</v>
      </c>
    </row>
    <row r="267" spans="1:20" x14ac:dyDescent="0.35">
      <c r="A267" t="s">
        <v>280</v>
      </c>
      <c r="B267" t="s">
        <v>1431</v>
      </c>
      <c r="C267" t="s">
        <v>2012</v>
      </c>
      <c r="D267" t="s">
        <v>2748</v>
      </c>
      <c r="E267" t="s">
        <v>3671</v>
      </c>
      <c r="F267">
        <v>56</v>
      </c>
      <c r="G267" t="s">
        <v>3677</v>
      </c>
      <c r="H267" t="s">
        <v>3680</v>
      </c>
      <c r="I267" t="s">
        <v>3690</v>
      </c>
      <c r="J267" t="s">
        <v>3693</v>
      </c>
      <c r="K267" t="s">
        <v>3700</v>
      </c>
      <c r="L267">
        <v>1</v>
      </c>
      <c r="M267">
        <v>72000</v>
      </c>
      <c r="N267" t="s">
        <v>3704</v>
      </c>
      <c r="O267" t="s">
        <v>3705</v>
      </c>
      <c r="P267" s="2">
        <f t="shared" si="20"/>
        <v>45736</v>
      </c>
      <c r="Q267" t="str">
        <f t="shared" si="21"/>
        <v>Neelofar Aurora</v>
      </c>
      <c r="R267" t="str">
        <f t="shared" si="22"/>
        <v>Mumbai</v>
      </c>
      <c r="S267" t="str">
        <f t="shared" si="23"/>
        <v>Maharashtra</v>
      </c>
      <c r="T267">
        <f t="shared" si="24"/>
        <v>72000</v>
      </c>
    </row>
    <row r="268" spans="1:20" x14ac:dyDescent="0.35">
      <c r="A268" t="s">
        <v>281</v>
      </c>
      <c r="B268" t="s">
        <v>1266</v>
      </c>
      <c r="C268" t="s">
        <v>2013</v>
      </c>
      <c r="D268" t="s">
        <v>2749</v>
      </c>
      <c r="E268" t="s">
        <v>3671</v>
      </c>
      <c r="F268">
        <v>29</v>
      </c>
      <c r="G268" t="s">
        <v>3676</v>
      </c>
      <c r="H268" t="s">
        <v>3682</v>
      </c>
      <c r="I268" t="s">
        <v>3688</v>
      </c>
      <c r="J268" t="s">
        <v>3694</v>
      </c>
      <c r="K268" t="s">
        <v>3698</v>
      </c>
      <c r="L268">
        <v>2</v>
      </c>
      <c r="M268">
        <v>4500</v>
      </c>
      <c r="N268" t="s">
        <v>3704</v>
      </c>
      <c r="O268" t="s">
        <v>3707</v>
      </c>
      <c r="P268" s="2">
        <f t="shared" si="20"/>
        <v>45984</v>
      </c>
      <c r="Q268" t="str">
        <f t="shared" si="21"/>
        <v>Ishita Konda</v>
      </c>
      <c r="R268" t="str">
        <f t="shared" si="22"/>
        <v>Chennai</v>
      </c>
      <c r="S268" t="str">
        <f t="shared" si="23"/>
        <v>Tamil Nadu</v>
      </c>
      <c r="T268">
        <f t="shared" si="24"/>
        <v>9000</v>
      </c>
    </row>
    <row r="269" spans="1:20" x14ac:dyDescent="0.35">
      <c r="A269" t="s">
        <v>282</v>
      </c>
      <c r="B269" t="s">
        <v>1293</v>
      </c>
      <c r="C269" t="s">
        <v>1895</v>
      </c>
      <c r="D269" t="s">
        <v>2750</v>
      </c>
      <c r="E269" t="s">
        <v>3671</v>
      </c>
      <c r="F269">
        <v>58</v>
      </c>
      <c r="G269" t="s">
        <v>3676</v>
      </c>
      <c r="H269" t="s">
        <v>3682</v>
      </c>
      <c r="I269" t="s">
        <v>3686</v>
      </c>
      <c r="J269" t="s">
        <v>3693</v>
      </c>
      <c r="K269" t="s">
        <v>3696</v>
      </c>
      <c r="L269">
        <v>1</v>
      </c>
      <c r="M269">
        <v>65000</v>
      </c>
      <c r="N269" t="s">
        <v>3702</v>
      </c>
      <c r="O269" t="s">
        <v>3705</v>
      </c>
      <c r="P269" s="2">
        <f t="shared" si="20"/>
        <v>45992</v>
      </c>
      <c r="Q269" t="str">
        <f t="shared" si="21"/>
        <v>Renee Ramesh</v>
      </c>
      <c r="R269" t="str">
        <f t="shared" si="22"/>
        <v>Chennai</v>
      </c>
      <c r="S269" t="str">
        <f t="shared" si="23"/>
        <v>Tamil Nadu</v>
      </c>
      <c r="T269">
        <f t="shared" si="24"/>
        <v>65000</v>
      </c>
    </row>
    <row r="270" spans="1:20" x14ac:dyDescent="0.35">
      <c r="A270" t="s">
        <v>283</v>
      </c>
      <c r="B270" t="s">
        <v>1432</v>
      </c>
      <c r="C270" t="s">
        <v>1872</v>
      </c>
      <c r="D270" t="s">
        <v>2751</v>
      </c>
      <c r="E270" t="s">
        <v>3672</v>
      </c>
      <c r="F270">
        <v>43</v>
      </c>
      <c r="G270" t="s">
        <v>3677</v>
      </c>
      <c r="H270" t="s">
        <v>3680</v>
      </c>
      <c r="I270" t="s">
        <v>3690</v>
      </c>
      <c r="J270" t="s">
        <v>3693</v>
      </c>
      <c r="K270" t="s">
        <v>3700</v>
      </c>
      <c r="L270">
        <v>4</v>
      </c>
      <c r="M270">
        <v>72000</v>
      </c>
      <c r="N270" t="s">
        <v>3701</v>
      </c>
      <c r="O270" t="s">
        <v>3706</v>
      </c>
      <c r="P270" s="2">
        <f t="shared" si="20"/>
        <v>45859</v>
      </c>
      <c r="Q270" t="str">
        <f t="shared" si="21"/>
        <v>Kabir Bakshi</v>
      </c>
      <c r="R270" t="str">
        <f t="shared" si="22"/>
        <v>Mumbai</v>
      </c>
      <c r="S270" t="str">
        <f t="shared" si="23"/>
        <v>Maharashtra</v>
      </c>
      <c r="T270">
        <f t="shared" si="24"/>
        <v>288000</v>
      </c>
    </row>
    <row r="271" spans="1:20" x14ac:dyDescent="0.35">
      <c r="A271" t="s">
        <v>284</v>
      </c>
      <c r="B271" t="s">
        <v>1433</v>
      </c>
      <c r="C271" t="s">
        <v>1996</v>
      </c>
      <c r="D271" t="s">
        <v>2752</v>
      </c>
      <c r="E271" t="s">
        <v>3671</v>
      </c>
      <c r="F271">
        <v>45</v>
      </c>
      <c r="G271" t="s">
        <v>3677</v>
      </c>
      <c r="H271" t="s">
        <v>3680</v>
      </c>
      <c r="I271" t="s">
        <v>3689</v>
      </c>
      <c r="J271" t="s">
        <v>3694</v>
      </c>
      <c r="K271" t="s">
        <v>3699</v>
      </c>
      <c r="L271">
        <v>3</v>
      </c>
      <c r="M271">
        <v>1800</v>
      </c>
      <c r="N271" t="s">
        <v>3702</v>
      </c>
      <c r="O271" t="s">
        <v>3706</v>
      </c>
      <c r="P271" s="2">
        <f t="shared" si="20"/>
        <v>45784</v>
      </c>
      <c r="Q271" t="str">
        <f t="shared" si="21"/>
        <v>Dishani Krishna</v>
      </c>
      <c r="R271" t="str">
        <f t="shared" si="22"/>
        <v>Mumbai</v>
      </c>
      <c r="S271" t="str">
        <f t="shared" si="23"/>
        <v>Maharashtra</v>
      </c>
      <c r="T271">
        <f t="shared" si="24"/>
        <v>5400</v>
      </c>
    </row>
    <row r="272" spans="1:20" x14ac:dyDescent="0.35">
      <c r="A272" t="s">
        <v>285</v>
      </c>
      <c r="B272" t="s">
        <v>1434</v>
      </c>
      <c r="C272" t="s">
        <v>2014</v>
      </c>
      <c r="D272" t="s">
        <v>2753</v>
      </c>
      <c r="E272" t="s">
        <v>3672</v>
      </c>
      <c r="F272">
        <v>25</v>
      </c>
      <c r="G272" t="s">
        <v>3679</v>
      </c>
      <c r="H272" t="s">
        <v>3684</v>
      </c>
      <c r="I272" t="s">
        <v>3686</v>
      </c>
      <c r="J272" t="s">
        <v>3693</v>
      </c>
      <c r="K272" t="s">
        <v>3696</v>
      </c>
      <c r="L272">
        <v>1</v>
      </c>
      <c r="M272">
        <v>65000</v>
      </c>
      <c r="N272" t="s">
        <v>3702</v>
      </c>
      <c r="O272" t="s">
        <v>3707</v>
      </c>
      <c r="P272" s="2">
        <f t="shared" si="20"/>
        <v>45736</v>
      </c>
      <c r="Q272" t="str">
        <f t="shared" si="21"/>
        <v>Advika Hari</v>
      </c>
      <c r="R272" t="str">
        <f t="shared" si="22"/>
        <v>Bengaluru</v>
      </c>
      <c r="S272" t="str">
        <f t="shared" si="23"/>
        <v>Karnataka</v>
      </c>
      <c r="T272">
        <f t="shared" si="24"/>
        <v>65000</v>
      </c>
    </row>
    <row r="273" spans="1:20" x14ac:dyDescent="0.35">
      <c r="A273" t="s">
        <v>286</v>
      </c>
      <c r="B273" t="s">
        <v>1332</v>
      </c>
      <c r="C273" t="s">
        <v>2015</v>
      </c>
      <c r="D273" t="s">
        <v>2754</v>
      </c>
      <c r="E273" t="s">
        <v>3671</v>
      </c>
      <c r="F273">
        <v>52</v>
      </c>
      <c r="G273" t="s">
        <v>3677</v>
      </c>
      <c r="H273" t="s">
        <v>3680</v>
      </c>
      <c r="I273" t="s">
        <v>3685</v>
      </c>
      <c r="J273" t="s">
        <v>3692</v>
      </c>
      <c r="K273" t="s">
        <v>3695</v>
      </c>
      <c r="L273">
        <v>5</v>
      </c>
      <c r="M273">
        <v>12000</v>
      </c>
      <c r="N273" t="s">
        <v>3703</v>
      </c>
      <c r="O273" t="s">
        <v>3707</v>
      </c>
      <c r="P273" s="2">
        <f t="shared" si="20"/>
        <v>45699</v>
      </c>
      <c r="Q273" t="str">
        <f t="shared" si="21"/>
        <v>Nirvaan Bose</v>
      </c>
      <c r="R273" t="str">
        <f t="shared" si="22"/>
        <v>Mumbai</v>
      </c>
      <c r="S273" t="str">
        <f t="shared" si="23"/>
        <v>Maharashtra</v>
      </c>
      <c r="T273">
        <f t="shared" si="24"/>
        <v>60000</v>
      </c>
    </row>
    <row r="274" spans="1:20" x14ac:dyDescent="0.35">
      <c r="A274" t="s">
        <v>287</v>
      </c>
      <c r="B274" t="s">
        <v>1435</v>
      </c>
      <c r="C274" t="s">
        <v>2016</v>
      </c>
      <c r="D274" t="s">
        <v>2755</v>
      </c>
      <c r="E274" t="s">
        <v>3672</v>
      </c>
      <c r="F274">
        <v>60</v>
      </c>
      <c r="G274" t="s">
        <v>3677</v>
      </c>
      <c r="H274" t="s">
        <v>3680</v>
      </c>
      <c r="I274" t="s">
        <v>3687</v>
      </c>
      <c r="J274" t="s">
        <v>3693</v>
      </c>
      <c r="K274" t="s">
        <v>3697</v>
      </c>
      <c r="L274">
        <v>1</v>
      </c>
      <c r="M274">
        <v>5000</v>
      </c>
      <c r="N274" t="s">
        <v>3702</v>
      </c>
      <c r="O274" t="s">
        <v>3707</v>
      </c>
      <c r="P274" s="2">
        <f t="shared" si="20"/>
        <v>45962</v>
      </c>
      <c r="Q274" t="str">
        <f t="shared" si="21"/>
        <v>Yuvaan Goda</v>
      </c>
      <c r="R274" t="str">
        <f t="shared" si="22"/>
        <v>Mumbai</v>
      </c>
      <c r="S274" t="str">
        <f t="shared" si="23"/>
        <v>Maharashtra</v>
      </c>
      <c r="T274">
        <f t="shared" si="24"/>
        <v>5000</v>
      </c>
    </row>
    <row r="275" spans="1:20" x14ac:dyDescent="0.35">
      <c r="A275" t="s">
        <v>288</v>
      </c>
      <c r="B275" t="s">
        <v>1436</v>
      </c>
      <c r="C275" t="s">
        <v>1957</v>
      </c>
      <c r="D275" t="s">
        <v>2756</v>
      </c>
      <c r="E275" t="s">
        <v>3672</v>
      </c>
      <c r="F275">
        <v>38</v>
      </c>
      <c r="G275" t="s">
        <v>3675</v>
      </c>
      <c r="H275" t="s">
        <v>3681</v>
      </c>
      <c r="I275" t="s">
        <v>3686</v>
      </c>
      <c r="J275" t="s">
        <v>3693</v>
      </c>
      <c r="K275" t="s">
        <v>3696</v>
      </c>
      <c r="L275">
        <v>3</v>
      </c>
      <c r="M275">
        <v>65000</v>
      </c>
      <c r="N275" t="s">
        <v>3701</v>
      </c>
      <c r="O275" t="s">
        <v>3706</v>
      </c>
      <c r="P275" s="2">
        <f t="shared" si="20"/>
        <v>45983</v>
      </c>
      <c r="Q275" t="str">
        <f t="shared" si="21"/>
        <v>Inaaya Bhattacharyya</v>
      </c>
      <c r="R275" t="str">
        <f t="shared" si="22"/>
        <v>Kolkata</v>
      </c>
      <c r="S275" t="str">
        <f t="shared" si="23"/>
        <v>West Bengal</v>
      </c>
      <c r="T275">
        <f t="shared" si="24"/>
        <v>195000</v>
      </c>
    </row>
    <row r="276" spans="1:20" x14ac:dyDescent="0.35">
      <c r="A276" t="s">
        <v>289</v>
      </c>
      <c r="B276" t="s">
        <v>1437</v>
      </c>
      <c r="C276" t="s">
        <v>2017</v>
      </c>
      <c r="D276" t="s">
        <v>2757</v>
      </c>
      <c r="E276" t="s">
        <v>3672</v>
      </c>
      <c r="F276">
        <v>58</v>
      </c>
      <c r="G276" t="s">
        <v>3677</v>
      </c>
      <c r="H276" t="s">
        <v>3680</v>
      </c>
      <c r="I276" t="s">
        <v>3688</v>
      </c>
      <c r="J276" t="s">
        <v>3694</v>
      </c>
      <c r="K276" t="s">
        <v>3698</v>
      </c>
      <c r="L276">
        <v>5</v>
      </c>
      <c r="M276">
        <v>4500</v>
      </c>
      <c r="N276" t="s">
        <v>3701</v>
      </c>
      <c r="O276" t="s">
        <v>3706</v>
      </c>
      <c r="P276" s="2">
        <f t="shared" si="20"/>
        <v>45713</v>
      </c>
      <c r="Q276" t="str">
        <f t="shared" si="21"/>
        <v>Vritika Vasa</v>
      </c>
      <c r="R276" t="str">
        <f t="shared" si="22"/>
        <v>Mumbai</v>
      </c>
      <c r="S276" t="str">
        <f t="shared" si="23"/>
        <v>Maharashtra</v>
      </c>
      <c r="T276">
        <f t="shared" si="24"/>
        <v>22500</v>
      </c>
    </row>
    <row r="277" spans="1:20" x14ac:dyDescent="0.35">
      <c r="A277" t="s">
        <v>290</v>
      </c>
      <c r="B277" t="s">
        <v>1438</v>
      </c>
      <c r="C277" t="s">
        <v>2018</v>
      </c>
      <c r="D277" t="s">
        <v>2758</v>
      </c>
      <c r="E277" t="s">
        <v>3671</v>
      </c>
      <c r="F277">
        <v>27</v>
      </c>
      <c r="G277" t="s">
        <v>3676</v>
      </c>
      <c r="H277" t="s">
        <v>3682</v>
      </c>
      <c r="I277" t="s">
        <v>3688</v>
      </c>
      <c r="J277" t="s">
        <v>3694</v>
      </c>
      <c r="K277" t="s">
        <v>3698</v>
      </c>
      <c r="L277">
        <v>2</v>
      </c>
      <c r="M277">
        <v>4500</v>
      </c>
      <c r="N277" t="s">
        <v>3704</v>
      </c>
      <c r="O277" t="s">
        <v>3705</v>
      </c>
      <c r="P277" s="2">
        <f t="shared" si="20"/>
        <v>45894</v>
      </c>
      <c r="Q277" t="str">
        <f t="shared" si="21"/>
        <v>Yasmin Bhavsar</v>
      </c>
      <c r="R277" t="str">
        <f t="shared" si="22"/>
        <v>Chennai</v>
      </c>
      <c r="S277" t="str">
        <f t="shared" si="23"/>
        <v>Tamil Nadu</v>
      </c>
      <c r="T277">
        <f t="shared" si="24"/>
        <v>9000</v>
      </c>
    </row>
    <row r="278" spans="1:20" x14ac:dyDescent="0.35">
      <c r="A278" t="s">
        <v>291</v>
      </c>
      <c r="B278" t="s">
        <v>1439</v>
      </c>
      <c r="C278" t="s">
        <v>2019</v>
      </c>
      <c r="D278" t="s">
        <v>2759</v>
      </c>
      <c r="E278" t="s">
        <v>3671</v>
      </c>
      <c r="F278">
        <v>33</v>
      </c>
      <c r="G278" t="s">
        <v>3679</v>
      </c>
      <c r="H278" t="s">
        <v>3684</v>
      </c>
      <c r="I278" t="s">
        <v>3686</v>
      </c>
      <c r="J278" t="s">
        <v>3693</v>
      </c>
      <c r="K278" t="s">
        <v>3696</v>
      </c>
      <c r="L278">
        <v>4</v>
      </c>
      <c r="M278">
        <v>65000</v>
      </c>
      <c r="N278" t="s">
        <v>3701</v>
      </c>
      <c r="O278" t="s">
        <v>3706</v>
      </c>
      <c r="P278" s="2">
        <f t="shared" si="20"/>
        <v>45906</v>
      </c>
      <c r="Q278" t="str">
        <f t="shared" si="21"/>
        <v>Keya Deshmukh</v>
      </c>
      <c r="R278" t="str">
        <f t="shared" si="22"/>
        <v>Bengaluru</v>
      </c>
      <c r="S278" t="str">
        <f t="shared" si="23"/>
        <v>Karnataka</v>
      </c>
      <c r="T278">
        <f t="shared" si="24"/>
        <v>260000</v>
      </c>
    </row>
    <row r="279" spans="1:20" x14ac:dyDescent="0.35">
      <c r="A279" t="s">
        <v>292</v>
      </c>
      <c r="B279" t="s">
        <v>1440</v>
      </c>
      <c r="C279" t="s">
        <v>1863</v>
      </c>
      <c r="D279" t="s">
        <v>2760</v>
      </c>
      <c r="E279" t="s">
        <v>3672</v>
      </c>
      <c r="F279">
        <v>27</v>
      </c>
      <c r="G279" t="s">
        <v>3678</v>
      </c>
      <c r="H279" t="s">
        <v>3683</v>
      </c>
      <c r="I279" t="s">
        <v>3685</v>
      </c>
      <c r="J279" t="s">
        <v>3692</v>
      </c>
      <c r="K279" t="s">
        <v>3695</v>
      </c>
      <c r="L279">
        <v>3</v>
      </c>
      <c r="M279">
        <v>12000</v>
      </c>
      <c r="N279" t="s">
        <v>3704</v>
      </c>
      <c r="O279" t="s">
        <v>3706</v>
      </c>
      <c r="P279" s="2">
        <f t="shared" si="20"/>
        <v>45795</v>
      </c>
      <c r="Q279" t="str">
        <f t="shared" si="21"/>
        <v>Abram Kalla</v>
      </c>
      <c r="R279" t="str">
        <f t="shared" si="22"/>
        <v>Hyderabad</v>
      </c>
      <c r="S279" t="str">
        <f t="shared" si="23"/>
        <v>Telangana</v>
      </c>
      <c r="T279">
        <f t="shared" si="24"/>
        <v>36000</v>
      </c>
    </row>
    <row r="280" spans="1:20" x14ac:dyDescent="0.35">
      <c r="A280" t="s">
        <v>293</v>
      </c>
      <c r="B280" t="s">
        <v>1441</v>
      </c>
      <c r="C280" t="s">
        <v>2020</v>
      </c>
      <c r="D280" t="s">
        <v>2761</v>
      </c>
      <c r="E280" t="s">
        <v>3671</v>
      </c>
      <c r="F280">
        <v>41</v>
      </c>
      <c r="G280" t="s">
        <v>3677</v>
      </c>
      <c r="H280" t="s">
        <v>3680</v>
      </c>
      <c r="I280" t="s">
        <v>3690</v>
      </c>
      <c r="J280" t="s">
        <v>3693</v>
      </c>
      <c r="K280" t="s">
        <v>3700</v>
      </c>
      <c r="L280">
        <v>4</v>
      </c>
      <c r="M280">
        <v>72000</v>
      </c>
      <c r="N280" t="s">
        <v>3704</v>
      </c>
      <c r="O280" t="s">
        <v>3706</v>
      </c>
      <c r="P280" s="2">
        <f t="shared" si="20"/>
        <v>45880</v>
      </c>
      <c r="Q280" t="str">
        <f t="shared" si="21"/>
        <v>Abram Iyer</v>
      </c>
      <c r="R280" t="str">
        <f t="shared" si="22"/>
        <v>Mumbai</v>
      </c>
      <c r="S280" t="str">
        <f t="shared" si="23"/>
        <v>Maharashtra</v>
      </c>
      <c r="T280">
        <f t="shared" si="24"/>
        <v>288000</v>
      </c>
    </row>
    <row r="281" spans="1:20" x14ac:dyDescent="0.35">
      <c r="A281" t="s">
        <v>294</v>
      </c>
      <c r="B281" t="s">
        <v>1442</v>
      </c>
      <c r="C281" t="s">
        <v>2021</v>
      </c>
      <c r="D281" t="s">
        <v>2762</v>
      </c>
      <c r="E281" t="s">
        <v>3672</v>
      </c>
      <c r="F281">
        <v>20</v>
      </c>
      <c r="G281" t="s">
        <v>3674</v>
      </c>
      <c r="H281" t="s">
        <v>3680</v>
      </c>
      <c r="I281" t="s">
        <v>3685</v>
      </c>
      <c r="J281" t="s">
        <v>3692</v>
      </c>
      <c r="K281" t="s">
        <v>3695</v>
      </c>
      <c r="L281">
        <v>5</v>
      </c>
      <c r="M281">
        <v>12000</v>
      </c>
      <c r="N281" t="s">
        <v>3703</v>
      </c>
      <c r="O281" t="s">
        <v>3707</v>
      </c>
      <c r="P281" s="2">
        <f t="shared" si="20"/>
        <v>46013</v>
      </c>
      <c r="Q281" t="str">
        <f t="shared" si="21"/>
        <v>Chirag Chanda</v>
      </c>
      <c r="R281" t="str">
        <f t="shared" si="22"/>
        <v>Pune</v>
      </c>
      <c r="S281" t="str">
        <f t="shared" si="23"/>
        <v>Maharashtra</v>
      </c>
      <c r="T281">
        <f t="shared" si="24"/>
        <v>60000</v>
      </c>
    </row>
    <row r="282" spans="1:20" x14ac:dyDescent="0.35">
      <c r="A282" t="s">
        <v>295</v>
      </c>
      <c r="B282" t="s">
        <v>1443</v>
      </c>
      <c r="C282" t="s">
        <v>1861</v>
      </c>
      <c r="D282" t="s">
        <v>2763</v>
      </c>
      <c r="E282" t="s">
        <v>3672</v>
      </c>
      <c r="F282">
        <v>22</v>
      </c>
      <c r="G282" t="s">
        <v>3676</v>
      </c>
      <c r="H282" t="s">
        <v>3682</v>
      </c>
      <c r="I282" t="s">
        <v>3686</v>
      </c>
      <c r="J282" t="s">
        <v>3693</v>
      </c>
      <c r="K282" t="s">
        <v>3696</v>
      </c>
      <c r="L282">
        <v>4</v>
      </c>
      <c r="M282">
        <v>65000</v>
      </c>
      <c r="N282" t="s">
        <v>3701</v>
      </c>
      <c r="O282" t="s">
        <v>3706</v>
      </c>
      <c r="P282" s="2">
        <f t="shared" si="20"/>
        <v>45917</v>
      </c>
      <c r="Q282" t="str">
        <f t="shared" si="21"/>
        <v>Elakshi Shroff</v>
      </c>
      <c r="R282" t="str">
        <f t="shared" si="22"/>
        <v>Chennai</v>
      </c>
      <c r="S282" t="str">
        <f t="shared" si="23"/>
        <v>Tamil Nadu</v>
      </c>
      <c r="T282">
        <f t="shared" si="24"/>
        <v>260000</v>
      </c>
    </row>
    <row r="283" spans="1:20" x14ac:dyDescent="0.35">
      <c r="A283" t="s">
        <v>296</v>
      </c>
      <c r="B283" t="s">
        <v>1444</v>
      </c>
      <c r="C283" t="s">
        <v>2022</v>
      </c>
      <c r="D283" t="s">
        <v>2764</v>
      </c>
      <c r="E283" t="s">
        <v>3671</v>
      </c>
      <c r="F283">
        <v>41</v>
      </c>
      <c r="G283" t="s">
        <v>3673</v>
      </c>
      <c r="H283" t="s">
        <v>3673</v>
      </c>
      <c r="I283" t="s">
        <v>3688</v>
      </c>
      <c r="J283" t="s">
        <v>3694</v>
      </c>
      <c r="K283" t="s">
        <v>3698</v>
      </c>
      <c r="L283">
        <v>3</v>
      </c>
      <c r="M283">
        <v>4500</v>
      </c>
      <c r="N283" t="s">
        <v>3703</v>
      </c>
      <c r="O283" t="s">
        <v>3707</v>
      </c>
      <c r="P283" s="2">
        <f t="shared" si="20"/>
        <v>45829</v>
      </c>
      <c r="Q283" t="str">
        <f t="shared" si="21"/>
        <v>Shamik Sanghvi</v>
      </c>
      <c r="R283" t="str">
        <f t="shared" si="22"/>
        <v>Delhi</v>
      </c>
      <c r="S283" t="str">
        <f t="shared" si="23"/>
        <v>Delhi</v>
      </c>
      <c r="T283">
        <f t="shared" si="24"/>
        <v>13500</v>
      </c>
    </row>
    <row r="284" spans="1:20" x14ac:dyDescent="0.35">
      <c r="A284" t="s">
        <v>297</v>
      </c>
      <c r="B284" t="s">
        <v>1445</v>
      </c>
      <c r="C284" t="s">
        <v>1818</v>
      </c>
      <c r="D284" t="s">
        <v>2765</v>
      </c>
      <c r="E284" t="s">
        <v>3672</v>
      </c>
      <c r="F284">
        <v>24</v>
      </c>
      <c r="G284" t="s">
        <v>3677</v>
      </c>
      <c r="H284" t="s">
        <v>3680</v>
      </c>
      <c r="I284" t="s">
        <v>3688</v>
      </c>
      <c r="J284" t="s">
        <v>3694</v>
      </c>
      <c r="K284" t="s">
        <v>3698</v>
      </c>
      <c r="L284">
        <v>4</v>
      </c>
      <c r="M284">
        <v>4500</v>
      </c>
      <c r="N284" t="s">
        <v>3704</v>
      </c>
      <c r="O284" t="s">
        <v>3705</v>
      </c>
      <c r="P284" s="2">
        <f t="shared" si="20"/>
        <v>46012</v>
      </c>
      <c r="Q284" t="str">
        <f t="shared" si="21"/>
        <v>Ishita Gupta</v>
      </c>
      <c r="R284" t="str">
        <f t="shared" si="22"/>
        <v>Mumbai</v>
      </c>
      <c r="S284" t="str">
        <f t="shared" si="23"/>
        <v>Maharashtra</v>
      </c>
      <c r="T284">
        <f t="shared" si="24"/>
        <v>18000</v>
      </c>
    </row>
    <row r="285" spans="1:20" x14ac:dyDescent="0.35">
      <c r="A285" t="s">
        <v>298</v>
      </c>
      <c r="B285" t="s">
        <v>1313</v>
      </c>
      <c r="C285" t="s">
        <v>2023</v>
      </c>
      <c r="D285" t="s">
        <v>2766</v>
      </c>
      <c r="E285" t="s">
        <v>3672</v>
      </c>
      <c r="F285">
        <v>57</v>
      </c>
      <c r="G285" t="s">
        <v>3677</v>
      </c>
      <c r="H285" t="s">
        <v>3680</v>
      </c>
      <c r="I285" t="s">
        <v>3688</v>
      </c>
      <c r="J285" t="s">
        <v>3694</v>
      </c>
      <c r="K285" t="s">
        <v>3698</v>
      </c>
      <c r="L285">
        <v>2</v>
      </c>
      <c r="M285">
        <v>4500</v>
      </c>
      <c r="N285" t="s">
        <v>3704</v>
      </c>
      <c r="O285" t="s">
        <v>3705</v>
      </c>
      <c r="P285" s="2">
        <f t="shared" si="20"/>
        <v>45751</v>
      </c>
      <c r="Q285" t="str">
        <f t="shared" si="21"/>
        <v>Zeeshan Batta</v>
      </c>
      <c r="R285" t="str">
        <f t="shared" si="22"/>
        <v>Mumbai</v>
      </c>
      <c r="S285" t="str">
        <f t="shared" si="23"/>
        <v>Maharashtra</v>
      </c>
      <c r="T285">
        <f t="shared" si="24"/>
        <v>9000</v>
      </c>
    </row>
    <row r="286" spans="1:20" x14ac:dyDescent="0.35">
      <c r="A286" t="s">
        <v>299</v>
      </c>
      <c r="B286" t="s">
        <v>1446</v>
      </c>
      <c r="C286" t="s">
        <v>1807</v>
      </c>
      <c r="D286" t="s">
        <v>2767</v>
      </c>
      <c r="E286" t="s">
        <v>3672</v>
      </c>
      <c r="F286">
        <v>40</v>
      </c>
      <c r="G286" t="s">
        <v>3673</v>
      </c>
      <c r="H286" t="s">
        <v>3673</v>
      </c>
      <c r="I286" t="s">
        <v>3686</v>
      </c>
      <c r="J286" t="s">
        <v>3693</v>
      </c>
      <c r="K286" t="s">
        <v>3696</v>
      </c>
      <c r="L286">
        <v>2</v>
      </c>
      <c r="M286">
        <v>65000</v>
      </c>
      <c r="N286" t="s">
        <v>3701</v>
      </c>
      <c r="O286" t="s">
        <v>3705</v>
      </c>
      <c r="P286" s="2">
        <f t="shared" si="20"/>
        <v>45946</v>
      </c>
      <c r="Q286" t="str">
        <f t="shared" si="21"/>
        <v>Akarsh Sodhi</v>
      </c>
      <c r="R286" t="str">
        <f t="shared" si="22"/>
        <v>Delhi</v>
      </c>
      <c r="S286" t="str">
        <f t="shared" si="23"/>
        <v>Delhi</v>
      </c>
      <c r="T286">
        <f t="shared" si="24"/>
        <v>130000</v>
      </c>
    </row>
    <row r="287" spans="1:20" x14ac:dyDescent="0.35">
      <c r="A287" t="s">
        <v>300</v>
      </c>
      <c r="B287" t="s">
        <v>1447</v>
      </c>
      <c r="C287" t="s">
        <v>2024</v>
      </c>
      <c r="D287" t="s">
        <v>2768</v>
      </c>
      <c r="E287" t="s">
        <v>3672</v>
      </c>
      <c r="F287">
        <v>31</v>
      </c>
      <c r="G287" t="s">
        <v>3677</v>
      </c>
      <c r="H287" t="s">
        <v>3680</v>
      </c>
      <c r="I287" t="s">
        <v>3686</v>
      </c>
      <c r="J287" t="s">
        <v>3693</v>
      </c>
      <c r="K287" t="s">
        <v>3696</v>
      </c>
      <c r="L287">
        <v>1</v>
      </c>
      <c r="M287">
        <v>65000</v>
      </c>
      <c r="N287" t="s">
        <v>3704</v>
      </c>
      <c r="O287" t="s">
        <v>3706</v>
      </c>
      <c r="P287" s="2">
        <f t="shared" si="20"/>
        <v>45888</v>
      </c>
      <c r="Q287" t="str">
        <f t="shared" si="21"/>
        <v>Chirag Hari</v>
      </c>
      <c r="R287" t="str">
        <f t="shared" si="22"/>
        <v>Mumbai</v>
      </c>
      <c r="S287" t="str">
        <f t="shared" si="23"/>
        <v>Maharashtra</v>
      </c>
      <c r="T287">
        <f t="shared" si="24"/>
        <v>65000</v>
      </c>
    </row>
    <row r="288" spans="1:20" x14ac:dyDescent="0.35">
      <c r="A288" t="s">
        <v>301</v>
      </c>
      <c r="B288" t="s">
        <v>1448</v>
      </c>
      <c r="C288" t="s">
        <v>2025</v>
      </c>
      <c r="D288" t="s">
        <v>2769</v>
      </c>
      <c r="E288" t="s">
        <v>3671</v>
      </c>
      <c r="F288">
        <v>47</v>
      </c>
      <c r="G288" t="s">
        <v>3676</v>
      </c>
      <c r="H288" t="s">
        <v>3682</v>
      </c>
      <c r="I288" t="s">
        <v>3686</v>
      </c>
      <c r="J288" t="s">
        <v>3693</v>
      </c>
      <c r="K288" t="s">
        <v>3696</v>
      </c>
      <c r="L288">
        <v>2</v>
      </c>
      <c r="M288">
        <v>65000</v>
      </c>
      <c r="N288" t="s">
        <v>3702</v>
      </c>
      <c r="O288" t="s">
        <v>3706</v>
      </c>
      <c r="P288" s="2">
        <f t="shared" si="20"/>
        <v>45952</v>
      </c>
      <c r="Q288" t="str">
        <f t="shared" si="21"/>
        <v>Bhamini Deshpande</v>
      </c>
      <c r="R288" t="str">
        <f t="shared" si="22"/>
        <v>Chennai</v>
      </c>
      <c r="S288" t="str">
        <f t="shared" si="23"/>
        <v>Tamil Nadu</v>
      </c>
      <c r="T288">
        <f t="shared" si="24"/>
        <v>130000</v>
      </c>
    </row>
    <row r="289" spans="1:20" x14ac:dyDescent="0.35">
      <c r="A289" t="s">
        <v>302</v>
      </c>
      <c r="B289" t="s">
        <v>1449</v>
      </c>
      <c r="C289" t="s">
        <v>2026</v>
      </c>
      <c r="D289" t="s">
        <v>2770</v>
      </c>
      <c r="E289" t="s">
        <v>3672</v>
      </c>
      <c r="F289">
        <v>32</v>
      </c>
      <c r="G289" t="s">
        <v>3673</v>
      </c>
      <c r="H289" t="s">
        <v>3673</v>
      </c>
      <c r="I289" t="s">
        <v>3685</v>
      </c>
      <c r="J289" t="s">
        <v>3692</v>
      </c>
      <c r="K289" t="s">
        <v>3695</v>
      </c>
      <c r="L289">
        <v>1</v>
      </c>
      <c r="M289">
        <v>12000</v>
      </c>
      <c r="N289" t="s">
        <v>3702</v>
      </c>
      <c r="O289" t="s">
        <v>3706</v>
      </c>
      <c r="P289" s="2">
        <f t="shared" si="20"/>
        <v>45707</v>
      </c>
      <c r="Q289" t="str">
        <f t="shared" si="21"/>
        <v>Arnav Ray</v>
      </c>
      <c r="R289" t="str">
        <f t="shared" si="22"/>
        <v>Delhi</v>
      </c>
      <c r="S289" t="str">
        <f t="shared" si="23"/>
        <v>Delhi</v>
      </c>
      <c r="T289">
        <f t="shared" si="24"/>
        <v>12000</v>
      </c>
    </row>
    <row r="290" spans="1:20" x14ac:dyDescent="0.35">
      <c r="A290" t="s">
        <v>303</v>
      </c>
      <c r="B290" t="s">
        <v>1450</v>
      </c>
      <c r="C290" t="s">
        <v>2027</v>
      </c>
      <c r="D290" t="s">
        <v>2771</v>
      </c>
      <c r="E290" t="s">
        <v>3672</v>
      </c>
      <c r="F290">
        <v>26</v>
      </c>
      <c r="G290" t="s">
        <v>3677</v>
      </c>
      <c r="H290" t="s">
        <v>3680</v>
      </c>
      <c r="I290" t="s">
        <v>3691</v>
      </c>
      <c r="J290" t="s">
        <v>3693</v>
      </c>
      <c r="K290" t="s">
        <v>3696</v>
      </c>
      <c r="L290">
        <v>3</v>
      </c>
      <c r="M290">
        <v>58000</v>
      </c>
      <c r="N290" t="s">
        <v>3704</v>
      </c>
      <c r="O290" t="s">
        <v>3707</v>
      </c>
      <c r="P290" s="2">
        <f t="shared" si="20"/>
        <v>45944</v>
      </c>
      <c r="Q290" t="str">
        <f t="shared" si="21"/>
        <v>Prerak Gandhi</v>
      </c>
      <c r="R290" t="str">
        <f t="shared" si="22"/>
        <v>Mumbai</v>
      </c>
      <c r="S290" t="str">
        <f t="shared" si="23"/>
        <v>Maharashtra</v>
      </c>
      <c r="T290">
        <f t="shared" si="24"/>
        <v>174000</v>
      </c>
    </row>
    <row r="291" spans="1:20" x14ac:dyDescent="0.35">
      <c r="A291" t="s">
        <v>304</v>
      </c>
      <c r="B291" t="s">
        <v>1419</v>
      </c>
      <c r="C291" t="s">
        <v>2028</v>
      </c>
      <c r="D291" t="s">
        <v>2772</v>
      </c>
      <c r="E291" t="s">
        <v>3672</v>
      </c>
      <c r="F291">
        <v>46</v>
      </c>
      <c r="G291" t="s">
        <v>3674</v>
      </c>
      <c r="H291" t="s">
        <v>3680</v>
      </c>
      <c r="I291" t="s">
        <v>3687</v>
      </c>
      <c r="J291" t="s">
        <v>3693</v>
      </c>
      <c r="K291" t="s">
        <v>3697</v>
      </c>
      <c r="L291">
        <v>5</v>
      </c>
      <c r="M291">
        <v>5000</v>
      </c>
      <c r="N291" t="s">
        <v>3703</v>
      </c>
      <c r="O291" t="s">
        <v>3707</v>
      </c>
      <c r="P291" s="2">
        <f t="shared" si="20"/>
        <v>45874</v>
      </c>
      <c r="Q291" t="str">
        <f t="shared" si="21"/>
        <v>Nitara Ganguly</v>
      </c>
      <c r="R291" t="str">
        <f t="shared" si="22"/>
        <v>Pune</v>
      </c>
      <c r="S291" t="str">
        <f t="shared" si="23"/>
        <v>Maharashtra</v>
      </c>
      <c r="T291">
        <f t="shared" si="24"/>
        <v>25000</v>
      </c>
    </row>
    <row r="292" spans="1:20" x14ac:dyDescent="0.35">
      <c r="A292" t="s">
        <v>305</v>
      </c>
      <c r="B292" t="s">
        <v>1451</v>
      </c>
      <c r="C292" t="s">
        <v>2029</v>
      </c>
      <c r="D292" t="s">
        <v>2773</v>
      </c>
      <c r="E292" t="s">
        <v>3672</v>
      </c>
      <c r="F292">
        <v>19</v>
      </c>
      <c r="G292" t="s">
        <v>3678</v>
      </c>
      <c r="H292" t="s">
        <v>3683</v>
      </c>
      <c r="I292" t="s">
        <v>3687</v>
      </c>
      <c r="J292" t="s">
        <v>3693</v>
      </c>
      <c r="K292" t="s">
        <v>3697</v>
      </c>
      <c r="L292">
        <v>4</v>
      </c>
      <c r="M292">
        <v>5000</v>
      </c>
      <c r="N292" t="s">
        <v>3701</v>
      </c>
      <c r="O292" t="s">
        <v>3707</v>
      </c>
      <c r="P292" s="2">
        <f t="shared" si="20"/>
        <v>45681</v>
      </c>
      <c r="Q292" t="str">
        <f t="shared" si="21"/>
        <v>Neysa De</v>
      </c>
      <c r="R292" t="str">
        <f t="shared" si="22"/>
        <v>Hyderabad</v>
      </c>
      <c r="S292" t="str">
        <f t="shared" si="23"/>
        <v>Telangana</v>
      </c>
      <c r="T292">
        <f t="shared" si="24"/>
        <v>20000</v>
      </c>
    </row>
    <row r="293" spans="1:20" x14ac:dyDescent="0.35">
      <c r="A293" t="s">
        <v>306</v>
      </c>
      <c r="B293" t="s">
        <v>1452</v>
      </c>
      <c r="C293" t="s">
        <v>2030</v>
      </c>
      <c r="D293" t="s">
        <v>2774</v>
      </c>
      <c r="E293" t="s">
        <v>3672</v>
      </c>
      <c r="F293">
        <v>29</v>
      </c>
      <c r="G293" t="s">
        <v>3673</v>
      </c>
      <c r="H293" t="s">
        <v>3673</v>
      </c>
      <c r="I293" t="s">
        <v>3689</v>
      </c>
      <c r="J293" t="s">
        <v>3694</v>
      </c>
      <c r="K293" t="s">
        <v>3699</v>
      </c>
      <c r="L293">
        <v>4</v>
      </c>
      <c r="M293">
        <v>1800</v>
      </c>
      <c r="N293" t="s">
        <v>3701</v>
      </c>
      <c r="O293" t="s">
        <v>3705</v>
      </c>
      <c r="P293" s="2">
        <f t="shared" si="20"/>
        <v>45862</v>
      </c>
      <c r="Q293" t="str">
        <f t="shared" si="21"/>
        <v>Dharmajan Dalal</v>
      </c>
      <c r="R293" t="str">
        <f t="shared" si="22"/>
        <v>Delhi</v>
      </c>
      <c r="S293" t="str">
        <f t="shared" si="23"/>
        <v>Delhi</v>
      </c>
      <c r="T293">
        <f t="shared" si="24"/>
        <v>7200</v>
      </c>
    </row>
    <row r="294" spans="1:20" x14ac:dyDescent="0.35">
      <c r="A294" t="s">
        <v>307</v>
      </c>
      <c r="B294" t="s">
        <v>1356</v>
      </c>
      <c r="C294" t="s">
        <v>2031</v>
      </c>
      <c r="D294" t="s">
        <v>2775</v>
      </c>
      <c r="E294" t="s">
        <v>3672</v>
      </c>
      <c r="F294">
        <v>26</v>
      </c>
      <c r="G294" t="s">
        <v>3675</v>
      </c>
      <c r="H294" t="s">
        <v>3681</v>
      </c>
      <c r="I294" t="s">
        <v>3686</v>
      </c>
      <c r="J294" t="s">
        <v>3693</v>
      </c>
      <c r="K294" t="s">
        <v>3696</v>
      </c>
      <c r="L294">
        <v>3</v>
      </c>
      <c r="M294">
        <v>65000</v>
      </c>
      <c r="N294" t="s">
        <v>3703</v>
      </c>
      <c r="O294" t="s">
        <v>3707</v>
      </c>
      <c r="P294" s="2">
        <f t="shared" si="20"/>
        <v>45723</v>
      </c>
      <c r="Q294" t="str">
        <f t="shared" si="21"/>
        <v>Damini Ravel</v>
      </c>
      <c r="R294" t="str">
        <f t="shared" si="22"/>
        <v>Kolkata</v>
      </c>
      <c r="S294" t="str">
        <f t="shared" si="23"/>
        <v>West Bengal</v>
      </c>
      <c r="T294">
        <f t="shared" si="24"/>
        <v>195000</v>
      </c>
    </row>
    <row r="295" spans="1:20" x14ac:dyDescent="0.35">
      <c r="A295" t="s">
        <v>308</v>
      </c>
      <c r="B295" t="s">
        <v>1453</v>
      </c>
      <c r="C295" t="s">
        <v>2032</v>
      </c>
      <c r="D295" t="s">
        <v>2776</v>
      </c>
      <c r="E295" t="s">
        <v>3671</v>
      </c>
      <c r="F295">
        <v>48</v>
      </c>
      <c r="G295" t="s">
        <v>3676</v>
      </c>
      <c r="H295" t="s">
        <v>3682</v>
      </c>
      <c r="I295" t="s">
        <v>3688</v>
      </c>
      <c r="J295" t="s">
        <v>3694</v>
      </c>
      <c r="K295" t="s">
        <v>3698</v>
      </c>
      <c r="L295">
        <v>1</v>
      </c>
      <c r="M295">
        <v>4500</v>
      </c>
      <c r="N295" t="s">
        <v>3701</v>
      </c>
      <c r="O295" t="s">
        <v>3705</v>
      </c>
      <c r="P295" s="2">
        <f t="shared" si="20"/>
        <v>45717</v>
      </c>
      <c r="Q295" t="str">
        <f t="shared" si="21"/>
        <v>Vedika Agrawal</v>
      </c>
      <c r="R295" t="str">
        <f t="shared" si="22"/>
        <v>Chennai</v>
      </c>
      <c r="S295" t="str">
        <f t="shared" si="23"/>
        <v>Tamil Nadu</v>
      </c>
      <c r="T295">
        <f t="shared" si="24"/>
        <v>4500</v>
      </c>
    </row>
    <row r="296" spans="1:20" x14ac:dyDescent="0.35">
      <c r="A296" t="s">
        <v>309</v>
      </c>
      <c r="B296" t="s">
        <v>1454</v>
      </c>
      <c r="C296" t="s">
        <v>1904</v>
      </c>
      <c r="D296" t="s">
        <v>2777</v>
      </c>
      <c r="E296" t="s">
        <v>3671</v>
      </c>
      <c r="F296">
        <v>53</v>
      </c>
      <c r="G296" t="s">
        <v>3674</v>
      </c>
      <c r="H296" t="s">
        <v>3680</v>
      </c>
      <c r="I296" t="s">
        <v>3690</v>
      </c>
      <c r="J296" t="s">
        <v>3693</v>
      </c>
      <c r="K296" t="s">
        <v>3700</v>
      </c>
      <c r="L296">
        <v>1</v>
      </c>
      <c r="M296">
        <v>72000</v>
      </c>
      <c r="N296" t="s">
        <v>3701</v>
      </c>
      <c r="O296" t="s">
        <v>3707</v>
      </c>
      <c r="P296" s="2">
        <f t="shared" si="20"/>
        <v>45923</v>
      </c>
      <c r="Q296" t="str">
        <f t="shared" si="21"/>
        <v>Taran Swaminathan</v>
      </c>
      <c r="R296" t="str">
        <f t="shared" si="22"/>
        <v>Pune</v>
      </c>
      <c r="S296" t="str">
        <f t="shared" si="23"/>
        <v>Maharashtra</v>
      </c>
      <c r="T296">
        <f t="shared" si="24"/>
        <v>72000</v>
      </c>
    </row>
    <row r="297" spans="1:20" x14ac:dyDescent="0.35">
      <c r="A297" t="s">
        <v>310</v>
      </c>
      <c r="B297" t="s">
        <v>1455</v>
      </c>
      <c r="C297" t="s">
        <v>1900</v>
      </c>
      <c r="D297" t="s">
        <v>2778</v>
      </c>
      <c r="E297" t="s">
        <v>3672</v>
      </c>
      <c r="F297">
        <v>19</v>
      </c>
      <c r="G297" t="s">
        <v>3677</v>
      </c>
      <c r="H297" t="s">
        <v>3680</v>
      </c>
      <c r="I297" t="s">
        <v>3685</v>
      </c>
      <c r="J297" t="s">
        <v>3692</v>
      </c>
      <c r="K297" t="s">
        <v>3695</v>
      </c>
      <c r="L297">
        <v>2</v>
      </c>
      <c r="M297">
        <v>12000</v>
      </c>
      <c r="N297" t="s">
        <v>3703</v>
      </c>
      <c r="O297" t="s">
        <v>3707</v>
      </c>
      <c r="P297" s="2">
        <f t="shared" si="20"/>
        <v>45891</v>
      </c>
      <c r="Q297" t="str">
        <f t="shared" si="21"/>
        <v>Sana Ramanathan</v>
      </c>
      <c r="R297" t="str">
        <f t="shared" si="22"/>
        <v>Mumbai</v>
      </c>
      <c r="S297" t="str">
        <f t="shared" si="23"/>
        <v>Maharashtra</v>
      </c>
      <c r="T297">
        <f t="shared" si="24"/>
        <v>24000</v>
      </c>
    </row>
    <row r="298" spans="1:20" x14ac:dyDescent="0.35">
      <c r="A298" t="s">
        <v>311</v>
      </c>
      <c r="B298" t="s">
        <v>1456</v>
      </c>
      <c r="C298" t="s">
        <v>2033</v>
      </c>
      <c r="D298" t="s">
        <v>2779</v>
      </c>
      <c r="E298" t="s">
        <v>3671</v>
      </c>
      <c r="F298">
        <v>27</v>
      </c>
      <c r="G298" t="s">
        <v>3673</v>
      </c>
      <c r="H298" t="s">
        <v>3673</v>
      </c>
      <c r="I298" t="s">
        <v>3691</v>
      </c>
      <c r="J298" t="s">
        <v>3693</v>
      </c>
      <c r="K298" t="s">
        <v>3696</v>
      </c>
      <c r="L298">
        <v>5</v>
      </c>
      <c r="M298">
        <v>58000</v>
      </c>
      <c r="N298" t="s">
        <v>3703</v>
      </c>
      <c r="O298" t="s">
        <v>3706</v>
      </c>
      <c r="P298" s="2">
        <f t="shared" si="20"/>
        <v>45887</v>
      </c>
      <c r="Q298" t="str">
        <f t="shared" si="21"/>
        <v>Elakshi Chatterjee</v>
      </c>
      <c r="R298" t="str">
        <f t="shared" si="22"/>
        <v>Delhi</v>
      </c>
      <c r="S298" t="str">
        <f t="shared" si="23"/>
        <v>Delhi</v>
      </c>
      <c r="T298">
        <f t="shared" si="24"/>
        <v>290000</v>
      </c>
    </row>
    <row r="299" spans="1:20" x14ac:dyDescent="0.35">
      <c r="A299" t="s">
        <v>312</v>
      </c>
      <c r="B299" t="s">
        <v>1457</v>
      </c>
      <c r="C299" t="s">
        <v>2034</v>
      </c>
      <c r="D299" t="s">
        <v>2780</v>
      </c>
      <c r="E299" t="s">
        <v>3672</v>
      </c>
      <c r="F299">
        <v>44</v>
      </c>
      <c r="G299" t="s">
        <v>3679</v>
      </c>
      <c r="H299" t="s">
        <v>3684</v>
      </c>
      <c r="I299" t="s">
        <v>3687</v>
      </c>
      <c r="J299" t="s">
        <v>3693</v>
      </c>
      <c r="K299" t="s">
        <v>3697</v>
      </c>
      <c r="L299">
        <v>2</v>
      </c>
      <c r="M299">
        <v>5000</v>
      </c>
      <c r="N299" t="s">
        <v>3704</v>
      </c>
      <c r="O299" t="s">
        <v>3705</v>
      </c>
      <c r="P299" s="2">
        <f t="shared" si="20"/>
        <v>45939</v>
      </c>
      <c r="Q299" t="str">
        <f t="shared" si="21"/>
        <v>Amira Amble</v>
      </c>
      <c r="R299" t="str">
        <f t="shared" si="22"/>
        <v>Bengaluru</v>
      </c>
      <c r="S299" t="str">
        <f t="shared" si="23"/>
        <v>Karnataka</v>
      </c>
      <c r="T299">
        <f t="shared" si="24"/>
        <v>10000</v>
      </c>
    </row>
    <row r="300" spans="1:20" x14ac:dyDescent="0.35">
      <c r="A300" t="s">
        <v>313</v>
      </c>
      <c r="B300" t="s">
        <v>1458</v>
      </c>
      <c r="C300" t="s">
        <v>2035</v>
      </c>
      <c r="D300" t="s">
        <v>2781</v>
      </c>
      <c r="E300" t="s">
        <v>3672</v>
      </c>
      <c r="F300">
        <v>51</v>
      </c>
      <c r="G300" t="s">
        <v>3679</v>
      </c>
      <c r="H300" t="s">
        <v>3684</v>
      </c>
      <c r="I300" t="s">
        <v>3687</v>
      </c>
      <c r="J300" t="s">
        <v>3693</v>
      </c>
      <c r="K300" t="s">
        <v>3697</v>
      </c>
      <c r="L300">
        <v>1</v>
      </c>
      <c r="M300">
        <v>5000</v>
      </c>
      <c r="N300" t="s">
        <v>3704</v>
      </c>
      <c r="O300" t="s">
        <v>3706</v>
      </c>
      <c r="P300" s="2">
        <f t="shared" si="20"/>
        <v>45744</v>
      </c>
      <c r="Q300" t="str">
        <f t="shared" si="21"/>
        <v>Vedika Sama</v>
      </c>
      <c r="R300" t="str">
        <f t="shared" si="22"/>
        <v>Bengaluru</v>
      </c>
      <c r="S300" t="str">
        <f t="shared" si="23"/>
        <v>Karnataka</v>
      </c>
      <c r="T300">
        <f t="shared" si="24"/>
        <v>5000</v>
      </c>
    </row>
    <row r="301" spans="1:20" x14ac:dyDescent="0.35">
      <c r="A301" t="s">
        <v>314</v>
      </c>
      <c r="B301" t="s">
        <v>1366</v>
      </c>
      <c r="C301" t="s">
        <v>2036</v>
      </c>
      <c r="D301" t="s">
        <v>2782</v>
      </c>
      <c r="E301" t="s">
        <v>3671</v>
      </c>
      <c r="F301">
        <v>58</v>
      </c>
      <c r="G301" t="s">
        <v>3675</v>
      </c>
      <c r="H301" t="s">
        <v>3681</v>
      </c>
      <c r="I301" t="s">
        <v>3688</v>
      </c>
      <c r="J301" t="s">
        <v>3694</v>
      </c>
      <c r="K301" t="s">
        <v>3698</v>
      </c>
      <c r="L301">
        <v>2</v>
      </c>
      <c r="M301">
        <v>4500</v>
      </c>
      <c r="N301" t="s">
        <v>3702</v>
      </c>
      <c r="O301" t="s">
        <v>3706</v>
      </c>
      <c r="P301" s="2">
        <f t="shared" si="20"/>
        <v>45760</v>
      </c>
      <c r="Q301" t="str">
        <f t="shared" si="21"/>
        <v>Jayesh Bhatia</v>
      </c>
      <c r="R301" t="str">
        <f t="shared" si="22"/>
        <v>Kolkata</v>
      </c>
      <c r="S301" t="str">
        <f t="shared" si="23"/>
        <v>West Bengal</v>
      </c>
      <c r="T301">
        <f t="shared" si="24"/>
        <v>9000</v>
      </c>
    </row>
    <row r="302" spans="1:20" x14ac:dyDescent="0.35">
      <c r="A302" t="s">
        <v>315</v>
      </c>
      <c r="B302" t="s">
        <v>1399</v>
      </c>
      <c r="C302" t="s">
        <v>1892</v>
      </c>
      <c r="D302" t="s">
        <v>2783</v>
      </c>
      <c r="E302" t="s">
        <v>3671</v>
      </c>
      <c r="F302">
        <v>27</v>
      </c>
      <c r="G302" t="s">
        <v>3678</v>
      </c>
      <c r="H302" t="s">
        <v>3683</v>
      </c>
      <c r="I302" t="s">
        <v>3690</v>
      </c>
      <c r="J302" t="s">
        <v>3693</v>
      </c>
      <c r="K302" t="s">
        <v>3700</v>
      </c>
      <c r="L302">
        <v>4</v>
      </c>
      <c r="M302">
        <v>72000</v>
      </c>
      <c r="N302" t="s">
        <v>3704</v>
      </c>
      <c r="O302" t="s">
        <v>3706</v>
      </c>
      <c r="P302" s="2">
        <f t="shared" si="20"/>
        <v>45911</v>
      </c>
      <c r="Q302" t="str">
        <f t="shared" si="21"/>
        <v>Krish Sabharwal</v>
      </c>
      <c r="R302" t="str">
        <f t="shared" si="22"/>
        <v>Hyderabad</v>
      </c>
      <c r="S302" t="str">
        <f t="shared" si="23"/>
        <v>Telangana</v>
      </c>
      <c r="T302">
        <f t="shared" si="24"/>
        <v>288000</v>
      </c>
    </row>
    <row r="303" spans="1:20" x14ac:dyDescent="0.35">
      <c r="A303" t="s">
        <v>316</v>
      </c>
      <c r="B303" t="s">
        <v>1459</v>
      </c>
      <c r="C303" t="s">
        <v>2037</v>
      </c>
      <c r="D303" t="s">
        <v>2784</v>
      </c>
      <c r="E303" t="s">
        <v>3672</v>
      </c>
      <c r="F303">
        <v>45</v>
      </c>
      <c r="G303" t="s">
        <v>3676</v>
      </c>
      <c r="H303" t="s">
        <v>3682</v>
      </c>
      <c r="I303" t="s">
        <v>3686</v>
      </c>
      <c r="J303" t="s">
        <v>3693</v>
      </c>
      <c r="K303" t="s">
        <v>3696</v>
      </c>
      <c r="L303">
        <v>5</v>
      </c>
      <c r="M303">
        <v>65000</v>
      </c>
      <c r="N303" t="s">
        <v>3704</v>
      </c>
      <c r="O303" t="s">
        <v>3705</v>
      </c>
      <c r="P303" s="2">
        <f t="shared" si="20"/>
        <v>45873</v>
      </c>
      <c r="Q303" t="str">
        <f t="shared" si="21"/>
        <v>Vivaan Bava</v>
      </c>
      <c r="R303" t="str">
        <f t="shared" si="22"/>
        <v>Chennai</v>
      </c>
      <c r="S303" t="str">
        <f t="shared" si="23"/>
        <v>Tamil Nadu</v>
      </c>
      <c r="T303">
        <f t="shared" si="24"/>
        <v>325000</v>
      </c>
    </row>
    <row r="304" spans="1:20" x14ac:dyDescent="0.35">
      <c r="A304" t="s">
        <v>317</v>
      </c>
      <c r="B304" t="s">
        <v>1425</v>
      </c>
      <c r="C304" t="s">
        <v>2038</v>
      </c>
      <c r="D304" t="s">
        <v>2785</v>
      </c>
      <c r="E304" t="s">
        <v>3672</v>
      </c>
      <c r="F304">
        <v>42</v>
      </c>
      <c r="G304" t="s">
        <v>3676</v>
      </c>
      <c r="H304" t="s">
        <v>3682</v>
      </c>
      <c r="I304" t="s">
        <v>3685</v>
      </c>
      <c r="J304" t="s">
        <v>3692</v>
      </c>
      <c r="K304" t="s">
        <v>3695</v>
      </c>
      <c r="L304">
        <v>5</v>
      </c>
      <c r="M304">
        <v>12000</v>
      </c>
      <c r="N304" t="s">
        <v>3701</v>
      </c>
      <c r="O304" t="s">
        <v>3705</v>
      </c>
      <c r="P304" s="2">
        <f t="shared" si="20"/>
        <v>45700</v>
      </c>
      <c r="Q304" t="str">
        <f t="shared" si="21"/>
        <v>Nakul Verma</v>
      </c>
      <c r="R304" t="str">
        <f t="shared" si="22"/>
        <v>Chennai</v>
      </c>
      <c r="S304" t="str">
        <f t="shared" si="23"/>
        <v>Tamil Nadu</v>
      </c>
      <c r="T304">
        <f t="shared" si="24"/>
        <v>60000</v>
      </c>
    </row>
    <row r="305" spans="1:20" x14ac:dyDescent="0.35">
      <c r="A305" t="s">
        <v>318</v>
      </c>
      <c r="B305" t="s">
        <v>1460</v>
      </c>
      <c r="C305" t="s">
        <v>2017</v>
      </c>
      <c r="D305" t="s">
        <v>2786</v>
      </c>
      <c r="E305" t="s">
        <v>3672</v>
      </c>
      <c r="F305">
        <v>26</v>
      </c>
      <c r="G305" t="s">
        <v>3676</v>
      </c>
      <c r="H305" t="s">
        <v>3682</v>
      </c>
      <c r="I305" t="s">
        <v>3691</v>
      </c>
      <c r="J305" t="s">
        <v>3693</v>
      </c>
      <c r="K305" t="s">
        <v>3696</v>
      </c>
      <c r="L305">
        <v>4</v>
      </c>
      <c r="M305">
        <v>58000</v>
      </c>
      <c r="N305" t="s">
        <v>3701</v>
      </c>
      <c r="O305" t="s">
        <v>3706</v>
      </c>
      <c r="P305" s="2">
        <f t="shared" si="20"/>
        <v>45898</v>
      </c>
      <c r="Q305" t="str">
        <f t="shared" si="21"/>
        <v>Lagan Dyal</v>
      </c>
      <c r="R305" t="str">
        <f t="shared" si="22"/>
        <v>Chennai</v>
      </c>
      <c r="S305" t="str">
        <f t="shared" si="23"/>
        <v>Tamil Nadu</v>
      </c>
      <c r="T305">
        <f t="shared" si="24"/>
        <v>232000</v>
      </c>
    </row>
    <row r="306" spans="1:20" x14ac:dyDescent="0.35">
      <c r="A306" t="s">
        <v>319</v>
      </c>
      <c r="B306" t="s">
        <v>1272</v>
      </c>
      <c r="C306" t="s">
        <v>2039</v>
      </c>
      <c r="D306" t="s">
        <v>2787</v>
      </c>
      <c r="E306" t="s">
        <v>3672</v>
      </c>
      <c r="F306">
        <v>33</v>
      </c>
      <c r="G306" t="s">
        <v>3678</v>
      </c>
      <c r="H306" t="s">
        <v>3683</v>
      </c>
      <c r="I306" t="s">
        <v>3686</v>
      </c>
      <c r="J306" t="s">
        <v>3693</v>
      </c>
      <c r="K306" t="s">
        <v>3696</v>
      </c>
      <c r="L306">
        <v>4</v>
      </c>
      <c r="M306">
        <v>65000</v>
      </c>
      <c r="N306" t="s">
        <v>3704</v>
      </c>
      <c r="O306" t="s">
        <v>3707</v>
      </c>
      <c r="P306" s="2">
        <f t="shared" si="20"/>
        <v>45827</v>
      </c>
      <c r="Q306" t="str">
        <f t="shared" si="21"/>
        <v>Umang Bahl</v>
      </c>
      <c r="R306" t="str">
        <f t="shared" si="22"/>
        <v>Hyderabad</v>
      </c>
      <c r="S306" t="str">
        <f t="shared" si="23"/>
        <v>Telangana</v>
      </c>
      <c r="T306">
        <f t="shared" si="24"/>
        <v>260000</v>
      </c>
    </row>
    <row r="307" spans="1:20" x14ac:dyDescent="0.35">
      <c r="A307" t="s">
        <v>320</v>
      </c>
      <c r="B307" t="s">
        <v>1461</v>
      </c>
      <c r="C307" t="s">
        <v>2040</v>
      </c>
      <c r="D307" t="s">
        <v>2788</v>
      </c>
      <c r="E307" t="s">
        <v>3671</v>
      </c>
      <c r="F307">
        <v>37</v>
      </c>
      <c r="G307" t="s">
        <v>3678</v>
      </c>
      <c r="H307" t="s">
        <v>3683</v>
      </c>
      <c r="I307" t="s">
        <v>3689</v>
      </c>
      <c r="J307" t="s">
        <v>3694</v>
      </c>
      <c r="K307" t="s">
        <v>3699</v>
      </c>
      <c r="L307">
        <v>2</v>
      </c>
      <c r="M307">
        <v>1800</v>
      </c>
      <c r="N307" t="s">
        <v>3702</v>
      </c>
      <c r="O307" t="s">
        <v>3705</v>
      </c>
      <c r="P307" s="2">
        <f t="shared" si="20"/>
        <v>45821</v>
      </c>
      <c r="Q307" t="str">
        <f t="shared" si="21"/>
        <v>Aarush Bawa</v>
      </c>
      <c r="R307" t="str">
        <f t="shared" si="22"/>
        <v>Hyderabad</v>
      </c>
      <c r="S307" t="str">
        <f t="shared" si="23"/>
        <v>Telangana</v>
      </c>
      <c r="T307">
        <f t="shared" si="24"/>
        <v>3600</v>
      </c>
    </row>
    <row r="308" spans="1:20" x14ac:dyDescent="0.35">
      <c r="A308" t="s">
        <v>321</v>
      </c>
      <c r="B308" t="s">
        <v>1462</v>
      </c>
      <c r="C308" t="s">
        <v>2041</v>
      </c>
      <c r="D308" t="s">
        <v>2789</v>
      </c>
      <c r="E308" t="s">
        <v>3671</v>
      </c>
      <c r="F308">
        <v>56</v>
      </c>
      <c r="G308" t="s">
        <v>3675</v>
      </c>
      <c r="H308" t="s">
        <v>3681</v>
      </c>
      <c r="I308" t="s">
        <v>3686</v>
      </c>
      <c r="J308" t="s">
        <v>3693</v>
      </c>
      <c r="K308" t="s">
        <v>3696</v>
      </c>
      <c r="L308">
        <v>1</v>
      </c>
      <c r="M308">
        <v>65000</v>
      </c>
      <c r="N308" t="s">
        <v>3704</v>
      </c>
      <c r="O308" t="s">
        <v>3706</v>
      </c>
      <c r="P308" s="2">
        <f t="shared" si="20"/>
        <v>45860</v>
      </c>
      <c r="Q308" t="str">
        <f t="shared" si="21"/>
        <v>Miraya Dugar</v>
      </c>
      <c r="R308" t="str">
        <f t="shared" si="22"/>
        <v>Kolkata</v>
      </c>
      <c r="S308" t="str">
        <f t="shared" si="23"/>
        <v>West Bengal</v>
      </c>
      <c r="T308">
        <f t="shared" si="24"/>
        <v>65000</v>
      </c>
    </row>
    <row r="309" spans="1:20" x14ac:dyDescent="0.35">
      <c r="A309" t="s">
        <v>322</v>
      </c>
      <c r="B309" t="s">
        <v>1463</v>
      </c>
      <c r="C309" t="s">
        <v>2004</v>
      </c>
      <c r="D309" t="s">
        <v>2790</v>
      </c>
      <c r="E309" t="s">
        <v>3672</v>
      </c>
      <c r="F309">
        <v>33</v>
      </c>
      <c r="G309" t="s">
        <v>3679</v>
      </c>
      <c r="H309" t="s">
        <v>3684</v>
      </c>
      <c r="I309" t="s">
        <v>3689</v>
      </c>
      <c r="J309" t="s">
        <v>3694</v>
      </c>
      <c r="K309" t="s">
        <v>3699</v>
      </c>
      <c r="L309">
        <v>3</v>
      </c>
      <c r="M309">
        <v>1800</v>
      </c>
      <c r="N309" t="s">
        <v>3703</v>
      </c>
      <c r="O309" t="s">
        <v>3705</v>
      </c>
      <c r="P309" s="2">
        <f t="shared" si="20"/>
        <v>45852</v>
      </c>
      <c r="Q309" t="str">
        <f t="shared" si="21"/>
        <v>Dhanuk Dara</v>
      </c>
      <c r="R309" t="str">
        <f t="shared" si="22"/>
        <v>Bengaluru</v>
      </c>
      <c r="S309" t="str">
        <f t="shared" si="23"/>
        <v>Karnataka</v>
      </c>
      <c r="T309">
        <f t="shared" si="24"/>
        <v>5400</v>
      </c>
    </row>
    <row r="310" spans="1:20" x14ac:dyDescent="0.35">
      <c r="A310" t="s">
        <v>323</v>
      </c>
      <c r="B310" t="s">
        <v>1261</v>
      </c>
      <c r="C310" t="s">
        <v>1918</v>
      </c>
      <c r="D310" t="s">
        <v>2791</v>
      </c>
      <c r="E310" t="s">
        <v>3672</v>
      </c>
      <c r="F310">
        <v>60</v>
      </c>
      <c r="G310" t="s">
        <v>3674</v>
      </c>
      <c r="H310" t="s">
        <v>3680</v>
      </c>
      <c r="I310" t="s">
        <v>3685</v>
      </c>
      <c r="J310" t="s">
        <v>3692</v>
      </c>
      <c r="K310" t="s">
        <v>3695</v>
      </c>
      <c r="L310">
        <v>3</v>
      </c>
      <c r="M310">
        <v>12000</v>
      </c>
      <c r="N310" t="s">
        <v>3701</v>
      </c>
      <c r="O310" t="s">
        <v>3706</v>
      </c>
      <c r="P310" s="2">
        <f t="shared" si="20"/>
        <v>45857</v>
      </c>
      <c r="Q310" t="str">
        <f t="shared" si="21"/>
        <v>Anika Mand</v>
      </c>
      <c r="R310" t="str">
        <f t="shared" si="22"/>
        <v>Pune</v>
      </c>
      <c r="S310" t="str">
        <f t="shared" si="23"/>
        <v>Maharashtra</v>
      </c>
      <c r="T310">
        <f t="shared" si="24"/>
        <v>36000</v>
      </c>
    </row>
    <row r="311" spans="1:20" x14ac:dyDescent="0.35">
      <c r="A311" t="s">
        <v>324</v>
      </c>
      <c r="B311" t="s">
        <v>1464</v>
      </c>
      <c r="C311" t="s">
        <v>2042</v>
      </c>
      <c r="D311" t="s">
        <v>2792</v>
      </c>
      <c r="E311" t="s">
        <v>3671</v>
      </c>
      <c r="F311">
        <v>18</v>
      </c>
      <c r="G311" t="s">
        <v>3679</v>
      </c>
      <c r="H311" t="s">
        <v>3684</v>
      </c>
      <c r="I311" t="s">
        <v>3689</v>
      </c>
      <c r="J311" t="s">
        <v>3694</v>
      </c>
      <c r="K311" t="s">
        <v>3699</v>
      </c>
      <c r="L311">
        <v>1</v>
      </c>
      <c r="M311">
        <v>1800</v>
      </c>
      <c r="N311" t="s">
        <v>3701</v>
      </c>
      <c r="O311" t="s">
        <v>3706</v>
      </c>
      <c r="P311" s="2">
        <f t="shared" si="20"/>
        <v>45991</v>
      </c>
      <c r="Q311" t="str">
        <f t="shared" si="21"/>
        <v>Zain Dasgupta</v>
      </c>
      <c r="R311" t="str">
        <f t="shared" si="22"/>
        <v>Bengaluru</v>
      </c>
      <c r="S311" t="str">
        <f t="shared" si="23"/>
        <v>Karnataka</v>
      </c>
      <c r="T311">
        <f t="shared" si="24"/>
        <v>1800</v>
      </c>
    </row>
    <row r="312" spans="1:20" x14ac:dyDescent="0.35">
      <c r="A312" t="s">
        <v>325</v>
      </c>
      <c r="B312" t="s">
        <v>1281</v>
      </c>
      <c r="C312" t="s">
        <v>2043</v>
      </c>
      <c r="D312" t="s">
        <v>2793</v>
      </c>
      <c r="E312" t="s">
        <v>3672</v>
      </c>
      <c r="F312">
        <v>27</v>
      </c>
      <c r="G312" t="s">
        <v>3674</v>
      </c>
      <c r="H312" t="s">
        <v>3680</v>
      </c>
      <c r="I312" t="s">
        <v>3690</v>
      </c>
      <c r="J312" t="s">
        <v>3693</v>
      </c>
      <c r="K312" t="s">
        <v>3700</v>
      </c>
      <c r="L312">
        <v>5</v>
      </c>
      <c r="M312">
        <v>72000</v>
      </c>
      <c r="N312" t="s">
        <v>3703</v>
      </c>
      <c r="O312" t="s">
        <v>3706</v>
      </c>
      <c r="P312" s="2">
        <f t="shared" si="20"/>
        <v>45825</v>
      </c>
      <c r="Q312" t="str">
        <f t="shared" si="21"/>
        <v>Taimur Sha</v>
      </c>
      <c r="R312" t="str">
        <f t="shared" si="22"/>
        <v>Pune</v>
      </c>
      <c r="S312" t="str">
        <f t="shared" si="23"/>
        <v>Maharashtra</v>
      </c>
      <c r="T312">
        <f t="shared" si="24"/>
        <v>360000</v>
      </c>
    </row>
    <row r="313" spans="1:20" x14ac:dyDescent="0.35">
      <c r="A313" t="s">
        <v>326</v>
      </c>
      <c r="B313" t="s">
        <v>1465</v>
      </c>
      <c r="C313" t="s">
        <v>2044</v>
      </c>
      <c r="D313" t="s">
        <v>2794</v>
      </c>
      <c r="E313" t="s">
        <v>3672</v>
      </c>
      <c r="F313">
        <v>35</v>
      </c>
      <c r="G313" t="s">
        <v>3674</v>
      </c>
      <c r="H313" t="s">
        <v>3680</v>
      </c>
      <c r="I313" t="s">
        <v>3691</v>
      </c>
      <c r="J313" t="s">
        <v>3693</v>
      </c>
      <c r="K313" t="s">
        <v>3696</v>
      </c>
      <c r="L313">
        <v>5</v>
      </c>
      <c r="M313">
        <v>58000</v>
      </c>
      <c r="N313" t="s">
        <v>3701</v>
      </c>
      <c r="O313" t="s">
        <v>3706</v>
      </c>
      <c r="P313" s="2">
        <f t="shared" si="20"/>
        <v>45722</v>
      </c>
      <c r="Q313" t="str">
        <f t="shared" si="21"/>
        <v>Nirvi Mall</v>
      </c>
      <c r="R313" t="str">
        <f t="shared" si="22"/>
        <v>Pune</v>
      </c>
      <c r="S313" t="str">
        <f t="shared" si="23"/>
        <v>Maharashtra</v>
      </c>
      <c r="T313">
        <f t="shared" si="24"/>
        <v>290000</v>
      </c>
    </row>
    <row r="314" spans="1:20" x14ac:dyDescent="0.35">
      <c r="A314" t="s">
        <v>327</v>
      </c>
      <c r="B314" t="s">
        <v>1466</v>
      </c>
      <c r="C314" t="s">
        <v>2045</v>
      </c>
      <c r="D314" t="s">
        <v>2795</v>
      </c>
      <c r="E314" t="s">
        <v>3672</v>
      </c>
      <c r="F314">
        <v>54</v>
      </c>
      <c r="G314" t="s">
        <v>3676</v>
      </c>
      <c r="H314" t="s">
        <v>3682</v>
      </c>
      <c r="I314" t="s">
        <v>3686</v>
      </c>
      <c r="J314" t="s">
        <v>3693</v>
      </c>
      <c r="K314" t="s">
        <v>3696</v>
      </c>
      <c r="L314">
        <v>4</v>
      </c>
      <c r="M314">
        <v>65000</v>
      </c>
      <c r="N314" t="s">
        <v>3701</v>
      </c>
      <c r="O314" t="s">
        <v>3706</v>
      </c>
      <c r="P314" s="2">
        <f t="shared" si="20"/>
        <v>45988</v>
      </c>
      <c r="Q314" t="str">
        <f t="shared" si="21"/>
        <v>Shanaya Setty</v>
      </c>
      <c r="R314" t="str">
        <f t="shared" si="22"/>
        <v>Chennai</v>
      </c>
      <c r="S314" t="str">
        <f t="shared" si="23"/>
        <v>Tamil Nadu</v>
      </c>
      <c r="T314">
        <f t="shared" si="24"/>
        <v>260000</v>
      </c>
    </row>
    <row r="315" spans="1:20" x14ac:dyDescent="0.35">
      <c r="A315" t="s">
        <v>328</v>
      </c>
      <c r="B315" t="s">
        <v>1467</v>
      </c>
      <c r="C315" t="s">
        <v>2046</v>
      </c>
      <c r="D315" t="s">
        <v>2796</v>
      </c>
      <c r="E315" t="s">
        <v>3672</v>
      </c>
      <c r="F315">
        <v>25</v>
      </c>
      <c r="G315" t="s">
        <v>3675</v>
      </c>
      <c r="H315" t="s">
        <v>3681</v>
      </c>
      <c r="I315" t="s">
        <v>3690</v>
      </c>
      <c r="J315" t="s">
        <v>3693</v>
      </c>
      <c r="K315" t="s">
        <v>3700</v>
      </c>
      <c r="L315">
        <v>2</v>
      </c>
      <c r="M315">
        <v>72000</v>
      </c>
      <c r="N315" t="s">
        <v>3701</v>
      </c>
      <c r="O315" t="s">
        <v>3706</v>
      </c>
      <c r="P315" s="2">
        <f t="shared" si="20"/>
        <v>45779</v>
      </c>
      <c r="Q315" t="str">
        <f t="shared" si="21"/>
        <v>Samaira Dora</v>
      </c>
      <c r="R315" t="str">
        <f t="shared" si="22"/>
        <v>Kolkata</v>
      </c>
      <c r="S315" t="str">
        <f t="shared" si="23"/>
        <v>West Bengal</v>
      </c>
      <c r="T315">
        <f t="shared" si="24"/>
        <v>144000</v>
      </c>
    </row>
    <row r="316" spans="1:20" x14ac:dyDescent="0.35">
      <c r="A316" t="s">
        <v>329</v>
      </c>
      <c r="B316" t="s">
        <v>1261</v>
      </c>
      <c r="C316" t="s">
        <v>2047</v>
      </c>
      <c r="D316" t="s">
        <v>2797</v>
      </c>
      <c r="E316" t="s">
        <v>3671</v>
      </c>
      <c r="F316">
        <v>39</v>
      </c>
      <c r="G316" t="s">
        <v>3678</v>
      </c>
      <c r="H316" t="s">
        <v>3683</v>
      </c>
      <c r="I316" t="s">
        <v>3686</v>
      </c>
      <c r="J316" t="s">
        <v>3693</v>
      </c>
      <c r="K316" t="s">
        <v>3696</v>
      </c>
      <c r="L316">
        <v>5</v>
      </c>
      <c r="M316">
        <v>65000</v>
      </c>
      <c r="N316" t="s">
        <v>3701</v>
      </c>
      <c r="O316" t="s">
        <v>3705</v>
      </c>
      <c r="P316" s="2">
        <f t="shared" si="20"/>
        <v>45857</v>
      </c>
      <c r="Q316" t="str">
        <f t="shared" si="21"/>
        <v>Tushar Dhar</v>
      </c>
      <c r="R316" t="str">
        <f t="shared" si="22"/>
        <v>Hyderabad</v>
      </c>
      <c r="S316" t="str">
        <f t="shared" si="23"/>
        <v>Telangana</v>
      </c>
      <c r="T316">
        <f t="shared" si="24"/>
        <v>325000</v>
      </c>
    </row>
    <row r="317" spans="1:20" x14ac:dyDescent="0.35">
      <c r="A317" t="s">
        <v>330</v>
      </c>
      <c r="B317" t="s">
        <v>1468</v>
      </c>
      <c r="C317" t="s">
        <v>1909</v>
      </c>
      <c r="D317" t="s">
        <v>2798</v>
      </c>
      <c r="E317" t="s">
        <v>3672</v>
      </c>
      <c r="F317">
        <v>27</v>
      </c>
      <c r="G317" t="s">
        <v>3674</v>
      </c>
      <c r="H317" t="s">
        <v>3680</v>
      </c>
      <c r="I317" t="s">
        <v>3691</v>
      </c>
      <c r="J317" t="s">
        <v>3693</v>
      </c>
      <c r="K317" t="s">
        <v>3696</v>
      </c>
      <c r="L317">
        <v>5</v>
      </c>
      <c r="M317">
        <v>58000</v>
      </c>
      <c r="N317" t="s">
        <v>3701</v>
      </c>
      <c r="O317" t="s">
        <v>3706</v>
      </c>
      <c r="P317" s="2">
        <f t="shared" si="20"/>
        <v>45901</v>
      </c>
      <c r="Q317" t="str">
        <f t="shared" si="21"/>
        <v>Mehul Cheema</v>
      </c>
      <c r="R317" t="str">
        <f t="shared" si="22"/>
        <v>Pune</v>
      </c>
      <c r="S317" t="str">
        <f t="shared" si="23"/>
        <v>Maharashtra</v>
      </c>
      <c r="T317">
        <f t="shared" si="24"/>
        <v>290000</v>
      </c>
    </row>
    <row r="318" spans="1:20" x14ac:dyDescent="0.35">
      <c r="A318" t="s">
        <v>331</v>
      </c>
      <c r="B318" t="s">
        <v>1361</v>
      </c>
      <c r="C318" t="s">
        <v>2048</v>
      </c>
      <c r="D318" t="s">
        <v>2799</v>
      </c>
      <c r="E318" t="s">
        <v>3671</v>
      </c>
      <c r="F318">
        <v>41</v>
      </c>
      <c r="G318" t="s">
        <v>3679</v>
      </c>
      <c r="H318" t="s">
        <v>3684</v>
      </c>
      <c r="I318" t="s">
        <v>3688</v>
      </c>
      <c r="J318" t="s">
        <v>3694</v>
      </c>
      <c r="K318" t="s">
        <v>3698</v>
      </c>
      <c r="L318">
        <v>5</v>
      </c>
      <c r="M318">
        <v>4500</v>
      </c>
      <c r="N318" t="s">
        <v>3704</v>
      </c>
      <c r="O318" t="s">
        <v>3706</v>
      </c>
      <c r="P318" s="2">
        <f t="shared" si="20"/>
        <v>45984</v>
      </c>
      <c r="Q318" t="str">
        <f t="shared" si="21"/>
        <v>Ranbir Sahni</v>
      </c>
      <c r="R318" t="str">
        <f t="shared" si="22"/>
        <v>Bengaluru</v>
      </c>
      <c r="S318" t="str">
        <f t="shared" si="23"/>
        <v>Karnataka</v>
      </c>
      <c r="T318">
        <f t="shared" si="24"/>
        <v>22500</v>
      </c>
    </row>
    <row r="319" spans="1:20" x14ac:dyDescent="0.35">
      <c r="A319" t="s">
        <v>332</v>
      </c>
      <c r="B319" t="s">
        <v>1469</v>
      </c>
      <c r="C319" t="s">
        <v>1793</v>
      </c>
      <c r="D319" t="s">
        <v>2800</v>
      </c>
      <c r="E319" t="s">
        <v>3672</v>
      </c>
      <c r="F319">
        <v>33</v>
      </c>
      <c r="G319" t="s">
        <v>3673</v>
      </c>
      <c r="H319" t="s">
        <v>3673</v>
      </c>
      <c r="I319" t="s">
        <v>3689</v>
      </c>
      <c r="J319" t="s">
        <v>3694</v>
      </c>
      <c r="K319" t="s">
        <v>3699</v>
      </c>
      <c r="L319">
        <v>4</v>
      </c>
      <c r="M319">
        <v>1800</v>
      </c>
      <c r="N319" t="s">
        <v>3703</v>
      </c>
      <c r="O319" t="s">
        <v>3705</v>
      </c>
      <c r="P319" s="2">
        <f t="shared" si="20"/>
        <v>45788</v>
      </c>
      <c r="Q319" t="str">
        <f t="shared" si="21"/>
        <v>Nirvi Koshy</v>
      </c>
      <c r="R319" t="str">
        <f t="shared" si="22"/>
        <v>Delhi</v>
      </c>
      <c r="S319" t="str">
        <f t="shared" si="23"/>
        <v>Delhi</v>
      </c>
      <c r="T319">
        <f t="shared" si="24"/>
        <v>7200</v>
      </c>
    </row>
    <row r="320" spans="1:20" x14ac:dyDescent="0.35">
      <c r="A320" t="s">
        <v>333</v>
      </c>
      <c r="B320" t="s">
        <v>1470</v>
      </c>
      <c r="C320" t="s">
        <v>1909</v>
      </c>
      <c r="D320" t="s">
        <v>2801</v>
      </c>
      <c r="E320" t="s">
        <v>3672</v>
      </c>
      <c r="F320">
        <v>45</v>
      </c>
      <c r="G320" t="s">
        <v>3673</v>
      </c>
      <c r="H320" t="s">
        <v>3673</v>
      </c>
      <c r="I320" t="s">
        <v>3686</v>
      </c>
      <c r="J320" t="s">
        <v>3693</v>
      </c>
      <c r="K320" t="s">
        <v>3696</v>
      </c>
      <c r="L320">
        <v>5</v>
      </c>
      <c r="M320">
        <v>65000</v>
      </c>
      <c r="N320" t="s">
        <v>3703</v>
      </c>
      <c r="O320" t="s">
        <v>3706</v>
      </c>
      <c r="P320" s="2">
        <f t="shared" si="20"/>
        <v>45971</v>
      </c>
      <c r="Q320" t="str">
        <f t="shared" si="21"/>
        <v>Arnav Venkataraman</v>
      </c>
      <c r="R320" t="str">
        <f t="shared" si="22"/>
        <v>Delhi</v>
      </c>
      <c r="S320" t="str">
        <f t="shared" si="23"/>
        <v>Delhi</v>
      </c>
      <c r="T320">
        <f t="shared" si="24"/>
        <v>325000</v>
      </c>
    </row>
    <row r="321" spans="1:20" x14ac:dyDescent="0.35">
      <c r="A321" t="s">
        <v>334</v>
      </c>
      <c r="B321" t="s">
        <v>1251</v>
      </c>
      <c r="C321" t="s">
        <v>2049</v>
      </c>
      <c r="D321" t="s">
        <v>2802</v>
      </c>
      <c r="E321" t="s">
        <v>3672</v>
      </c>
      <c r="F321">
        <v>30</v>
      </c>
      <c r="G321" t="s">
        <v>3676</v>
      </c>
      <c r="H321" t="s">
        <v>3682</v>
      </c>
      <c r="I321" t="s">
        <v>3689</v>
      </c>
      <c r="J321" t="s">
        <v>3694</v>
      </c>
      <c r="K321" t="s">
        <v>3699</v>
      </c>
      <c r="L321">
        <v>2</v>
      </c>
      <c r="M321">
        <v>1800</v>
      </c>
      <c r="N321" t="s">
        <v>3704</v>
      </c>
      <c r="O321" t="s">
        <v>3707</v>
      </c>
      <c r="P321" s="2">
        <f t="shared" si="20"/>
        <v>45816</v>
      </c>
      <c r="Q321" t="str">
        <f t="shared" si="21"/>
        <v>Devansh Mandal</v>
      </c>
      <c r="R321" t="str">
        <f t="shared" si="22"/>
        <v>Chennai</v>
      </c>
      <c r="S321" t="str">
        <f t="shared" si="23"/>
        <v>Tamil Nadu</v>
      </c>
      <c r="T321">
        <f t="shared" si="24"/>
        <v>3600</v>
      </c>
    </row>
    <row r="322" spans="1:20" x14ac:dyDescent="0.35">
      <c r="A322" t="s">
        <v>335</v>
      </c>
      <c r="B322" t="s">
        <v>1471</v>
      </c>
      <c r="C322" t="s">
        <v>2050</v>
      </c>
      <c r="D322" t="s">
        <v>2803</v>
      </c>
      <c r="E322" t="s">
        <v>3671</v>
      </c>
      <c r="F322">
        <v>27</v>
      </c>
      <c r="G322" t="s">
        <v>3678</v>
      </c>
      <c r="H322" t="s">
        <v>3683</v>
      </c>
      <c r="I322" t="s">
        <v>3688</v>
      </c>
      <c r="J322" t="s">
        <v>3694</v>
      </c>
      <c r="K322" t="s">
        <v>3698</v>
      </c>
      <c r="L322">
        <v>2</v>
      </c>
      <c r="M322">
        <v>4500</v>
      </c>
      <c r="N322" t="s">
        <v>3702</v>
      </c>
      <c r="O322" t="s">
        <v>3707</v>
      </c>
      <c r="P322" s="2">
        <f t="shared" si="20"/>
        <v>45879</v>
      </c>
      <c r="Q322" t="str">
        <f t="shared" si="21"/>
        <v>Miraan Rao</v>
      </c>
      <c r="R322" t="str">
        <f t="shared" si="22"/>
        <v>Hyderabad</v>
      </c>
      <c r="S322" t="str">
        <f t="shared" si="23"/>
        <v>Telangana</v>
      </c>
      <c r="T322">
        <f t="shared" si="24"/>
        <v>9000</v>
      </c>
    </row>
    <row r="323" spans="1:20" x14ac:dyDescent="0.35">
      <c r="A323" t="s">
        <v>336</v>
      </c>
      <c r="B323" t="s">
        <v>1472</v>
      </c>
      <c r="C323" t="s">
        <v>1855</v>
      </c>
      <c r="D323" t="s">
        <v>2804</v>
      </c>
      <c r="E323" t="s">
        <v>3672</v>
      </c>
      <c r="F323">
        <v>19</v>
      </c>
      <c r="G323" t="s">
        <v>3675</v>
      </c>
      <c r="H323" t="s">
        <v>3681</v>
      </c>
      <c r="I323" t="s">
        <v>3688</v>
      </c>
      <c r="J323" t="s">
        <v>3694</v>
      </c>
      <c r="K323" t="s">
        <v>3698</v>
      </c>
      <c r="L323">
        <v>5</v>
      </c>
      <c r="M323">
        <v>4500</v>
      </c>
      <c r="N323" t="s">
        <v>3701</v>
      </c>
      <c r="O323" t="s">
        <v>3706</v>
      </c>
      <c r="P323" s="2">
        <f t="shared" ref="P323:P386" si="25">DATEVALUE(SUBSTITUTE(B323,"/","-"))</f>
        <v>45740</v>
      </c>
      <c r="Q323" t="str">
        <f t="shared" ref="Q323:Q386" si="26">TRIM(CLEAN(D323))</f>
        <v>Keya Chokshi</v>
      </c>
      <c r="R323" t="str">
        <f t="shared" ref="R323:R386" si="27">IF(G323="","Unknown",G323)</f>
        <v>Kolkata</v>
      </c>
      <c r="S323" t="str">
        <f t="shared" ref="S323:S386" si="28">IF(H323="","Unknown",H323)</f>
        <v>West Bengal</v>
      </c>
      <c r="T323">
        <f t="shared" ref="T323:T386" si="29">L323*M323</f>
        <v>22500</v>
      </c>
    </row>
    <row r="324" spans="1:20" x14ac:dyDescent="0.35">
      <c r="A324" t="s">
        <v>337</v>
      </c>
      <c r="B324" t="s">
        <v>1473</v>
      </c>
      <c r="C324" t="s">
        <v>2051</v>
      </c>
      <c r="D324" t="s">
        <v>2805</v>
      </c>
      <c r="E324" t="s">
        <v>3672</v>
      </c>
      <c r="F324">
        <v>49</v>
      </c>
      <c r="G324" t="s">
        <v>3678</v>
      </c>
      <c r="H324" t="s">
        <v>3683</v>
      </c>
      <c r="I324" t="s">
        <v>3689</v>
      </c>
      <c r="J324" t="s">
        <v>3694</v>
      </c>
      <c r="K324" t="s">
        <v>3699</v>
      </c>
      <c r="L324">
        <v>2</v>
      </c>
      <c r="M324">
        <v>1800</v>
      </c>
      <c r="N324" t="s">
        <v>3704</v>
      </c>
      <c r="O324" t="s">
        <v>3707</v>
      </c>
      <c r="P324" s="2">
        <f t="shared" si="25"/>
        <v>45960</v>
      </c>
      <c r="Q324" t="str">
        <f t="shared" si="26"/>
        <v>Yasmin Shan</v>
      </c>
      <c r="R324" t="str">
        <f t="shared" si="27"/>
        <v>Hyderabad</v>
      </c>
      <c r="S324" t="str">
        <f t="shared" si="28"/>
        <v>Telangana</v>
      </c>
      <c r="T324">
        <f t="shared" si="29"/>
        <v>3600</v>
      </c>
    </row>
    <row r="325" spans="1:20" x14ac:dyDescent="0.35">
      <c r="A325" t="s">
        <v>338</v>
      </c>
      <c r="B325" t="s">
        <v>1474</v>
      </c>
      <c r="C325" t="s">
        <v>2052</v>
      </c>
      <c r="D325" t="s">
        <v>2806</v>
      </c>
      <c r="E325" t="s">
        <v>3672</v>
      </c>
      <c r="F325">
        <v>21</v>
      </c>
      <c r="G325" t="s">
        <v>3677</v>
      </c>
      <c r="H325" t="s">
        <v>3680</v>
      </c>
      <c r="I325" t="s">
        <v>3687</v>
      </c>
      <c r="J325" t="s">
        <v>3693</v>
      </c>
      <c r="K325" t="s">
        <v>3697</v>
      </c>
      <c r="L325">
        <v>4</v>
      </c>
      <c r="M325">
        <v>5000</v>
      </c>
      <c r="N325" t="s">
        <v>3703</v>
      </c>
      <c r="O325" t="s">
        <v>3706</v>
      </c>
      <c r="P325" s="2">
        <f t="shared" si="25"/>
        <v>45834</v>
      </c>
      <c r="Q325" t="str">
        <f t="shared" si="26"/>
        <v>Nayantara Zacharia</v>
      </c>
      <c r="R325" t="str">
        <f t="shared" si="27"/>
        <v>Mumbai</v>
      </c>
      <c r="S325" t="str">
        <f t="shared" si="28"/>
        <v>Maharashtra</v>
      </c>
      <c r="T325">
        <f t="shared" si="29"/>
        <v>20000</v>
      </c>
    </row>
    <row r="326" spans="1:20" x14ac:dyDescent="0.35">
      <c r="A326" t="s">
        <v>339</v>
      </c>
      <c r="B326" t="s">
        <v>1363</v>
      </c>
      <c r="C326" t="s">
        <v>2053</v>
      </c>
      <c r="D326" t="s">
        <v>2807</v>
      </c>
      <c r="E326" t="s">
        <v>3671</v>
      </c>
      <c r="F326">
        <v>46</v>
      </c>
      <c r="G326" t="s">
        <v>3677</v>
      </c>
      <c r="H326" t="s">
        <v>3680</v>
      </c>
      <c r="I326" t="s">
        <v>3685</v>
      </c>
      <c r="J326" t="s">
        <v>3692</v>
      </c>
      <c r="K326" t="s">
        <v>3695</v>
      </c>
      <c r="L326">
        <v>1</v>
      </c>
      <c r="M326">
        <v>12000</v>
      </c>
      <c r="N326" t="s">
        <v>3703</v>
      </c>
      <c r="O326" t="s">
        <v>3706</v>
      </c>
      <c r="P326" s="2">
        <f t="shared" si="25"/>
        <v>45830</v>
      </c>
      <c r="Q326" t="str">
        <f t="shared" si="26"/>
        <v>Vardaniya Virk</v>
      </c>
      <c r="R326" t="str">
        <f t="shared" si="27"/>
        <v>Mumbai</v>
      </c>
      <c r="S326" t="str">
        <f t="shared" si="28"/>
        <v>Maharashtra</v>
      </c>
      <c r="T326">
        <f t="shared" si="29"/>
        <v>12000</v>
      </c>
    </row>
    <row r="327" spans="1:20" x14ac:dyDescent="0.35">
      <c r="A327" t="s">
        <v>340</v>
      </c>
      <c r="B327" t="s">
        <v>1291</v>
      </c>
      <c r="C327" t="s">
        <v>2054</v>
      </c>
      <c r="D327" t="s">
        <v>2808</v>
      </c>
      <c r="E327" t="s">
        <v>3672</v>
      </c>
      <c r="F327">
        <v>55</v>
      </c>
      <c r="G327" t="s">
        <v>3676</v>
      </c>
      <c r="H327" t="s">
        <v>3682</v>
      </c>
      <c r="I327" t="s">
        <v>3686</v>
      </c>
      <c r="J327" t="s">
        <v>3693</v>
      </c>
      <c r="K327" t="s">
        <v>3696</v>
      </c>
      <c r="L327">
        <v>1</v>
      </c>
      <c r="M327">
        <v>65000</v>
      </c>
      <c r="N327" t="s">
        <v>3702</v>
      </c>
      <c r="O327" t="s">
        <v>3707</v>
      </c>
      <c r="P327" s="2">
        <f t="shared" si="25"/>
        <v>45956</v>
      </c>
      <c r="Q327" t="str">
        <f t="shared" si="26"/>
        <v>Biju Kapadia</v>
      </c>
      <c r="R327" t="str">
        <f t="shared" si="27"/>
        <v>Chennai</v>
      </c>
      <c r="S327" t="str">
        <f t="shared" si="28"/>
        <v>Tamil Nadu</v>
      </c>
      <c r="T327">
        <f t="shared" si="29"/>
        <v>65000</v>
      </c>
    </row>
    <row r="328" spans="1:20" x14ac:dyDescent="0.35">
      <c r="A328" t="s">
        <v>341</v>
      </c>
      <c r="B328" t="s">
        <v>1475</v>
      </c>
      <c r="C328" t="s">
        <v>2055</v>
      </c>
      <c r="D328" t="s">
        <v>2809</v>
      </c>
      <c r="E328" t="s">
        <v>3672</v>
      </c>
      <c r="F328">
        <v>49</v>
      </c>
      <c r="G328" t="s">
        <v>3679</v>
      </c>
      <c r="H328" t="s">
        <v>3684</v>
      </c>
      <c r="I328" t="s">
        <v>3690</v>
      </c>
      <c r="J328" t="s">
        <v>3693</v>
      </c>
      <c r="K328" t="s">
        <v>3700</v>
      </c>
      <c r="L328">
        <v>2</v>
      </c>
      <c r="M328">
        <v>72000</v>
      </c>
      <c r="N328" t="s">
        <v>3703</v>
      </c>
      <c r="O328" t="s">
        <v>3706</v>
      </c>
      <c r="P328" s="2">
        <f t="shared" si="25"/>
        <v>45848</v>
      </c>
      <c r="Q328" t="str">
        <f t="shared" si="26"/>
        <v>Krish Shah</v>
      </c>
      <c r="R328" t="str">
        <f t="shared" si="27"/>
        <v>Bengaluru</v>
      </c>
      <c r="S328" t="str">
        <f t="shared" si="28"/>
        <v>Karnataka</v>
      </c>
      <c r="T328">
        <f t="shared" si="29"/>
        <v>144000</v>
      </c>
    </row>
    <row r="329" spans="1:20" x14ac:dyDescent="0.35">
      <c r="A329" t="s">
        <v>342</v>
      </c>
      <c r="B329" t="s">
        <v>1476</v>
      </c>
      <c r="C329" t="s">
        <v>2056</v>
      </c>
      <c r="D329" t="s">
        <v>2810</v>
      </c>
      <c r="E329" t="s">
        <v>3672</v>
      </c>
      <c r="F329">
        <v>55</v>
      </c>
      <c r="G329" t="s">
        <v>3675</v>
      </c>
      <c r="H329" t="s">
        <v>3681</v>
      </c>
      <c r="I329" t="s">
        <v>3691</v>
      </c>
      <c r="J329" t="s">
        <v>3693</v>
      </c>
      <c r="K329" t="s">
        <v>3696</v>
      </c>
      <c r="L329">
        <v>4</v>
      </c>
      <c r="M329">
        <v>58000</v>
      </c>
      <c r="N329" t="s">
        <v>3703</v>
      </c>
      <c r="O329" t="s">
        <v>3705</v>
      </c>
      <c r="P329" s="2">
        <f t="shared" si="25"/>
        <v>46009</v>
      </c>
      <c r="Q329" t="str">
        <f t="shared" si="26"/>
        <v>Aaryahi Banik</v>
      </c>
      <c r="R329" t="str">
        <f t="shared" si="27"/>
        <v>Kolkata</v>
      </c>
      <c r="S329" t="str">
        <f t="shared" si="28"/>
        <v>West Bengal</v>
      </c>
      <c r="T329">
        <f t="shared" si="29"/>
        <v>232000</v>
      </c>
    </row>
    <row r="330" spans="1:20" x14ac:dyDescent="0.35">
      <c r="A330" t="s">
        <v>343</v>
      </c>
      <c r="B330" t="s">
        <v>1477</v>
      </c>
      <c r="C330" t="s">
        <v>2057</v>
      </c>
      <c r="D330" t="s">
        <v>2811</v>
      </c>
      <c r="E330" t="s">
        <v>3672</v>
      </c>
      <c r="F330">
        <v>59</v>
      </c>
      <c r="G330" t="s">
        <v>3673</v>
      </c>
      <c r="H330" t="s">
        <v>3673</v>
      </c>
      <c r="I330" t="s">
        <v>3688</v>
      </c>
      <c r="J330" t="s">
        <v>3694</v>
      </c>
      <c r="K330" t="s">
        <v>3698</v>
      </c>
      <c r="L330">
        <v>1</v>
      </c>
      <c r="M330">
        <v>4500</v>
      </c>
      <c r="N330" t="s">
        <v>3704</v>
      </c>
      <c r="O330" t="s">
        <v>3706</v>
      </c>
      <c r="P330" s="2">
        <f t="shared" si="25"/>
        <v>45930</v>
      </c>
      <c r="Q330" t="str">
        <f t="shared" si="26"/>
        <v>Tiya Kurian</v>
      </c>
      <c r="R330" t="str">
        <f t="shared" si="27"/>
        <v>Delhi</v>
      </c>
      <c r="S330" t="str">
        <f t="shared" si="28"/>
        <v>Delhi</v>
      </c>
      <c r="T330">
        <f t="shared" si="29"/>
        <v>4500</v>
      </c>
    </row>
    <row r="331" spans="1:20" x14ac:dyDescent="0.35">
      <c r="A331" t="s">
        <v>344</v>
      </c>
      <c r="B331" t="s">
        <v>1396</v>
      </c>
      <c r="C331" t="s">
        <v>2058</v>
      </c>
      <c r="D331" t="s">
        <v>2812</v>
      </c>
      <c r="E331" t="s">
        <v>3671</v>
      </c>
      <c r="F331">
        <v>23</v>
      </c>
      <c r="G331" t="s">
        <v>3674</v>
      </c>
      <c r="H331" t="s">
        <v>3680</v>
      </c>
      <c r="I331" t="s">
        <v>3688</v>
      </c>
      <c r="J331" t="s">
        <v>3694</v>
      </c>
      <c r="K331" t="s">
        <v>3698</v>
      </c>
      <c r="L331">
        <v>1</v>
      </c>
      <c r="M331">
        <v>4500</v>
      </c>
      <c r="N331" t="s">
        <v>3704</v>
      </c>
      <c r="O331" t="s">
        <v>3705</v>
      </c>
      <c r="P331" s="2">
        <f t="shared" si="25"/>
        <v>46001</v>
      </c>
      <c r="Q331" t="str">
        <f t="shared" si="26"/>
        <v>Yasmin Gera</v>
      </c>
      <c r="R331" t="str">
        <f t="shared" si="27"/>
        <v>Pune</v>
      </c>
      <c r="S331" t="str">
        <f t="shared" si="28"/>
        <v>Maharashtra</v>
      </c>
      <c r="T331">
        <f t="shared" si="29"/>
        <v>4500</v>
      </c>
    </row>
    <row r="332" spans="1:20" x14ac:dyDescent="0.35">
      <c r="A332" t="s">
        <v>345</v>
      </c>
      <c r="B332" t="s">
        <v>1478</v>
      </c>
      <c r="C332" t="s">
        <v>2059</v>
      </c>
      <c r="D332" t="s">
        <v>2813</v>
      </c>
      <c r="E332" t="s">
        <v>3672</v>
      </c>
      <c r="F332">
        <v>27</v>
      </c>
      <c r="G332" t="s">
        <v>3674</v>
      </c>
      <c r="H332" t="s">
        <v>3680</v>
      </c>
      <c r="I332" t="s">
        <v>3687</v>
      </c>
      <c r="J332" t="s">
        <v>3693</v>
      </c>
      <c r="K332" t="s">
        <v>3697</v>
      </c>
      <c r="L332">
        <v>3</v>
      </c>
      <c r="M332">
        <v>5000</v>
      </c>
      <c r="N332" t="s">
        <v>3701</v>
      </c>
      <c r="O332" t="s">
        <v>3706</v>
      </c>
      <c r="P332" s="2">
        <f t="shared" si="25"/>
        <v>45735</v>
      </c>
      <c r="Q332" t="str">
        <f t="shared" si="26"/>
        <v>Divyansh Ramesh</v>
      </c>
      <c r="R332" t="str">
        <f t="shared" si="27"/>
        <v>Pune</v>
      </c>
      <c r="S332" t="str">
        <f t="shared" si="28"/>
        <v>Maharashtra</v>
      </c>
      <c r="T332">
        <f t="shared" si="29"/>
        <v>15000</v>
      </c>
    </row>
    <row r="333" spans="1:20" x14ac:dyDescent="0.35">
      <c r="A333" t="s">
        <v>346</v>
      </c>
      <c r="B333" t="s">
        <v>1449</v>
      </c>
      <c r="C333" t="s">
        <v>2060</v>
      </c>
      <c r="D333" t="s">
        <v>2814</v>
      </c>
      <c r="E333" t="s">
        <v>3672</v>
      </c>
      <c r="F333">
        <v>35</v>
      </c>
      <c r="G333" t="s">
        <v>3673</v>
      </c>
      <c r="H333" t="s">
        <v>3673</v>
      </c>
      <c r="I333" t="s">
        <v>3688</v>
      </c>
      <c r="J333" t="s">
        <v>3694</v>
      </c>
      <c r="K333" t="s">
        <v>3698</v>
      </c>
      <c r="L333">
        <v>4</v>
      </c>
      <c r="M333">
        <v>4500</v>
      </c>
      <c r="N333" t="s">
        <v>3701</v>
      </c>
      <c r="O333" t="s">
        <v>3706</v>
      </c>
      <c r="P333" s="2">
        <f t="shared" si="25"/>
        <v>45707</v>
      </c>
      <c r="Q333" t="str">
        <f t="shared" si="26"/>
        <v>Renee Borra</v>
      </c>
      <c r="R333" t="str">
        <f t="shared" si="27"/>
        <v>Delhi</v>
      </c>
      <c r="S333" t="str">
        <f t="shared" si="28"/>
        <v>Delhi</v>
      </c>
      <c r="T333">
        <f t="shared" si="29"/>
        <v>18000</v>
      </c>
    </row>
    <row r="334" spans="1:20" x14ac:dyDescent="0.35">
      <c r="A334" t="s">
        <v>347</v>
      </c>
      <c r="B334" t="s">
        <v>1309</v>
      </c>
      <c r="C334" t="s">
        <v>2061</v>
      </c>
      <c r="D334" t="s">
        <v>2815</v>
      </c>
      <c r="E334" t="s">
        <v>3672</v>
      </c>
      <c r="F334">
        <v>36</v>
      </c>
      <c r="G334" t="s">
        <v>3676</v>
      </c>
      <c r="H334" t="s">
        <v>3682</v>
      </c>
      <c r="I334" t="s">
        <v>3691</v>
      </c>
      <c r="J334" t="s">
        <v>3693</v>
      </c>
      <c r="K334" t="s">
        <v>3696</v>
      </c>
      <c r="L334">
        <v>5</v>
      </c>
      <c r="M334">
        <v>58000</v>
      </c>
      <c r="N334" t="s">
        <v>3703</v>
      </c>
      <c r="O334" t="s">
        <v>3706</v>
      </c>
      <c r="P334" s="2">
        <f t="shared" si="25"/>
        <v>45802</v>
      </c>
      <c r="Q334" t="str">
        <f t="shared" si="26"/>
        <v>Anya Agrawal</v>
      </c>
      <c r="R334" t="str">
        <f t="shared" si="27"/>
        <v>Chennai</v>
      </c>
      <c r="S334" t="str">
        <f t="shared" si="28"/>
        <v>Tamil Nadu</v>
      </c>
      <c r="T334">
        <f t="shared" si="29"/>
        <v>290000</v>
      </c>
    </row>
    <row r="335" spans="1:20" x14ac:dyDescent="0.35">
      <c r="A335" t="s">
        <v>348</v>
      </c>
      <c r="B335" t="s">
        <v>1479</v>
      </c>
      <c r="C335" t="s">
        <v>2062</v>
      </c>
      <c r="D335" t="s">
        <v>2816</v>
      </c>
      <c r="E335" t="s">
        <v>3671</v>
      </c>
      <c r="F335">
        <v>38</v>
      </c>
      <c r="G335" t="s">
        <v>3673</v>
      </c>
      <c r="H335" t="s">
        <v>3673</v>
      </c>
      <c r="I335" t="s">
        <v>3691</v>
      </c>
      <c r="J335" t="s">
        <v>3693</v>
      </c>
      <c r="K335" t="s">
        <v>3696</v>
      </c>
      <c r="L335">
        <v>5</v>
      </c>
      <c r="M335">
        <v>58000</v>
      </c>
      <c r="N335" t="s">
        <v>3702</v>
      </c>
      <c r="O335" t="s">
        <v>3705</v>
      </c>
      <c r="P335" s="2">
        <f t="shared" si="25"/>
        <v>45925</v>
      </c>
      <c r="Q335" t="str">
        <f t="shared" si="26"/>
        <v>Nishith Trivedi</v>
      </c>
      <c r="R335" t="str">
        <f t="shared" si="27"/>
        <v>Delhi</v>
      </c>
      <c r="S335" t="str">
        <f t="shared" si="28"/>
        <v>Delhi</v>
      </c>
      <c r="T335">
        <f t="shared" si="29"/>
        <v>290000</v>
      </c>
    </row>
    <row r="336" spans="1:20" x14ac:dyDescent="0.35">
      <c r="A336" t="s">
        <v>349</v>
      </c>
      <c r="B336" t="s">
        <v>1334</v>
      </c>
      <c r="C336" t="s">
        <v>1996</v>
      </c>
      <c r="D336" t="s">
        <v>2817</v>
      </c>
      <c r="E336" t="s">
        <v>3671</v>
      </c>
      <c r="F336">
        <v>49</v>
      </c>
      <c r="G336" t="s">
        <v>3677</v>
      </c>
      <c r="H336" t="s">
        <v>3680</v>
      </c>
      <c r="I336" t="s">
        <v>3690</v>
      </c>
      <c r="J336" t="s">
        <v>3693</v>
      </c>
      <c r="K336" t="s">
        <v>3700</v>
      </c>
      <c r="L336">
        <v>1</v>
      </c>
      <c r="M336">
        <v>72000</v>
      </c>
      <c r="N336" t="s">
        <v>3702</v>
      </c>
      <c r="O336" t="s">
        <v>3705</v>
      </c>
      <c r="P336" s="2">
        <f t="shared" si="25"/>
        <v>45767</v>
      </c>
      <c r="Q336" t="str">
        <f t="shared" si="26"/>
        <v>Sumer Dar</v>
      </c>
      <c r="R336" t="str">
        <f t="shared" si="27"/>
        <v>Mumbai</v>
      </c>
      <c r="S336" t="str">
        <f t="shared" si="28"/>
        <v>Maharashtra</v>
      </c>
      <c r="T336">
        <f t="shared" si="29"/>
        <v>72000</v>
      </c>
    </row>
    <row r="337" spans="1:20" x14ac:dyDescent="0.35">
      <c r="A337" t="s">
        <v>350</v>
      </c>
      <c r="B337" t="s">
        <v>1480</v>
      </c>
      <c r="C337" t="s">
        <v>1929</v>
      </c>
      <c r="D337" t="s">
        <v>2818</v>
      </c>
      <c r="E337" t="s">
        <v>3671</v>
      </c>
      <c r="F337">
        <v>47</v>
      </c>
      <c r="G337" t="s">
        <v>3677</v>
      </c>
      <c r="H337" t="s">
        <v>3680</v>
      </c>
      <c r="I337" t="s">
        <v>3687</v>
      </c>
      <c r="J337" t="s">
        <v>3693</v>
      </c>
      <c r="K337" t="s">
        <v>3697</v>
      </c>
      <c r="L337">
        <v>5</v>
      </c>
      <c r="M337">
        <v>5000</v>
      </c>
      <c r="N337" t="s">
        <v>3704</v>
      </c>
      <c r="O337" t="s">
        <v>3706</v>
      </c>
      <c r="P337" s="2">
        <f t="shared" si="25"/>
        <v>45774</v>
      </c>
      <c r="Q337" t="str">
        <f t="shared" si="26"/>
        <v>Damini Devi</v>
      </c>
      <c r="R337" t="str">
        <f t="shared" si="27"/>
        <v>Mumbai</v>
      </c>
      <c r="S337" t="str">
        <f t="shared" si="28"/>
        <v>Maharashtra</v>
      </c>
      <c r="T337">
        <f t="shared" si="29"/>
        <v>25000</v>
      </c>
    </row>
    <row r="338" spans="1:20" x14ac:dyDescent="0.35">
      <c r="A338" t="s">
        <v>351</v>
      </c>
      <c r="B338" t="s">
        <v>1481</v>
      </c>
      <c r="C338" t="s">
        <v>2063</v>
      </c>
      <c r="D338" t="s">
        <v>2819</v>
      </c>
      <c r="E338" t="s">
        <v>3672</v>
      </c>
      <c r="F338">
        <v>42</v>
      </c>
      <c r="G338" t="s">
        <v>3679</v>
      </c>
      <c r="H338" t="s">
        <v>3684</v>
      </c>
      <c r="I338" t="s">
        <v>3690</v>
      </c>
      <c r="J338" t="s">
        <v>3693</v>
      </c>
      <c r="K338" t="s">
        <v>3700</v>
      </c>
      <c r="L338">
        <v>2</v>
      </c>
      <c r="M338">
        <v>72000</v>
      </c>
      <c r="N338" t="s">
        <v>3703</v>
      </c>
      <c r="O338" t="s">
        <v>3705</v>
      </c>
      <c r="P338" s="2">
        <f t="shared" si="25"/>
        <v>45884</v>
      </c>
      <c r="Q338" t="str">
        <f t="shared" si="26"/>
        <v>Dhruv Gopal</v>
      </c>
      <c r="R338" t="str">
        <f t="shared" si="27"/>
        <v>Bengaluru</v>
      </c>
      <c r="S338" t="str">
        <f t="shared" si="28"/>
        <v>Karnataka</v>
      </c>
      <c r="T338">
        <f t="shared" si="29"/>
        <v>144000</v>
      </c>
    </row>
    <row r="339" spans="1:20" x14ac:dyDescent="0.35">
      <c r="A339" t="s">
        <v>352</v>
      </c>
      <c r="B339" t="s">
        <v>1482</v>
      </c>
      <c r="C339" t="s">
        <v>1865</v>
      </c>
      <c r="D339" t="s">
        <v>2820</v>
      </c>
      <c r="E339" t="s">
        <v>3672</v>
      </c>
      <c r="F339">
        <v>60</v>
      </c>
      <c r="G339" t="s">
        <v>3679</v>
      </c>
      <c r="H339" t="s">
        <v>3684</v>
      </c>
      <c r="I339" t="s">
        <v>3689</v>
      </c>
      <c r="J339" t="s">
        <v>3694</v>
      </c>
      <c r="K339" t="s">
        <v>3699</v>
      </c>
      <c r="L339">
        <v>1</v>
      </c>
      <c r="M339">
        <v>1800</v>
      </c>
      <c r="N339" t="s">
        <v>3703</v>
      </c>
      <c r="O339" t="s">
        <v>3707</v>
      </c>
      <c r="P339" s="2">
        <f t="shared" si="25"/>
        <v>45745</v>
      </c>
      <c r="Q339" t="str">
        <f t="shared" si="26"/>
        <v>Aaina Garg</v>
      </c>
      <c r="R339" t="str">
        <f t="shared" si="27"/>
        <v>Bengaluru</v>
      </c>
      <c r="S339" t="str">
        <f t="shared" si="28"/>
        <v>Karnataka</v>
      </c>
      <c r="T339">
        <f t="shared" si="29"/>
        <v>1800</v>
      </c>
    </row>
    <row r="340" spans="1:20" x14ac:dyDescent="0.35">
      <c r="A340" t="s">
        <v>353</v>
      </c>
      <c r="B340" t="s">
        <v>1483</v>
      </c>
      <c r="C340" t="s">
        <v>2064</v>
      </c>
      <c r="D340" t="s">
        <v>2821</v>
      </c>
      <c r="E340" t="s">
        <v>3671</v>
      </c>
      <c r="F340">
        <v>33</v>
      </c>
      <c r="G340" t="s">
        <v>3679</v>
      </c>
      <c r="H340" t="s">
        <v>3684</v>
      </c>
      <c r="I340" t="s">
        <v>3691</v>
      </c>
      <c r="J340" t="s">
        <v>3693</v>
      </c>
      <c r="K340" t="s">
        <v>3696</v>
      </c>
      <c r="L340">
        <v>3</v>
      </c>
      <c r="M340">
        <v>58000</v>
      </c>
      <c r="N340" t="s">
        <v>3703</v>
      </c>
      <c r="O340" t="s">
        <v>3706</v>
      </c>
      <c r="P340" s="2">
        <f t="shared" si="25"/>
        <v>45692</v>
      </c>
      <c r="Q340" t="str">
        <f t="shared" si="26"/>
        <v>Bhamini Kara</v>
      </c>
      <c r="R340" t="str">
        <f t="shared" si="27"/>
        <v>Bengaluru</v>
      </c>
      <c r="S340" t="str">
        <f t="shared" si="28"/>
        <v>Karnataka</v>
      </c>
      <c r="T340">
        <f t="shared" si="29"/>
        <v>174000</v>
      </c>
    </row>
    <row r="341" spans="1:20" x14ac:dyDescent="0.35">
      <c r="A341" t="s">
        <v>354</v>
      </c>
      <c r="B341" t="s">
        <v>1464</v>
      </c>
      <c r="C341" t="s">
        <v>1963</v>
      </c>
      <c r="D341" t="s">
        <v>2822</v>
      </c>
      <c r="E341" t="s">
        <v>3672</v>
      </c>
      <c r="F341">
        <v>50</v>
      </c>
      <c r="G341" t="s">
        <v>3675</v>
      </c>
      <c r="H341" t="s">
        <v>3681</v>
      </c>
      <c r="I341" t="s">
        <v>3686</v>
      </c>
      <c r="J341" t="s">
        <v>3693</v>
      </c>
      <c r="K341" t="s">
        <v>3696</v>
      </c>
      <c r="L341">
        <v>4</v>
      </c>
      <c r="M341">
        <v>65000</v>
      </c>
      <c r="N341" t="s">
        <v>3703</v>
      </c>
      <c r="O341" t="s">
        <v>3707</v>
      </c>
      <c r="P341" s="2">
        <f t="shared" si="25"/>
        <v>45991</v>
      </c>
      <c r="Q341" t="str">
        <f t="shared" si="26"/>
        <v>Nirvaan Rattan</v>
      </c>
      <c r="R341" t="str">
        <f t="shared" si="27"/>
        <v>Kolkata</v>
      </c>
      <c r="S341" t="str">
        <f t="shared" si="28"/>
        <v>West Bengal</v>
      </c>
      <c r="T341">
        <f t="shared" si="29"/>
        <v>260000</v>
      </c>
    </row>
    <row r="342" spans="1:20" x14ac:dyDescent="0.35">
      <c r="A342" t="s">
        <v>355</v>
      </c>
      <c r="B342" t="s">
        <v>1484</v>
      </c>
      <c r="C342" t="s">
        <v>2065</v>
      </c>
      <c r="D342" t="s">
        <v>2823</v>
      </c>
      <c r="E342" t="s">
        <v>3672</v>
      </c>
      <c r="F342">
        <v>42</v>
      </c>
      <c r="G342" t="s">
        <v>3678</v>
      </c>
      <c r="H342" t="s">
        <v>3683</v>
      </c>
      <c r="I342" t="s">
        <v>3686</v>
      </c>
      <c r="J342" t="s">
        <v>3693</v>
      </c>
      <c r="K342" t="s">
        <v>3696</v>
      </c>
      <c r="L342">
        <v>4</v>
      </c>
      <c r="M342">
        <v>65000</v>
      </c>
      <c r="N342" t="s">
        <v>3704</v>
      </c>
      <c r="O342" t="s">
        <v>3706</v>
      </c>
      <c r="P342" s="2">
        <f t="shared" si="25"/>
        <v>45835</v>
      </c>
      <c r="Q342" t="str">
        <f t="shared" si="26"/>
        <v>Mahika Sama</v>
      </c>
      <c r="R342" t="str">
        <f t="shared" si="27"/>
        <v>Hyderabad</v>
      </c>
      <c r="S342" t="str">
        <f t="shared" si="28"/>
        <v>Telangana</v>
      </c>
      <c r="T342">
        <f t="shared" si="29"/>
        <v>260000</v>
      </c>
    </row>
    <row r="343" spans="1:20" x14ac:dyDescent="0.35">
      <c r="A343" t="s">
        <v>356</v>
      </c>
      <c r="B343" t="s">
        <v>1346</v>
      </c>
      <c r="C343" t="s">
        <v>2066</v>
      </c>
      <c r="D343" t="s">
        <v>2824</v>
      </c>
      <c r="E343" t="s">
        <v>3671</v>
      </c>
      <c r="F343">
        <v>54</v>
      </c>
      <c r="G343" t="s">
        <v>3677</v>
      </c>
      <c r="H343" t="s">
        <v>3680</v>
      </c>
      <c r="I343" t="s">
        <v>3689</v>
      </c>
      <c r="J343" t="s">
        <v>3694</v>
      </c>
      <c r="K343" t="s">
        <v>3699</v>
      </c>
      <c r="L343">
        <v>2</v>
      </c>
      <c r="M343">
        <v>1800</v>
      </c>
      <c r="N343" t="s">
        <v>3704</v>
      </c>
      <c r="O343" t="s">
        <v>3706</v>
      </c>
      <c r="P343" s="2">
        <f t="shared" si="25"/>
        <v>45841</v>
      </c>
      <c r="Q343" t="str">
        <f t="shared" si="26"/>
        <v>Abram Hari</v>
      </c>
      <c r="R343" t="str">
        <f t="shared" si="27"/>
        <v>Mumbai</v>
      </c>
      <c r="S343" t="str">
        <f t="shared" si="28"/>
        <v>Maharashtra</v>
      </c>
      <c r="T343">
        <f t="shared" si="29"/>
        <v>3600</v>
      </c>
    </row>
    <row r="344" spans="1:20" x14ac:dyDescent="0.35">
      <c r="A344" t="s">
        <v>357</v>
      </c>
      <c r="B344" t="s">
        <v>1329</v>
      </c>
      <c r="C344" t="s">
        <v>1884</v>
      </c>
      <c r="D344" t="s">
        <v>2825</v>
      </c>
      <c r="E344" t="s">
        <v>3672</v>
      </c>
      <c r="F344">
        <v>47</v>
      </c>
      <c r="G344" t="s">
        <v>3676</v>
      </c>
      <c r="H344" t="s">
        <v>3682</v>
      </c>
      <c r="I344" t="s">
        <v>3689</v>
      </c>
      <c r="J344" t="s">
        <v>3694</v>
      </c>
      <c r="K344" t="s">
        <v>3699</v>
      </c>
      <c r="L344">
        <v>2</v>
      </c>
      <c r="M344">
        <v>1800</v>
      </c>
      <c r="N344" t="s">
        <v>3703</v>
      </c>
      <c r="O344" t="s">
        <v>3705</v>
      </c>
      <c r="P344" s="2">
        <f t="shared" si="25"/>
        <v>46023</v>
      </c>
      <c r="Q344" t="str">
        <f t="shared" si="26"/>
        <v>Yasmin Borde</v>
      </c>
      <c r="R344" t="str">
        <f t="shared" si="27"/>
        <v>Chennai</v>
      </c>
      <c r="S344" t="str">
        <f t="shared" si="28"/>
        <v>Tamil Nadu</v>
      </c>
      <c r="T344">
        <f t="shared" si="29"/>
        <v>3600</v>
      </c>
    </row>
    <row r="345" spans="1:20" x14ac:dyDescent="0.35">
      <c r="A345" t="s">
        <v>358</v>
      </c>
      <c r="B345" t="s">
        <v>1348</v>
      </c>
      <c r="C345" t="s">
        <v>2067</v>
      </c>
      <c r="D345" t="s">
        <v>2826</v>
      </c>
      <c r="E345" t="s">
        <v>3671</v>
      </c>
      <c r="F345">
        <v>51</v>
      </c>
      <c r="G345" t="s">
        <v>3674</v>
      </c>
      <c r="H345" t="s">
        <v>3680</v>
      </c>
      <c r="I345" t="s">
        <v>3690</v>
      </c>
      <c r="J345" t="s">
        <v>3693</v>
      </c>
      <c r="K345" t="s">
        <v>3700</v>
      </c>
      <c r="L345">
        <v>1</v>
      </c>
      <c r="M345">
        <v>72000</v>
      </c>
      <c r="N345" t="s">
        <v>3701</v>
      </c>
      <c r="O345" t="s">
        <v>3706</v>
      </c>
      <c r="P345" s="2">
        <f t="shared" si="25"/>
        <v>46025</v>
      </c>
      <c r="Q345" t="str">
        <f t="shared" si="26"/>
        <v>Jivika Tank</v>
      </c>
      <c r="R345" t="str">
        <f t="shared" si="27"/>
        <v>Pune</v>
      </c>
      <c r="S345" t="str">
        <f t="shared" si="28"/>
        <v>Maharashtra</v>
      </c>
      <c r="T345">
        <f t="shared" si="29"/>
        <v>72000</v>
      </c>
    </row>
    <row r="346" spans="1:20" x14ac:dyDescent="0.35">
      <c r="A346" t="s">
        <v>359</v>
      </c>
      <c r="B346" t="s">
        <v>1400</v>
      </c>
      <c r="C346" t="s">
        <v>2068</v>
      </c>
      <c r="D346" t="s">
        <v>2827</v>
      </c>
      <c r="E346" t="s">
        <v>3672</v>
      </c>
      <c r="F346">
        <v>38</v>
      </c>
      <c r="G346" t="s">
        <v>3673</v>
      </c>
      <c r="H346" t="s">
        <v>3673</v>
      </c>
      <c r="I346" t="s">
        <v>3689</v>
      </c>
      <c r="J346" t="s">
        <v>3694</v>
      </c>
      <c r="K346" t="s">
        <v>3699</v>
      </c>
      <c r="L346">
        <v>1</v>
      </c>
      <c r="M346">
        <v>1800</v>
      </c>
      <c r="N346" t="s">
        <v>3701</v>
      </c>
      <c r="O346" t="s">
        <v>3707</v>
      </c>
      <c r="P346" s="2">
        <f t="shared" si="25"/>
        <v>45730</v>
      </c>
      <c r="Q346" t="str">
        <f t="shared" si="26"/>
        <v>Sana Devi</v>
      </c>
      <c r="R346" t="str">
        <f t="shared" si="27"/>
        <v>Delhi</v>
      </c>
      <c r="S346" t="str">
        <f t="shared" si="28"/>
        <v>Delhi</v>
      </c>
      <c r="T346">
        <f t="shared" si="29"/>
        <v>1800</v>
      </c>
    </row>
    <row r="347" spans="1:20" x14ac:dyDescent="0.35">
      <c r="A347" t="s">
        <v>360</v>
      </c>
      <c r="B347" t="s">
        <v>1485</v>
      </c>
      <c r="C347" t="s">
        <v>2069</v>
      </c>
      <c r="D347" t="s">
        <v>2828</v>
      </c>
      <c r="E347" t="s">
        <v>3672</v>
      </c>
      <c r="F347">
        <v>53</v>
      </c>
      <c r="G347" t="s">
        <v>3673</v>
      </c>
      <c r="H347" t="s">
        <v>3673</v>
      </c>
      <c r="I347" t="s">
        <v>3690</v>
      </c>
      <c r="J347" t="s">
        <v>3693</v>
      </c>
      <c r="K347" t="s">
        <v>3700</v>
      </c>
      <c r="L347">
        <v>5</v>
      </c>
      <c r="M347">
        <v>72000</v>
      </c>
      <c r="N347" t="s">
        <v>3704</v>
      </c>
      <c r="O347" t="s">
        <v>3705</v>
      </c>
      <c r="P347" s="2">
        <f t="shared" si="25"/>
        <v>46015</v>
      </c>
      <c r="Q347" t="str">
        <f t="shared" si="26"/>
        <v>Zara Kala</v>
      </c>
      <c r="R347" t="str">
        <f t="shared" si="27"/>
        <v>Delhi</v>
      </c>
      <c r="S347" t="str">
        <f t="shared" si="28"/>
        <v>Delhi</v>
      </c>
      <c r="T347">
        <f t="shared" si="29"/>
        <v>360000</v>
      </c>
    </row>
    <row r="348" spans="1:20" x14ac:dyDescent="0.35">
      <c r="A348" t="s">
        <v>361</v>
      </c>
      <c r="B348" t="s">
        <v>1486</v>
      </c>
      <c r="C348" t="s">
        <v>2070</v>
      </c>
      <c r="D348" t="s">
        <v>2829</v>
      </c>
      <c r="E348" t="s">
        <v>3671</v>
      </c>
      <c r="F348">
        <v>30</v>
      </c>
      <c r="G348" t="s">
        <v>3674</v>
      </c>
      <c r="H348" t="s">
        <v>3680</v>
      </c>
      <c r="I348" t="s">
        <v>3689</v>
      </c>
      <c r="J348" t="s">
        <v>3694</v>
      </c>
      <c r="K348" t="s">
        <v>3699</v>
      </c>
      <c r="L348">
        <v>2</v>
      </c>
      <c r="M348">
        <v>1800</v>
      </c>
      <c r="N348" t="s">
        <v>3702</v>
      </c>
      <c r="O348" t="s">
        <v>3705</v>
      </c>
      <c r="P348" s="2">
        <f t="shared" si="25"/>
        <v>45906</v>
      </c>
      <c r="Q348" t="str">
        <f t="shared" si="26"/>
        <v>Tiya Master</v>
      </c>
      <c r="R348" t="str">
        <f t="shared" si="27"/>
        <v>Pune</v>
      </c>
      <c r="S348" t="str">
        <f t="shared" si="28"/>
        <v>Maharashtra</v>
      </c>
      <c r="T348">
        <f t="shared" si="29"/>
        <v>3600</v>
      </c>
    </row>
    <row r="349" spans="1:20" x14ac:dyDescent="0.35">
      <c r="A349" t="s">
        <v>362</v>
      </c>
      <c r="B349" t="s">
        <v>1487</v>
      </c>
      <c r="C349" t="s">
        <v>2071</v>
      </c>
      <c r="D349" t="s">
        <v>2830</v>
      </c>
      <c r="E349" t="s">
        <v>3671</v>
      </c>
      <c r="F349">
        <v>28</v>
      </c>
      <c r="G349" t="s">
        <v>3675</v>
      </c>
      <c r="H349" t="s">
        <v>3681</v>
      </c>
      <c r="I349" t="s">
        <v>3688</v>
      </c>
      <c r="J349" t="s">
        <v>3694</v>
      </c>
      <c r="K349" t="s">
        <v>3698</v>
      </c>
      <c r="L349">
        <v>4</v>
      </c>
      <c r="M349">
        <v>4500</v>
      </c>
      <c r="N349" t="s">
        <v>3701</v>
      </c>
      <c r="O349" t="s">
        <v>3705</v>
      </c>
      <c r="P349" s="2">
        <f t="shared" si="25"/>
        <v>45821</v>
      </c>
      <c r="Q349" t="str">
        <f t="shared" si="26"/>
        <v>Manjari Bhandari</v>
      </c>
      <c r="R349" t="str">
        <f t="shared" si="27"/>
        <v>Kolkata</v>
      </c>
      <c r="S349" t="str">
        <f t="shared" si="28"/>
        <v>West Bengal</v>
      </c>
      <c r="T349">
        <f t="shared" si="29"/>
        <v>18000</v>
      </c>
    </row>
    <row r="350" spans="1:20" x14ac:dyDescent="0.35">
      <c r="A350" t="s">
        <v>363</v>
      </c>
      <c r="B350" t="s">
        <v>1335</v>
      </c>
      <c r="C350" t="s">
        <v>2072</v>
      </c>
      <c r="D350" t="s">
        <v>2831</v>
      </c>
      <c r="E350" t="s">
        <v>3672</v>
      </c>
      <c r="F350">
        <v>55</v>
      </c>
      <c r="G350" t="s">
        <v>3676</v>
      </c>
      <c r="H350" t="s">
        <v>3682</v>
      </c>
      <c r="I350" t="s">
        <v>3691</v>
      </c>
      <c r="J350" t="s">
        <v>3693</v>
      </c>
      <c r="K350" t="s">
        <v>3696</v>
      </c>
      <c r="L350">
        <v>2</v>
      </c>
      <c r="M350">
        <v>58000</v>
      </c>
      <c r="N350" t="s">
        <v>3701</v>
      </c>
      <c r="O350" t="s">
        <v>3707</v>
      </c>
      <c r="P350" s="2">
        <f t="shared" si="25"/>
        <v>45870</v>
      </c>
      <c r="Q350" t="str">
        <f t="shared" si="26"/>
        <v>Neysa Sule</v>
      </c>
      <c r="R350" t="str">
        <f t="shared" si="27"/>
        <v>Chennai</v>
      </c>
      <c r="S350" t="str">
        <f t="shared" si="28"/>
        <v>Tamil Nadu</v>
      </c>
      <c r="T350">
        <f t="shared" si="29"/>
        <v>116000</v>
      </c>
    </row>
    <row r="351" spans="1:20" x14ac:dyDescent="0.35">
      <c r="A351" t="s">
        <v>364</v>
      </c>
      <c r="B351" t="s">
        <v>1488</v>
      </c>
      <c r="C351" t="s">
        <v>2073</v>
      </c>
      <c r="D351" t="s">
        <v>2832</v>
      </c>
      <c r="E351" t="s">
        <v>3672</v>
      </c>
      <c r="F351">
        <v>48</v>
      </c>
      <c r="G351" t="s">
        <v>3674</v>
      </c>
      <c r="H351" t="s">
        <v>3680</v>
      </c>
      <c r="I351" t="s">
        <v>3685</v>
      </c>
      <c r="J351" t="s">
        <v>3692</v>
      </c>
      <c r="K351" t="s">
        <v>3695</v>
      </c>
      <c r="L351">
        <v>2</v>
      </c>
      <c r="M351">
        <v>12000</v>
      </c>
      <c r="N351" t="s">
        <v>3702</v>
      </c>
      <c r="O351" t="s">
        <v>3706</v>
      </c>
      <c r="P351" s="2">
        <f t="shared" si="25"/>
        <v>45893</v>
      </c>
      <c r="Q351" t="str">
        <f t="shared" si="26"/>
        <v>Taran Chokshi</v>
      </c>
      <c r="R351" t="str">
        <f t="shared" si="27"/>
        <v>Pune</v>
      </c>
      <c r="S351" t="str">
        <f t="shared" si="28"/>
        <v>Maharashtra</v>
      </c>
      <c r="T351">
        <f t="shared" si="29"/>
        <v>24000</v>
      </c>
    </row>
    <row r="352" spans="1:20" x14ac:dyDescent="0.35">
      <c r="A352" t="s">
        <v>365</v>
      </c>
      <c r="B352" t="s">
        <v>1489</v>
      </c>
      <c r="C352" t="s">
        <v>1812</v>
      </c>
      <c r="D352" t="s">
        <v>2833</v>
      </c>
      <c r="E352" t="s">
        <v>3671</v>
      </c>
      <c r="F352">
        <v>57</v>
      </c>
      <c r="G352" t="s">
        <v>3675</v>
      </c>
      <c r="H352" t="s">
        <v>3681</v>
      </c>
      <c r="I352" t="s">
        <v>3688</v>
      </c>
      <c r="J352" t="s">
        <v>3694</v>
      </c>
      <c r="K352" t="s">
        <v>3698</v>
      </c>
      <c r="L352">
        <v>1</v>
      </c>
      <c r="M352">
        <v>4500</v>
      </c>
      <c r="N352" t="s">
        <v>3703</v>
      </c>
      <c r="O352" t="s">
        <v>3706</v>
      </c>
      <c r="P352" s="2">
        <f t="shared" si="25"/>
        <v>45815</v>
      </c>
      <c r="Q352" t="str">
        <f t="shared" si="26"/>
        <v>Ishita Soni</v>
      </c>
      <c r="R352" t="str">
        <f t="shared" si="27"/>
        <v>Kolkata</v>
      </c>
      <c r="S352" t="str">
        <f t="shared" si="28"/>
        <v>West Bengal</v>
      </c>
      <c r="T352">
        <f t="shared" si="29"/>
        <v>4500</v>
      </c>
    </row>
    <row r="353" spans="1:20" x14ac:dyDescent="0.35">
      <c r="A353" t="s">
        <v>366</v>
      </c>
      <c r="B353" t="s">
        <v>1297</v>
      </c>
      <c r="C353" t="s">
        <v>2074</v>
      </c>
      <c r="D353" t="s">
        <v>2834</v>
      </c>
      <c r="E353" t="s">
        <v>3672</v>
      </c>
      <c r="F353">
        <v>37</v>
      </c>
      <c r="G353" t="s">
        <v>3675</v>
      </c>
      <c r="H353" t="s">
        <v>3681</v>
      </c>
      <c r="I353" t="s">
        <v>3689</v>
      </c>
      <c r="J353" t="s">
        <v>3694</v>
      </c>
      <c r="K353" t="s">
        <v>3699</v>
      </c>
      <c r="L353">
        <v>4</v>
      </c>
      <c r="M353">
        <v>1800</v>
      </c>
      <c r="N353" t="s">
        <v>3703</v>
      </c>
      <c r="O353" t="s">
        <v>3707</v>
      </c>
      <c r="P353" s="2">
        <f t="shared" si="25"/>
        <v>45871</v>
      </c>
      <c r="Q353" t="str">
        <f t="shared" si="26"/>
        <v>Kimaya Mani</v>
      </c>
      <c r="R353" t="str">
        <f t="shared" si="27"/>
        <v>Kolkata</v>
      </c>
      <c r="S353" t="str">
        <f t="shared" si="28"/>
        <v>West Bengal</v>
      </c>
      <c r="T353">
        <f t="shared" si="29"/>
        <v>7200</v>
      </c>
    </row>
    <row r="354" spans="1:20" x14ac:dyDescent="0.35">
      <c r="A354" t="s">
        <v>367</v>
      </c>
      <c r="B354" t="s">
        <v>1490</v>
      </c>
      <c r="C354" t="s">
        <v>2075</v>
      </c>
      <c r="D354" t="s">
        <v>2835</v>
      </c>
      <c r="E354" t="s">
        <v>3671</v>
      </c>
      <c r="F354">
        <v>52</v>
      </c>
      <c r="G354" t="s">
        <v>3674</v>
      </c>
      <c r="H354" t="s">
        <v>3680</v>
      </c>
      <c r="I354" t="s">
        <v>3686</v>
      </c>
      <c r="J354" t="s">
        <v>3693</v>
      </c>
      <c r="K354" t="s">
        <v>3696</v>
      </c>
      <c r="L354">
        <v>2</v>
      </c>
      <c r="M354">
        <v>65000</v>
      </c>
      <c r="N354" t="s">
        <v>3701</v>
      </c>
      <c r="O354" t="s">
        <v>3707</v>
      </c>
      <c r="P354" s="2">
        <f t="shared" si="25"/>
        <v>45702</v>
      </c>
      <c r="Q354" t="str">
        <f t="shared" si="26"/>
        <v>Divit Handa</v>
      </c>
      <c r="R354" t="str">
        <f t="shared" si="27"/>
        <v>Pune</v>
      </c>
      <c r="S354" t="str">
        <f t="shared" si="28"/>
        <v>Maharashtra</v>
      </c>
      <c r="T354">
        <f t="shared" si="29"/>
        <v>130000</v>
      </c>
    </row>
    <row r="355" spans="1:20" x14ac:dyDescent="0.35">
      <c r="A355" t="s">
        <v>368</v>
      </c>
      <c r="B355" t="s">
        <v>1491</v>
      </c>
      <c r="C355" t="s">
        <v>2076</v>
      </c>
      <c r="D355" t="s">
        <v>2836</v>
      </c>
      <c r="E355" t="s">
        <v>3671</v>
      </c>
      <c r="F355">
        <v>53</v>
      </c>
      <c r="G355" t="s">
        <v>3674</v>
      </c>
      <c r="H355" t="s">
        <v>3680</v>
      </c>
      <c r="I355" t="s">
        <v>3686</v>
      </c>
      <c r="J355" t="s">
        <v>3693</v>
      </c>
      <c r="K355" t="s">
        <v>3696</v>
      </c>
      <c r="L355">
        <v>3</v>
      </c>
      <c r="M355">
        <v>65000</v>
      </c>
      <c r="N355" t="s">
        <v>3702</v>
      </c>
      <c r="O355" t="s">
        <v>3707</v>
      </c>
      <c r="P355" s="2">
        <f t="shared" si="25"/>
        <v>45794</v>
      </c>
      <c r="Q355" t="str">
        <f t="shared" si="26"/>
        <v>Kaira Rau</v>
      </c>
      <c r="R355" t="str">
        <f t="shared" si="27"/>
        <v>Pune</v>
      </c>
      <c r="S355" t="str">
        <f t="shared" si="28"/>
        <v>Maharashtra</v>
      </c>
      <c r="T355">
        <f t="shared" si="29"/>
        <v>195000</v>
      </c>
    </row>
    <row r="356" spans="1:20" x14ac:dyDescent="0.35">
      <c r="A356" t="s">
        <v>369</v>
      </c>
      <c r="B356" t="s">
        <v>1217</v>
      </c>
      <c r="C356" t="s">
        <v>2077</v>
      </c>
      <c r="D356" t="s">
        <v>2837</v>
      </c>
      <c r="E356" t="s">
        <v>3672</v>
      </c>
      <c r="F356">
        <v>52</v>
      </c>
      <c r="G356" t="s">
        <v>3675</v>
      </c>
      <c r="H356" t="s">
        <v>3681</v>
      </c>
      <c r="I356" t="s">
        <v>3691</v>
      </c>
      <c r="J356" t="s">
        <v>3693</v>
      </c>
      <c r="K356" t="s">
        <v>3696</v>
      </c>
      <c r="L356">
        <v>4</v>
      </c>
      <c r="M356">
        <v>58000</v>
      </c>
      <c r="N356" t="s">
        <v>3701</v>
      </c>
      <c r="O356" t="s">
        <v>3705</v>
      </c>
      <c r="P356" s="2">
        <f t="shared" si="25"/>
        <v>45879</v>
      </c>
      <c r="Q356" t="str">
        <f t="shared" si="26"/>
        <v>Pranay Mammen</v>
      </c>
      <c r="R356" t="str">
        <f t="shared" si="27"/>
        <v>Kolkata</v>
      </c>
      <c r="S356" t="str">
        <f t="shared" si="28"/>
        <v>West Bengal</v>
      </c>
      <c r="T356">
        <f t="shared" si="29"/>
        <v>232000</v>
      </c>
    </row>
    <row r="357" spans="1:20" x14ac:dyDescent="0.35">
      <c r="A357" t="s">
        <v>370</v>
      </c>
      <c r="B357" t="s">
        <v>1353</v>
      </c>
      <c r="C357" t="s">
        <v>1875</v>
      </c>
      <c r="D357" t="s">
        <v>2838</v>
      </c>
      <c r="E357" t="s">
        <v>3672</v>
      </c>
      <c r="F357">
        <v>41</v>
      </c>
      <c r="G357" t="s">
        <v>3673</v>
      </c>
      <c r="H357" t="s">
        <v>3673</v>
      </c>
      <c r="I357" t="s">
        <v>3688</v>
      </c>
      <c r="J357" t="s">
        <v>3694</v>
      </c>
      <c r="K357" t="s">
        <v>3698</v>
      </c>
      <c r="L357">
        <v>3</v>
      </c>
      <c r="M357">
        <v>4500</v>
      </c>
      <c r="N357" t="s">
        <v>3704</v>
      </c>
      <c r="O357" t="s">
        <v>3705</v>
      </c>
      <c r="P357" s="2">
        <f t="shared" si="25"/>
        <v>45773</v>
      </c>
      <c r="Q357" t="str">
        <f t="shared" si="26"/>
        <v>Devansh Chawla</v>
      </c>
      <c r="R357" t="str">
        <f t="shared" si="27"/>
        <v>Delhi</v>
      </c>
      <c r="S357" t="str">
        <f t="shared" si="28"/>
        <v>Delhi</v>
      </c>
      <c r="T357">
        <f t="shared" si="29"/>
        <v>13500</v>
      </c>
    </row>
    <row r="358" spans="1:20" x14ac:dyDescent="0.35">
      <c r="A358" t="s">
        <v>371</v>
      </c>
      <c r="B358" t="s">
        <v>1365</v>
      </c>
      <c r="C358" t="s">
        <v>2078</v>
      </c>
      <c r="D358" t="s">
        <v>2839</v>
      </c>
      <c r="E358" t="s">
        <v>3671</v>
      </c>
      <c r="F358">
        <v>44</v>
      </c>
      <c r="G358" t="s">
        <v>3676</v>
      </c>
      <c r="H358" t="s">
        <v>3682</v>
      </c>
      <c r="I358" t="s">
        <v>3687</v>
      </c>
      <c r="J358" t="s">
        <v>3693</v>
      </c>
      <c r="K358" t="s">
        <v>3697</v>
      </c>
      <c r="L358">
        <v>3</v>
      </c>
      <c r="M358">
        <v>5000</v>
      </c>
      <c r="N358" t="s">
        <v>3703</v>
      </c>
      <c r="O358" t="s">
        <v>3706</v>
      </c>
      <c r="P358" s="2">
        <f t="shared" si="25"/>
        <v>45981</v>
      </c>
      <c r="Q358" t="str">
        <f t="shared" si="26"/>
        <v>Krish Bhattacharyya</v>
      </c>
      <c r="R358" t="str">
        <f t="shared" si="27"/>
        <v>Chennai</v>
      </c>
      <c r="S358" t="str">
        <f t="shared" si="28"/>
        <v>Tamil Nadu</v>
      </c>
      <c r="T358">
        <f t="shared" si="29"/>
        <v>15000</v>
      </c>
    </row>
    <row r="359" spans="1:20" x14ac:dyDescent="0.35">
      <c r="A359" t="s">
        <v>372</v>
      </c>
      <c r="B359" t="s">
        <v>1492</v>
      </c>
      <c r="C359" t="s">
        <v>2046</v>
      </c>
      <c r="D359" t="s">
        <v>2840</v>
      </c>
      <c r="E359" t="s">
        <v>3671</v>
      </c>
      <c r="F359">
        <v>28</v>
      </c>
      <c r="G359" t="s">
        <v>3673</v>
      </c>
      <c r="H359" t="s">
        <v>3673</v>
      </c>
      <c r="I359" t="s">
        <v>3688</v>
      </c>
      <c r="J359" t="s">
        <v>3694</v>
      </c>
      <c r="K359" t="s">
        <v>3698</v>
      </c>
      <c r="L359">
        <v>1</v>
      </c>
      <c r="M359">
        <v>4500</v>
      </c>
      <c r="N359" t="s">
        <v>3702</v>
      </c>
      <c r="O359" t="s">
        <v>3705</v>
      </c>
      <c r="P359" s="2">
        <f t="shared" si="25"/>
        <v>45720</v>
      </c>
      <c r="Q359" t="str">
        <f t="shared" si="26"/>
        <v>Nakul Aggarwal</v>
      </c>
      <c r="R359" t="str">
        <f t="shared" si="27"/>
        <v>Delhi</v>
      </c>
      <c r="S359" t="str">
        <f t="shared" si="28"/>
        <v>Delhi</v>
      </c>
      <c r="T359">
        <f t="shared" si="29"/>
        <v>4500</v>
      </c>
    </row>
    <row r="360" spans="1:20" x14ac:dyDescent="0.35">
      <c r="A360" t="s">
        <v>373</v>
      </c>
      <c r="B360" t="s">
        <v>1493</v>
      </c>
      <c r="C360" t="s">
        <v>2079</v>
      </c>
      <c r="D360" t="s">
        <v>2841</v>
      </c>
      <c r="E360" t="s">
        <v>3672</v>
      </c>
      <c r="F360">
        <v>46</v>
      </c>
      <c r="G360" t="s">
        <v>3679</v>
      </c>
      <c r="H360" t="s">
        <v>3684</v>
      </c>
      <c r="I360" t="s">
        <v>3688</v>
      </c>
      <c r="J360" t="s">
        <v>3694</v>
      </c>
      <c r="K360" t="s">
        <v>3698</v>
      </c>
      <c r="L360">
        <v>3</v>
      </c>
      <c r="M360">
        <v>4500</v>
      </c>
      <c r="N360" t="s">
        <v>3702</v>
      </c>
      <c r="O360" t="s">
        <v>3707</v>
      </c>
      <c r="P360" s="2">
        <f t="shared" si="25"/>
        <v>45663</v>
      </c>
      <c r="Q360" t="str">
        <f t="shared" si="26"/>
        <v>Jivin Bhagat</v>
      </c>
      <c r="R360" t="str">
        <f t="shared" si="27"/>
        <v>Bengaluru</v>
      </c>
      <c r="S360" t="str">
        <f t="shared" si="28"/>
        <v>Karnataka</v>
      </c>
      <c r="T360">
        <f t="shared" si="29"/>
        <v>13500</v>
      </c>
    </row>
    <row r="361" spans="1:20" x14ac:dyDescent="0.35">
      <c r="A361" t="s">
        <v>374</v>
      </c>
      <c r="B361" t="s">
        <v>1494</v>
      </c>
      <c r="C361" t="s">
        <v>2080</v>
      </c>
      <c r="D361" t="s">
        <v>2842</v>
      </c>
      <c r="E361" t="s">
        <v>3672</v>
      </c>
      <c r="F361">
        <v>60</v>
      </c>
      <c r="G361" t="s">
        <v>3674</v>
      </c>
      <c r="H361" t="s">
        <v>3680</v>
      </c>
      <c r="I361" t="s">
        <v>3690</v>
      </c>
      <c r="J361" t="s">
        <v>3693</v>
      </c>
      <c r="K361" t="s">
        <v>3700</v>
      </c>
      <c r="L361">
        <v>2</v>
      </c>
      <c r="M361">
        <v>72000</v>
      </c>
      <c r="N361" t="s">
        <v>3701</v>
      </c>
      <c r="O361" t="s">
        <v>3706</v>
      </c>
      <c r="P361" s="2">
        <f t="shared" si="25"/>
        <v>45698</v>
      </c>
      <c r="Q361" t="str">
        <f t="shared" si="26"/>
        <v>Himmat Mani</v>
      </c>
      <c r="R361" t="str">
        <f t="shared" si="27"/>
        <v>Pune</v>
      </c>
      <c r="S361" t="str">
        <f t="shared" si="28"/>
        <v>Maharashtra</v>
      </c>
      <c r="T361">
        <f t="shared" si="29"/>
        <v>144000</v>
      </c>
    </row>
    <row r="362" spans="1:20" x14ac:dyDescent="0.35">
      <c r="A362" t="s">
        <v>375</v>
      </c>
      <c r="B362" t="s">
        <v>1438</v>
      </c>
      <c r="C362" t="s">
        <v>2081</v>
      </c>
      <c r="D362" t="s">
        <v>2843</v>
      </c>
      <c r="E362" t="s">
        <v>3671</v>
      </c>
      <c r="F362">
        <v>32</v>
      </c>
      <c r="G362" t="s">
        <v>3679</v>
      </c>
      <c r="H362" t="s">
        <v>3684</v>
      </c>
      <c r="I362" t="s">
        <v>3685</v>
      </c>
      <c r="J362" t="s">
        <v>3692</v>
      </c>
      <c r="K362" t="s">
        <v>3695</v>
      </c>
      <c r="L362">
        <v>1</v>
      </c>
      <c r="M362">
        <v>12000</v>
      </c>
      <c r="N362" t="s">
        <v>3701</v>
      </c>
      <c r="O362" t="s">
        <v>3705</v>
      </c>
      <c r="P362" s="2">
        <f t="shared" si="25"/>
        <v>45894</v>
      </c>
      <c r="Q362" t="str">
        <f t="shared" si="26"/>
        <v>Chirag Sharaf</v>
      </c>
      <c r="R362" t="str">
        <f t="shared" si="27"/>
        <v>Bengaluru</v>
      </c>
      <c r="S362" t="str">
        <f t="shared" si="28"/>
        <v>Karnataka</v>
      </c>
      <c r="T362">
        <f t="shared" si="29"/>
        <v>12000</v>
      </c>
    </row>
    <row r="363" spans="1:20" x14ac:dyDescent="0.35">
      <c r="A363" t="s">
        <v>376</v>
      </c>
      <c r="B363" t="s">
        <v>1495</v>
      </c>
      <c r="C363" t="s">
        <v>2082</v>
      </c>
      <c r="D363" t="s">
        <v>2844</v>
      </c>
      <c r="E363" t="s">
        <v>3671</v>
      </c>
      <c r="F363">
        <v>55</v>
      </c>
      <c r="G363" t="s">
        <v>3677</v>
      </c>
      <c r="H363" t="s">
        <v>3680</v>
      </c>
      <c r="I363" t="s">
        <v>3689</v>
      </c>
      <c r="J363" t="s">
        <v>3694</v>
      </c>
      <c r="K363" t="s">
        <v>3699</v>
      </c>
      <c r="L363">
        <v>3</v>
      </c>
      <c r="M363">
        <v>1800</v>
      </c>
      <c r="N363" t="s">
        <v>3704</v>
      </c>
      <c r="O363" t="s">
        <v>3707</v>
      </c>
      <c r="P363" s="2">
        <f t="shared" si="25"/>
        <v>45694</v>
      </c>
      <c r="Q363" t="str">
        <f t="shared" si="26"/>
        <v>Zoya Korpal</v>
      </c>
      <c r="R363" t="str">
        <f t="shared" si="27"/>
        <v>Mumbai</v>
      </c>
      <c r="S363" t="str">
        <f t="shared" si="28"/>
        <v>Maharashtra</v>
      </c>
      <c r="T363">
        <f t="shared" si="29"/>
        <v>5400</v>
      </c>
    </row>
    <row r="364" spans="1:20" x14ac:dyDescent="0.35">
      <c r="A364" t="s">
        <v>377</v>
      </c>
      <c r="B364" t="s">
        <v>1496</v>
      </c>
      <c r="C364" t="s">
        <v>2083</v>
      </c>
      <c r="D364" t="s">
        <v>2845</v>
      </c>
      <c r="E364" t="s">
        <v>3671</v>
      </c>
      <c r="F364">
        <v>60</v>
      </c>
      <c r="G364" t="s">
        <v>3679</v>
      </c>
      <c r="H364" t="s">
        <v>3684</v>
      </c>
      <c r="I364" t="s">
        <v>3688</v>
      </c>
      <c r="J364" t="s">
        <v>3694</v>
      </c>
      <c r="K364" t="s">
        <v>3698</v>
      </c>
      <c r="L364">
        <v>4</v>
      </c>
      <c r="M364">
        <v>4500</v>
      </c>
      <c r="N364" t="s">
        <v>3704</v>
      </c>
      <c r="O364" t="s">
        <v>3706</v>
      </c>
      <c r="P364" s="2">
        <f t="shared" si="25"/>
        <v>45892</v>
      </c>
      <c r="Q364" t="str">
        <f t="shared" si="26"/>
        <v>Darshit Walia</v>
      </c>
      <c r="R364" t="str">
        <f t="shared" si="27"/>
        <v>Bengaluru</v>
      </c>
      <c r="S364" t="str">
        <f t="shared" si="28"/>
        <v>Karnataka</v>
      </c>
      <c r="T364">
        <f t="shared" si="29"/>
        <v>18000</v>
      </c>
    </row>
    <row r="365" spans="1:20" x14ac:dyDescent="0.35">
      <c r="A365" t="s">
        <v>378</v>
      </c>
      <c r="B365" t="s">
        <v>1292</v>
      </c>
      <c r="C365" t="s">
        <v>1881</v>
      </c>
      <c r="D365" t="s">
        <v>2513</v>
      </c>
      <c r="E365" t="s">
        <v>3671</v>
      </c>
      <c r="F365">
        <v>30</v>
      </c>
      <c r="G365" t="s">
        <v>3678</v>
      </c>
      <c r="H365" t="s">
        <v>3683</v>
      </c>
      <c r="I365" t="s">
        <v>3688</v>
      </c>
      <c r="J365" t="s">
        <v>3694</v>
      </c>
      <c r="K365" t="s">
        <v>3698</v>
      </c>
      <c r="L365">
        <v>1</v>
      </c>
      <c r="M365">
        <v>4500</v>
      </c>
      <c r="N365" t="s">
        <v>3702</v>
      </c>
      <c r="O365" t="s">
        <v>3707</v>
      </c>
      <c r="P365" s="2">
        <f t="shared" si="25"/>
        <v>45750</v>
      </c>
      <c r="Q365" t="str">
        <f t="shared" si="26"/>
        <v>Kartik Bala</v>
      </c>
      <c r="R365" t="str">
        <f t="shared" si="27"/>
        <v>Hyderabad</v>
      </c>
      <c r="S365" t="str">
        <f t="shared" si="28"/>
        <v>Telangana</v>
      </c>
      <c r="T365">
        <f t="shared" si="29"/>
        <v>4500</v>
      </c>
    </row>
    <row r="366" spans="1:20" x14ac:dyDescent="0.35">
      <c r="A366" t="s">
        <v>379</v>
      </c>
      <c r="B366" t="s">
        <v>1302</v>
      </c>
      <c r="C366" t="s">
        <v>2084</v>
      </c>
      <c r="D366" t="s">
        <v>2846</v>
      </c>
      <c r="E366" t="s">
        <v>3671</v>
      </c>
      <c r="F366">
        <v>24</v>
      </c>
      <c r="G366" t="s">
        <v>3673</v>
      </c>
      <c r="H366" t="s">
        <v>3673</v>
      </c>
      <c r="I366" t="s">
        <v>3687</v>
      </c>
      <c r="J366" t="s">
        <v>3693</v>
      </c>
      <c r="K366" t="s">
        <v>3697</v>
      </c>
      <c r="L366">
        <v>3</v>
      </c>
      <c r="M366">
        <v>5000</v>
      </c>
      <c r="N366" t="s">
        <v>3702</v>
      </c>
      <c r="O366" t="s">
        <v>3706</v>
      </c>
      <c r="P366" s="2">
        <f t="shared" si="25"/>
        <v>45867</v>
      </c>
      <c r="Q366" t="str">
        <f t="shared" si="26"/>
        <v>Indrans Singhal</v>
      </c>
      <c r="R366" t="str">
        <f t="shared" si="27"/>
        <v>Delhi</v>
      </c>
      <c r="S366" t="str">
        <f t="shared" si="28"/>
        <v>Delhi</v>
      </c>
      <c r="T366">
        <f t="shared" si="29"/>
        <v>15000</v>
      </c>
    </row>
    <row r="367" spans="1:20" x14ac:dyDescent="0.35">
      <c r="A367" t="s">
        <v>380</v>
      </c>
      <c r="B367" t="s">
        <v>1497</v>
      </c>
      <c r="C367" t="s">
        <v>2085</v>
      </c>
      <c r="D367" t="s">
        <v>2847</v>
      </c>
      <c r="E367" t="s">
        <v>3671</v>
      </c>
      <c r="F367">
        <v>30</v>
      </c>
      <c r="G367" t="s">
        <v>3673</v>
      </c>
      <c r="H367" t="s">
        <v>3673</v>
      </c>
      <c r="I367" t="s">
        <v>3689</v>
      </c>
      <c r="J367" t="s">
        <v>3694</v>
      </c>
      <c r="K367" t="s">
        <v>3699</v>
      </c>
      <c r="L367">
        <v>5</v>
      </c>
      <c r="M367">
        <v>1800</v>
      </c>
      <c r="N367" t="s">
        <v>3702</v>
      </c>
      <c r="O367" t="s">
        <v>3706</v>
      </c>
      <c r="P367" s="2">
        <f t="shared" si="25"/>
        <v>45694</v>
      </c>
      <c r="Q367" t="str">
        <f t="shared" si="26"/>
        <v>Arnav Vora</v>
      </c>
      <c r="R367" t="str">
        <f t="shared" si="27"/>
        <v>Delhi</v>
      </c>
      <c r="S367" t="str">
        <f t="shared" si="28"/>
        <v>Delhi</v>
      </c>
      <c r="T367">
        <f t="shared" si="29"/>
        <v>9000</v>
      </c>
    </row>
    <row r="368" spans="1:20" x14ac:dyDescent="0.35">
      <c r="A368" t="s">
        <v>381</v>
      </c>
      <c r="B368" t="s">
        <v>1419</v>
      </c>
      <c r="C368" t="s">
        <v>2086</v>
      </c>
      <c r="D368" t="s">
        <v>2848</v>
      </c>
      <c r="E368" t="s">
        <v>3672</v>
      </c>
      <c r="F368">
        <v>30</v>
      </c>
      <c r="G368" t="s">
        <v>3678</v>
      </c>
      <c r="H368" t="s">
        <v>3683</v>
      </c>
      <c r="I368" t="s">
        <v>3685</v>
      </c>
      <c r="J368" t="s">
        <v>3692</v>
      </c>
      <c r="K368" t="s">
        <v>3695</v>
      </c>
      <c r="L368">
        <v>5</v>
      </c>
      <c r="M368">
        <v>12000</v>
      </c>
      <c r="N368" t="s">
        <v>3702</v>
      </c>
      <c r="O368" t="s">
        <v>3705</v>
      </c>
      <c r="P368" s="2">
        <f t="shared" si="25"/>
        <v>45874</v>
      </c>
      <c r="Q368" t="str">
        <f t="shared" si="26"/>
        <v>Yuvraj Bumb</v>
      </c>
      <c r="R368" t="str">
        <f t="shared" si="27"/>
        <v>Hyderabad</v>
      </c>
      <c r="S368" t="str">
        <f t="shared" si="28"/>
        <v>Telangana</v>
      </c>
      <c r="T368">
        <f t="shared" si="29"/>
        <v>60000</v>
      </c>
    </row>
    <row r="369" spans="1:20" x14ac:dyDescent="0.35">
      <c r="A369" t="s">
        <v>382</v>
      </c>
      <c r="B369" t="s">
        <v>1498</v>
      </c>
      <c r="C369" t="s">
        <v>2087</v>
      </c>
      <c r="D369" t="s">
        <v>2849</v>
      </c>
      <c r="E369" t="s">
        <v>3672</v>
      </c>
      <c r="F369">
        <v>18</v>
      </c>
      <c r="G369" t="s">
        <v>3677</v>
      </c>
      <c r="H369" t="s">
        <v>3680</v>
      </c>
      <c r="I369" t="s">
        <v>3685</v>
      </c>
      <c r="J369" t="s">
        <v>3692</v>
      </c>
      <c r="K369" t="s">
        <v>3695</v>
      </c>
      <c r="L369">
        <v>3</v>
      </c>
      <c r="M369">
        <v>12000</v>
      </c>
      <c r="N369" t="s">
        <v>3704</v>
      </c>
      <c r="O369" t="s">
        <v>3707</v>
      </c>
      <c r="P369" s="2">
        <f t="shared" si="25"/>
        <v>45866</v>
      </c>
      <c r="Q369" t="str">
        <f t="shared" si="26"/>
        <v>Riaan Wason</v>
      </c>
      <c r="R369" t="str">
        <f t="shared" si="27"/>
        <v>Mumbai</v>
      </c>
      <c r="S369" t="str">
        <f t="shared" si="28"/>
        <v>Maharashtra</v>
      </c>
      <c r="T369">
        <f t="shared" si="29"/>
        <v>36000</v>
      </c>
    </row>
    <row r="370" spans="1:20" x14ac:dyDescent="0.35">
      <c r="A370" t="s">
        <v>383</v>
      </c>
      <c r="B370" t="s">
        <v>1256</v>
      </c>
      <c r="C370" t="s">
        <v>2088</v>
      </c>
      <c r="D370" t="s">
        <v>2850</v>
      </c>
      <c r="E370" t="s">
        <v>3672</v>
      </c>
      <c r="F370">
        <v>27</v>
      </c>
      <c r="G370" t="s">
        <v>3674</v>
      </c>
      <c r="H370" t="s">
        <v>3680</v>
      </c>
      <c r="I370" t="s">
        <v>3689</v>
      </c>
      <c r="J370" t="s">
        <v>3694</v>
      </c>
      <c r="K370" t="s">
        <v>3699</v>
      </c>
      <c r="L370">
        <v>5</v>
      </c>
      <c r="M370">
        <v>1800</v>
      </c>
      <c r="N370" t="s">
        <v>3702</v>
      </c>
      <c r="O370" t="s">
        <v>3705</v>
      </c>
      <c r="P370" s="2">
        <f t="shared" si="25"/>
        <v>45917</v>
      </c>
      <c r="Q370" t="str">
        <f t="shared" si="26"/>
        <v>Mishti Karpe</v>
      </c>
      <c r="R370" t="str">
        <f t="shared" si="27"/>
        <v>Pune</v>
      </c>
      <c r="S370" t="str">
        <f t="shared" si="28"/>
        <v>Maharashtra</v>
      </c>
      <c r="T370">
        <f t="shared" si="29"/>
        <v>9000</v>
      </c>
    </row>
    <row r="371" spans="1:20" x14ac:dyDescent="0.35">
      <c r="A371" t="s">
        <v>384</v>
      </c>
      <c r="B371" t="s">
        <v>1287</v>
      </c>
      <c r="C371" t="s">
        <v>2089</v>
      </c>
      <c r="D371" t="s">
        <v>2851</v>
      </c>
      <c r="E371" t="s">
        <v>3671</v>
      </c>
      <c r="F371">
        <v>45</v>
      </c>
      <c r="G371" t="s">
        <v>3676</v>
      </c>
      <c r="H371" t="s">
        <v>3682</v>
      </c>
      <c r="I371" t="s">
        <v>3689</v>
      </c>
      <c r="J371" t="s">
        <v>3694</v>
      </c>
      <c r="K371" t="s">
        <v>3699</v>
      </c>
      <c r="L371">
        <v>5</v>
      </c>
      <c r="M371">
        <v>1800</v>
      </c>
      <c r="N371" t="s">
        <v>3702</v>
      </c>
      <c r="O371" t="s">
        <v>3705</v>
      </c>
      <c r="P371" s="2">
        <f t="shared" si="25"/>
        <v>45967</v>
      </c>
      <c r="Q371" t="str">
        <f t="shared" si="26"/>
        <v>Prerak Roy</v>
      </c>
      <c r="R371" t="str">
        <f t="shared" si="27"/>
        <v>Chennai</v>
      </c>
      <c r="S371" t="str">
        <f t="shared" si="28"/>
        <v>Tamil Nadu</v>
      </c>
      <c r="T371">
        <f t="shared" si="29"/>
        <v>9000</v>
      </c>
    </row>
    <row r="372" spans="1:20" x14ac:dyDescent="0.35">
      <c r="A372" t="s">
        <v>385</v>
      </c>
      <c r="B372" t="s">
        <v>1499</v>
      </c>
      <c r="C372" t="s">
        <v>2090</v>
      </c>
      <c r="D372" t="s">
        <v>2852</v>
      </c>
      <c r="E372" t="s">
        <v>3672</v>
      </c>
      <c r="F372">
        <v>49</v>
      </c>
      <c r="G372" t="s">
        <v>3674</v>
      </c>
      <c r="H372" t="s">
        <v>3680</v>
      </c>
      <c r="I372" t="s">
        <v>3686</v>
      </c>
      <c r="J372" t="s">
        <v>3693</v>
      </c>
      <c r="K372" t="s">
        <v>3696</v>
      </c>
      <c r="L372">
        <v>1</v>
      </c>
      <c r="M372">
        <v>65000</v>
      </c>
      <c r="N372" t="s">
        <v>3703</v>
      </c>
      <c r="O372" t="s">
        <v>3705</v>
      </c>
      <c r="P372" s="2">
        <f t="shared" si="25"/>
        <v>45861</v>
      </c>
      <c r="Q372" t="str">
        <f t="shared" si="26"/>
        <v>Alia Vohra</v>
      </c>
      <c r="R372" t="str">
        <f t="shared" si="27"/>
        <v>Pune</v>
      </c>
      <c r="S372" t="str">
        <f t="shared" si="28"/>
        <v>Maharashtra</v>
      </c>
      <c r="T372">
        <f t="shared" si="29"/>
        <v>65000</v>
      </c>
    </row>
    <row r="373" spans="1:20" x14ac:dyDescent="0.35">
      <c r="A373" t="s">
        <v>386</v>
      </c>
      <c r="B373" t="s">
        <v>1500</v>
      </c>
      <c r="C373" t="s">
        <v>2091</v>
      </c>
      <c r="D373" t="s">
        <v>2853</v>
      </c>
      <c r="E373" t="s">
        <v>3671</v>
      </c>
      <c r="F373">
        <v>57</v>
      </c>
      <c r="G373" t="s">
        <v>3676</v>
      </c>
      <c r="H373" t="s">
        <v>3682</v>
      </c>
      <c r="I373" t="s">
        <v>3689</v>
      </c>
      <c r="J373" t="s">
        <v>3694</v>
      </c>
      <c r="K373" t="s">
        <v>3699</v>
      </c>
      <c r="L373">
        <v>3</v>
      </c>
      <c r="M373">
        <v>1800</v>
      </c>
      <c r="N373" t="s">
        <v>3702</v>
      </c>
      <c r="O373" t="s">
        <v>3706</v>
      </c>
      <c r="P373" s="2">
        <f t="shared" si="25"/>
        <v>45840</v>
      </c>
      <c r="Q373" t="str">
        <f t="shared" si="26"/>
        <v>Kanav Iyer</v>
      </c>
      <c r="R373" t="str">
        <f t="shared" si="27"/>
        <v>Chennai</v>
      </c>
      <c r="S373" t="str">
        <f t="shared" si="28"/>
        <v>Tamil Nadu</v>
      </c>
      <c r="T373">
        <f t="shared" si="29"/>
        <v>5400</v>
      </c>
    </row>
    <row r="374" spans="1:20" x14ac:dyDescent="0.35">
      <c r="A374" t="s">
        <v>387</v>
      </c>
      <c r="B374" t="s">
        <v>1501</v>
      </c>
      <c r="C374" t="s">
        <v>2092</v>
      </c>
      <c r="D374" t="s">
        <v>2854</v>
      </c>
      <c r="E374" t="s">
        <v>3672</v>
      </c>
      <c r="F374">
        <v>18</v>
      </c>
      <c r="G374" t="s">
        <v>3679</v>
      </c>
      <c r="H374" t="s">
        <v>3684</v>
      </c>
      <c r="I374" t="s">
        <v>3689</v>
      </c>
      <c r="J374" t="s">
        <v>3694</v>
      </c>
      <c r="K374" t="s">
        <v>3699</v>
      </c>
      <c r="L374">
        <v>2</v>
      </c>
      <c r="M374">
        <v>1800</v>
      </c>
      <c r="N374" t="s">
        <v>3704</v>
      </c>
      <c r="O374" t="s">
        <v>3705</v>
      </c>
      <c r="P374" s="2">
        <f t="shared" si="25"/>
        <v>45666</v>
      </c>
      <c r="Q374" t="str">
        <f t="shared" si="26"/>
        <v>Kavya Mandal</v>
      </c>
      <c r="R374" t="str">
        <f t="shared" si="27"/>
        <v>Bengaluru</v>
      </c>
      <c r="S374" t="str">
        <f t="shared" si="28"/>
        <v>Karnataka</v>
      </c>
      <c r="T374">
        <f t="shared" si="29"/>
        <v>3600</v>
      </c>
    </row>
    <row r="375" spans="1:20" x14ac:dyDescent="0.35">
      <c r="A375" t="s">
        <v>388</v>
      </c>
      <c r="B375" t="s">
        <v>1461</v>
      </c>
      <c r="C375" t="s">
        <v>2093</v>
      </c>
      <c r="D375" t="s">
        <v>2855</v>
      </c>
      <c r="E375" t="s">
        <v>3671</v>
      </c>
      <c r="F375">
        <v>24</v>
      </c>
      <c r="G375" t="s">
        <v>3678</v>
      </c>
      <c r="H375" t="s">
        <v>3683</v>
      </c>
      <c r="I375" t="s">
        <v>3687</v>
      </c>
      <c r="J375" t="s">
        <v>3693</v>
      </c>
      <c r="K375" t="s">
        <v>3697</v>
      </c>
      <c r="L375">
        <v>4</v>
      </c>
      <c r="M375">
        <v>5000</v>
      </c>
      <c r="N375" t="s">
        <v>3702</v>
      </c>
      <c r="O375" t="s">
        <v>3706</v>
      </c>
      <c r="P375" s="2">
        <f t="shared" si="25"/>
        <v>45821</v>
      </c>
      <c r="Q375" t="str">
        <f t="shared" si="26"/>
        <v>Mohanlal Shan</v>
      </c>
      <c r="R375" t="str">
        <f t="shared" si="27"/>
        <v>Hyderabad</v>
      </c>
      <c r="S375" t="str">
        <f t="shared" si="28"/>
        <v>Telangana</v>
      </c>
      <c r="T375">
        <f t="shared" si="29"/>
        <v>20000</v>
      </c>
    </row>
    <row r="376" spans="1:20" x14ac:dyDescent="0.35">
      <c r="A376" t="s">
        <v>389</v>
      </c>
      <c r="B376" t="s">
        <v>1502</v>
      </c>
      <c r="C376" t="s">
        <v>1890</v>
      </c>
      <c r="D376" t="s">
        <v>2856</v>
      </c>
      <c r="E376" t="s">
        <v>3671</v>
      </c>
      <c r="F376">
        <v>19</v>
      </c>
      <c r="G376" t="s">
        <v>3677</v>
      </c>
      <c r="H376" t="s">
        <v>3680</v>
      </c>
      <c r="I376" t="s">
        <v>3686</v>
      </c>
      <c r="J376" t="s">
        <v>3693</v>
      </c>
      <c r="K376" t="s">
        <v>3696</v>
      </c>
      <c r="L376">
        <v>3</v>
      </c>
      <c r="M376">
        <v>65000</v>
      </c>
      <c r="N376" t="s">
        <v>3703</v>
      </c>
      <c r="O376" t="s">
        <v>3706</v>
      </c>
      <c r="P376" s="2">
        <f t="shared" si="25"/>
        <v>45801</v>
      </c>
      <c r="Q376" t="str">
        <f t="shared" si="26"/>
        <v>Kimaya Banik</v>
      </c>
      <c r="R376" t="str">
        <f t="shared" si="27"/>
        <v>Mumbai</v>
      </c>
      <c r="S376" t="str">
        <f t="shared" si="28"/>
        <v>Maharashtra</v>
      </c>
      <c r="T376">
        <f t="shared" si="29"/>
        <v>195000</v>
      </c>
    </row>
    <row r="377" spans="1:20" x14ac:dyDescent="0.35">
      <c r="A377" t="s">
        <v>390</v>
      </c>
      <c r="B377" t="s">
        <v>1226</v>
      </c>
      <c r="C377" t="s">
        <v>2094</v>
      </c>
      <c r="D377" t="s">
        <v>2857</v>
      </c>
      <c r="E377" t="s">
        <v>3671</v>
      </c>
      <c r="F377">
        <v>57</v>
      </c>
      <c r="G377" t="s">
        <v>3679</v>
      </c>
      <c r="H377" t="s">
        <v>3684</v>
      </c>
      <c r="I377" t="s">
        <v>3690</v>
      </c>
      <c r="J377" t="s">
        <v>3693</v>
      </c>
      <c r="K377" t="s">
        <v>3700</v>
      </c>
      <c r="L377">
        <v>2</v>
      </c>
      <c r="M377">
        <v>72000</v>
      </c>
      <c r="N377" t="s">
        <v>3703</v>
      </c>
      <c r="O377" t="s">
        <v>3705</v>
      </c>
      <c r="P377" s="2">
        <f t="shared" si="25"/>
        <v>45858</v>
      </c>
      <c r="Q377" t="str">
        <f t="shared" si="26"/>
        <v>Aarna Bala</v>
      </c>
      <c r="R377" t="str">
        <f t="shared" si="27"/>
        <v>Bengaluru</v>
      </c>
      <c r="S377" t="str">
        <f t="shared" si="28"/>
        <v>Karnataka</v>
      </c>
      <c r="T377">
        <f t="shared" si="29"/>
        <v>144000</v>
      </c>
    </row>
    <row r="378" spans="1:20" x14ac:dyDescent="0.35">
      <c r="A378" t="s">
        <v>391</v>
      </c>
      <c r="B378" t="s">
        <v>1503</v>
      </c>
      <c r="C378" t="s">
        <v>2095</v>
      </c>
      <c r="D378" t="s">
        <v>2858</v>
      </c>
      <c r="E378" t="s">
        <v>3671</v>
      </c>
      <c r="F378">
        <v>19</v>
      </c>
      <c r="G378" t="s">
        <v>3679</v>
      </c>
      <c r="H378" t="s">
        <v>3684</v>
      </c>
      <c r="I378" t="s">
        <v>3691</v>
      </c>
      <c r="J378" t="s">
        <v>3693</v>
      </c>
      <c r="K378" t="s">
        <v>3696</v>
      </c>
      <c r="L378">
        <v>4</v>
      </c>
      <c r="M378">
        <v>58000</v>
      </c>
      <c r="N378" t="s">
        <v>3701</v>
      </c>
      <c r="O378" t="s">
        <v>3706</v>
      </c>
      <c r="P378" s="2">
        <f t="shared" si="25"/>
        <v>45804</v>
      </c>
      <c r="Q378" t="str">
        <f t="shared" si="26"/>
        <v>Aradhya Uppal</v>
      </c>
      <c r="R378" t="str">
        <f t="shared" si="27"/>
        <v>Bengaluru</v>
      </c>
      <c r="S378" t="str">
        <f t="shared" si="28"/>
        <v>Karnataka</v>
      </c>
      <c r="T378">
        <f t="shared" si="29"/>
        <v>232000</v>
      </c>
    </row>
    <row r="379" spans="1:20" x14ac:dyDescent="0.35">
      <c r="A379" t="s">
        <v>392</v>
      </c>
      <c r="B379" t="s">
        <v>1323</v>
      </c>
      <c r="C379" t="s">
        <v>2096</v>
      </c>
      <c r="D379" t="s">
        <v>2859</v>
      </c>
      <c r="E379" t="s">
        <v>3672</v>
      </c>
      <c r="F379">
        <v>56</v>
      </c>
      <c r="G379" t="s">
        <v>3673</v>
      </c>
      <c r="H379" t="s">
        <v>3673</v>
      </c>
      <c r="I379" t="s">
        <v>3686</v>
      </c>
      <c r="J379" t="s">
        <v>3693</v>
      </c>
      <c r="K379" t="s">
        <v>3696</v>
      </c>
      <c r="L379">
        <v>3</v>
      </c>
      <c r="M379">
        <v>65000</v>
      </c>
      <c r="N379" t="s">
        <v>3704</v>
      </c>
      <c r="O379" t="s">
        <v>3707</v>
      </c>
      <c r="P379" s="2">
        <f t="shared" si="25"/>
        <v>45714</v>
      </c>
      <c r="Q379" t="str">
        <f t="shared" si="26"/>
        <v>Hansh Ratti</v>
      </c>
      <c r="R379" t="str">
        <f t="shared" si="27"/>
        <v>Delhi</v>
      </c>
      <c r="S379" t="str">
        <f t="shared" si="28"/>
        <v>Delhi</v>
      </c>
      <c r="T379">
        <f t="shared" si="29"/>
        <v>195000</v>
      </c>
    </row>
    <row r="380" spans="1:20" x14ac:dyDescent="0.35">
      <c r="A380" t="s">
        <v>393</v>
      </c>
      <c r="B380" t="s">
        <v>1504</v>
      </c>
      <c r="C380" t="s">
        <v>2097</v>
      </c>
      <c r="D380" t="s">
        <v>2860</v>
      </c>
      <c r="E380" t="s">
        <v>3672</v>
      </c>
      <c r="F380">
        <v>20</v>
      </c>
      <c r="G380" t="s">
        <v>3678</v>
      </c>
      <c r="H380" t="s">
        <v>3683</v>
      </c>
      <c r="I380" t="s">
        <v>3691</v>
      </c>
      <c r="J380" t="s">
        <v>3693</v>
      </c>
      <c r="K380" t="s">
        <v>3696</v>
      </c>
      <c r="L380">
        <v>5</v>
      </c>
      <c r="M380">
        <v>58000</v>
      </c>
      <c r="N380" t="s">
        <v>3703</v>
      </c>
      <c r="O380" t="s">
        <v>3706</v>
      </c>
      <c r="P380" s="2">
        <f t="shared" si="25"/>
        <v>45814</v>
      </c>
      <c r="Q380" t="str">
        <f t="shared" si="26"/>
        <v>Purab Bhavsar</v>
      </c>
      <c r="R380" t="str">
        <f t="shared" si="27"/>
        <v>Hyderabad</v>
      </c>
      <c r="S380" t="str">
        <f t="shared" si="28"/>
        <v>Telangana</v>
      </c>
      <c r="T380">
        <f t="shared" si="29"/>
        <v>290000</v>
      </c>
    </row>
    <row r="381" spans="1:20" x14ac:dyDescent="0.35">
      <c r="A381" t="s">
        <v>394</v>
      </c>
      <c r="B381" t="s">
        <v>1481</v>
      </c>
      <c r="C381" t="s">
        <v>1820</v>
      </c>
      <c r="D381" t="s">
        <v>2861</v>
      </c>
      <c r="E381" t="s">
        <v>3671</v>
      </c>
      <c r="F381">
        <v>42</v>
      </c>
      <c r="G381" t="s">
        <v>3674</v>
      </c>
      <c r="H381" t="s">
        <v>3680</v>
      </c>
      <c r="I381" t="s">
        <v>3685</v>
      </c>
      <c r="J381" t="s">
        <v>3692</v>
      </c>
      <c r="K381" t="s">
        <v>3695</v>
      </c>
      <c r="L381">
        <v>3</v>
      </c>
      <c r="M381">
        <v>12000</v>
      </c>
      <c r="N381" t="s">
        <v>3703</v>
      </c>
      <c r="O381" t="s">
        <v>3707</v>
      </c>
      <c r="P381" s="2">
        <f t="shared" si="25"/>
        <v>45884</v>
      </c>
      <c r="Q381" t="str">
        <f t="shared" si="26"/>
        <v>Charvi Contractor</v>
      </c>
      <c r="R381" t="str">
        <f t="shared" si="27"/>
        <v>Pune</v>
      </c>
      <c r="S381" t="str">
        <f t="shared" si="28"/>
        <v>Maharashtra</v>
      </c>
      <c r="T381">
        <f t="shared" si="29"/>
        <v>36000</v>
      </c>
    </row>
    <row r="382" spans="1:20" x14ac:dyDescent="0.35">
      <c r="A382" t="s">
        <v>395</v>
      </c>
      <c r="B382" t="s">
        <v>1441</v>
      </c>
      <c r="C382" t="s">
        <v>2098</v>
      </c>
      <c r="D382" t="s">
        <v>2862</v>
      </c>
      <c r="E382" t="s">
        <v>3672</v>
      </c>
      <c r="F382">
        <v>25</v>
      </c>
      <c r="G382" t="s">
        <v>3673</v>
      </c>
      <c r="H382" t="s">
        <v>3673</v>
      </c>
      <c r="I382" t="s">
        <v>3688</v>
      </c>
      <c r="J382" t="s">
        <v>3694</v>
      </c>
      <c r="K382" t="s">
        <v>3698</v>
      </c>
      <c r="L382">
        <v>4</v>
      </c>
      <c r="M382">
        <v>4500</v>
      </c>
      <c r="N382" t="s">
        <v>3704</v>
      </c>
      <c r="O382" t="s">
        <v>3707</v>
      </c>
      <c r="P382" s="2">
        <f t="shared" si="25"/>
        <v>45880</v>
      </c>
      <c r="Q382" t="str">
        <f t="shared" si="26"/>
        <v>Vanya Sundaram</v>
      </c>
      <c r="R382" t="str">
        <f t="shared" si="27"/>
        <v>Delhi</v>
      </c>
      <c r="S382" t="str">
        <f t="shared" si="28"/>
        <v>Delhi</v>
      </c>
      <c r="T382">
        <f t="shared" si="29"/>
        <v>18000</v>
      </c>
    </row>
    <row r="383" spans="1:20" x14ac:dyDescent="0.35">
      <c r="A383" t="s">
        <v>396</v>
      </c>
      <c r="B383" t="s">
        <v>1505</v>
      </c>
      <c r="C383" t="s">
        <v>2099</v>
      </c>
      <c r="D383" t="s">
        <v>2863</v>
      </c>
      <c r="E383" t="s">
        <v>3672</v>
      </c>
      <c r="F383">
        <v>51</v>
      </c>
      <c r="G383" t="s">
        <v>3673</v>
      </c>
      <c r="H383" t="s">
        <v>3673</v>
      </c>
      <c r="I383" t="s">
        <v>3686</v>
      </c>
      <c r="J383" t="s">
        <v>3693</v>
      </c>
      <c r="K383" t="s">
        <v>3696</v>
      </c>
      <c r="L383">
        <v>4</v>
      </c>
      <c r="M383">
        <v>65000</v>
      </c>
      <c r="N383" t="s">
        <v>3703</v>
      </c>
      <c r="O383" t="s">
        <v>3705</v>
      </c>
      <c r="P383" s="2">
        <f t="shared" si="25"/>
        <v>45764</v>
      </c>
      <c r="Q383" t="str">
        <f t="shared" si="26"/>
        <v>Oorja Wadhwa</v>
      </c>
      <c r="R383" t="str">
        <f t="shared" si="27"/>
        <v>Delhi</v>
      </c>
      <c r="S383" t="str">
        <f t="shared" si="28"/>
        <v>Delhi</v>
      </c>
      <c r="T383">
        <f t="shared" si="29"/>
        <v>260000</v>
      </c>
    </row>
    <row r="384" spans="1:20" x14ac:dyDescent="0.35">
      <c r="A384" t="s">
        <v>397</v>
      </c>
      <c r="B384" t="s">
        <v>1277</v>
      </c>
      <c r="C384" t="s">
        <v>2100</v>
      </c>
      <c r="D384" t="s">
        <v>2864</v>
      </c>
      <c r="E384" t="s">
        <v>3671</v>
      </c>
      <c r="F384">
        <v>40</v>
      </c>
      <c r="G384" t="s">
        <v>3677</v>
      </c>
      <c r="H384" t="s">
        <v>3680</v>
      </c>
      <c r="I384" t="s">
        <v>3691</v>
      </c>
      <c r="J384" t="s">
        <v>3693</v>
      </c>
      <c r="K384" t="s">
        <v>3696</v>
      </c>
      <c r="L384">
        <v>2</v>
      </c>
      <c r="M384">
        <v>58000</v>
      </c>
      <c r="N384" t="s">
        <v>3702</v>
      </c>
      <c r="O384" t="s">
        <v>3705</v>
      </c>
      <c r="P384" s="2">
        <f t="shared" si="25"/>
        <v>45863</v>
      </c>
      <c r="Q384" t="str">
        <f t="shared" si="26"/>
        <v>Azad Ghose</v>
      </c>
      <c r="R384" t="str">
        <f t="shared" si="27"/>
        <v>Mumbai</v>
      </c>
      <c r="S384" t="str">
        <f t="shared" si="28"/>
        <v>Maharashtra</v>
      </c>
      <c r="T384">
        <f t="shared" si="29"/>
        <v>116000</v>
      </c>
    </row>
    <row r="385" spans="1:20" x14ac:dyDescent="0.35">
      <c r="A385" t="s">
        <v>398</v>
      </c>
      <c r="B385" t="s">
        <v>1506</v>
      </c>
      <c r="C385" t="s">
        <v>2101</v>
      </c>
      <c r="D385" t="s">
        <v>2865</v>
      </c>
      <c r="E385" t="s">
        <v>3672</v>
      </c>
      <c r="F385">
        <v>19</v>
      </c>
      <c r="G385" t="s">
        <v>3676</v>
      </c>
      <c r="H385" t="s">
        <v>3682</v>
      </c>
      <c r="I385" t="s">
        <v>3689</v>
      </c>
      <c r="J385" t="s">
        <v>3694</v>
      </c>
      <c r="K385" t="s">
        <v>3699</v>
      </c>
      <c r="L385">
        <v>5</v>
      </c>
      <c r="M385">
        <v>1800</v>
      </c>
      <c r="N385" t="s">
        <v>3701</v>
      </c>
      <c r="O385" t="s">
        <v>3705</v>
      </c>
      <c r="P385" s="2">
        <f t="shared" si="25"/>
        <v>45687</v>
      </c>
      <c r="Q385" t="str">
        <f t="shared" si="26"/>
        <v>Krish Maharaj</v>
      </c>
      <c r="R385" t="str">
        <f t="shared" si="27"/>
        <v>Chennai</v>
      </c>
      <c r="S385" t="str">
        <f t="shared" si="28"/>
        <v>Tamil Nadu</v>
      </c>
      <c r="T385">
        <f t="shared" si="29"/>
        <v>9000</v>
      </c>
    </row>
    <row r="386" spans="1:20" x14ac:dyDescent="0.35">
      <c r="A386" t="s">
        <v>399</v>
      </c>
      <c r="B386" t="s">
        <v>1334</v>
      </c>
      <c r="C386" t="s">
        <v>2102</v>
      </c>
      <c r="D386" t="s">
        <v>2866</v>
      </c>
      <c r="E386" t="s">
        <v>3672</v>
      </c>
      <c r="F386">
        <v>47</v>
      </c>
      <c r="G386" t="s">
        <v>3676</v>
      </c>
      <c r="H386" t="s">
        <v>3682</v>
      </c>
      <c r="I386" t="s">
        <v>3688</v>
      </c>
      <c r="J386" t="s">
        <v>3694</v>
      </c>
      <c r="K386" t="s">
        <v>3698</v>
      </c>
      <c r="L386">
        <v>4</v>
      </c>
      <c r="M386">
        <v>4500</v>
      </c>
      <c r="N386" t="s">
        <v>3701</v>
      </c>
      <c r="O386" t="s">
        <v>3705</v>
      </c>
      <c r="P386" s="2">
        <f t="shared" si="25"/>
        <v>45767</v>
      </c>
      <c r="Q386" t="str">
        <f t="shared" si="26"/>
        <v>Vivaan Thakur</v>
      </c>
      <c r="R386" t="str">
        <f t="shared" si="27"/>
        <v>Chennai</v>
      </c>
      <c r="S386" t="str">
        <f t="shared" si="28"/>
        <v>Tamil Nadu</v>
      </c>
      <c r="T386">
        <f t="shared" si="29"/>
        <v>18000</v>
      </c>
    </row>
    <row r="387" spans="1:20" x14ac:dyDescent="0.35">
      <c r="A387" t="s">
        <v>400</v>
      </c>
      <c r="B387" t="s">
        <v>1507</v>
      </c>
      <c r="C387" t="s">
        <v>2103</v>
      </c>
      <c r="D387" t="s">
        <v>2867</v>
      </c>
      <c r="E387" t="s">
        <v>3671</v>
      </c>
      <c r="F387">
        <v>39</v>
      </c>
      <c r="G387" t="s">
        <v>3677</v>
      </c>
      <c r="H387" t="s">
        <v>3680</v>
      </c>
      <c r="I387" t="s">
        <v>3690</v>
      </c>
      <c r="J387" t="s">
        <v>3693</v>
      </c>
      <c r="K387" t="s">
        <v>3700</v>
      </c>
      <c r="L387">
        <v>4</v>
      </c>
      <c r="M387">
        <v>72000</v>
      </c>
      <c r="N387" t="s">
        <v>3702</v>
      </c>
      <c r="O387" t="s">
        <v>3707</v>
      </c>
      <c r="P387" s="2">
        <f t="shared" ref="P387:P450" si="30">DATEVALUE(SUBSTITUTE(B387,"/","-"))</f>
        <v>45722</v>
      </c>
      <c r="Q387" t="str">
        <f t="shared" ref="Q387:Q450" si="31">TRIM(CLEAN(D387))</f>
        <v>Onkar Dass</v>
      </c>
      <c r="R387" t="str">
        <f t="shared" ref="R387:R450" si="32">IF(G387="","Unknown",G387)</f>
        <v>Mumbai</v>
      </c>
      <c r="S387" t="str">
        <f t="shared" ref="S387:S450" si="33">IF(H387="","Unknown",H387)</f>
        <v>Maharashtra</v>
      </c>
      <c r="T387">
        <f t="shared" ref="T387:T450" si="34">L387*M387</f>
        <v>288000</v>
      </c>
    </row>
    <row r="388" spans="1:20" x14ac:dyDescent="0.35">
      <c r="A388" t="s">
        <v>401</v>
      </c>
      <c r="B388" t="s">
        <v>1375</v>
      </c>
      <c r="C388" t="s">
        <v>2104</v>
      </c>
      <c r="D388" t="s">
        <v>2868</v>
      </c>
      <c r="E388" t="s">
        <v>3671</v>
      </c>
      <c r="F388">
        <v>53</v>
      </c>
      <c r="G388" t="s">
        <v>3675</v>
      </c>
      <c r="H388" t="s">
        <v>3681</v>
      </c>
      <c r="I388" t="s">
        <v>3689</v>
      </c>
      <c r="J388" t="s">
        <v>3694</v>
      </c>
      <c r="K388" t="s">
        <v>3699</v>
      </c>
      <c r="L388">
        <v>3</v>
      </c>
      <c r="M388">
        <v>1800</v>
      </c>
      <c r="N388" t="s">
        <v>3703</v>
      </c>
      <c r="O388" t="s">
        <v>3707</v>
      </c>
      <c r="P388" s="2">
        <f t="shared" si="30"/>
        <v>45806</v>
      </c>
      <c r="Q388" t="str">
        <f t="shared" si="31"/>
        <v>Anika Chaudhry</v>
      </c>
      <c r="R388" t="str">
        <f t="shared" si="32"/>
        <v>Kolkata</v>
      </c>
      <c r="S388" t="str">
        <f t="shared" si="33"/>
        <v>West Bengal</v>
      </c>
      <c r="T388">
        <f t="shared" si="34"/>
        <v>5400</v>
      </c>
    </row>
    <row r="389" spans="1:20" x14ac:dyDescent="0.35">
      <c r="A389" t="s">
        <v>402</v>
      </c>
      <c r="B389" t="s">
        <v>1343</v>
      </c>
      <c r="C389" t="s">
        <v>1964</v>
      </c>
      <c r="D389" t="s">
        <v>2869</v>
      </c>
      <c r="E389" t="s">
        <v>3672</v>
      </c>
      <c r="F389">
        <v>43</v>
      </c>
      <c r="G389" t="s">
        <v>3673</v>
      </c>
      <c r="H389" t="s">
        <v>3673</v>
      </c>
      <c r="I389" t="s">
        <v>3690</v>
      </c>
      <c r="J389" t="s">
        <v>3693</v>
      </c>
      <c r="K389" t="s">
        <v>3700</v>
      </c>
      <c r="L389">
        <v>3</v>
      </c>
      <c r="M389">
        <v>72000</v>
      </c>
      <c r="N389" t="s">
        <v>3703</v>
      </c>
      <c r="O389" t="s">
        <v>3707</v>
      </c>
      <c r="P389" s="2">
        <f t="shared" si="30"/>
        <v>45709</v>
      </c>
      <c r="Q389" t="str">
        <f t="shared" si="31"/>
        <v>Priyansh Mand</v>
      </c>
      <c r="R389" t="str">
        <f t="shared" si="32"/>
        <v>Delhi</v>
      </c>
      <c r="S389" t="str">
        <f t="shared" si="33"/>
        <v>Delhi</v>
      </c>
      <c r="T389">
        <f t="shared" si="34"/>
        <v>216000</v>
      </c>
    </row>
    <row r="390" spans="1:20" x14ac:dyDescent="0.35">
      <c r="A390" t="s">
        <v>403</v>
      </c>
      <c r="B390" t="s">
        <v>1508</v>
      </c>
      <c r="C390" t="s">
        <v>2105</v>
      </c>
      <c r="D390" t="s">
        <v>2870</v>
      </c>
      <c r="E390" t="s">
        <v>3671</v>
      </c>
      <c r="F390">
        <v>41</v>
      </c>
      <c r="G390" t="s">
        <v>3679</v>
      </c>
      <c r="H390" t="s">
        <v>3684</v>
      </c>
      <c r="I390" t="s">
        <v>3687</v>
      </c>
      <c r="J390" t="s">
        <v>3693</v>
      </c>
      <c r="K390" t="s">
        <v>3697</v>
      </c>
      <c r="L390">
        <v>1</v>
      </c>
      <c r="M390">
        <v>5000</v>
      </c>
      <c r="N390" t="s">
        <v>3704</v>
      </c>
      <c r="O390" t="s">
        <v>3707</v>
      </c>
      <c r="P390" s="2">
        <f t="shared" si="30"/>
        <v>45930</v>
      </c>
      <c r="Q390" t="str">
        <f t="shared" si="31"/>
        <v>Indranil Ramaswamy</v>
      </c>
      <c r="R390" t="str">
        <f t="shared" si="32"/>
        <v>Bengaluru</v>
      </c>
      <c r="S390" t="str">
        <f t="shared" si="33"/>
        <v>Karnataka</v>
      </c>
      <c r="T390">
        <f t="shared" si="34"/>
        <v>5000</v>
      </c>
    </row>
    <row r="391" spans="1:20" x14ac:dyDescent="0.35">
      <c r="A391" t="s">
        <v>404</v>
      </c>
      <c r="B391" t="s">
        <v>1509</v>
      </c>
      <c r="C391" t="s">
        <v>2106</v>
      </c>
      <c r="D391" t="s">
        <v>2871</v>
      </c>
      <c r="E391" t="s">
        <v>3671</v>
      </c>
      <c r="F391">
        <v>42</v>
      </c>
      <c r="G391" t="s">
        <v>3674</v>
      </c>
      <c r="H391" t="s">
        <v>3680</v>
      </c>
      <c r="I391" t="s">
        <v>3690</v>
      </c>
      <c r="J391" t="s">
        <v>3693</v>
      </c>
      <c r="K391" t="s">
        <v>3700</v>
      </c>
      <c r="L391">
        <v>2</v>
      </c>
      <c r="M391">
        <v>72000</v>
      </c>
      <c r="N391" t="s">
        <v>3701</v>
      </c>
      <c r="O391" t="s">
        <v>3705</v>
      </c>
      <c r="P391" s="2">
        <f t="shared" si="30"/>
        <v>45976</v>
      </c>
      <c r="Q391" t="str">
        <f t="shared" si="31"/>
        <v>Farhan Thaman</v>
      </c>
      <c r="R391" t="str">
        <f t="shared" si="32"/>
        <v>Pune</v>
      </c>
      <c r="S391" t="str">
        <f t="shared" si="33"/>
        <v>Maharashtra</v>
      </c>
      <c r="T391">
        <f t="shared" si="34"/>
        <v>144000</v>
      </c>
    </row>
    <row r="392" spans="1:20" x14ac:dyDescent="0.35">
      <c r="A392" t="s">
        <v>405</v>
      </c>
      <c r="B392" t="s">
        <v>1281</v>
      </c>
      <c r="C392" t="s">
        <v>1873</v>
      </c>
      <c r="D392" t="s">
        <v>2872</v>
      </c>
      <c r="E392" t="s">
        <v>3671</v>
      </c>
      <c r="F392">
        <v>33</v>
      </c>
      <c r="G392" t="s">
        <v>3673</v>
      </c>
      <c r="H392" t="s">
        <v>3673</v>
      </c>
      <c r="I392" t="s">
        <v>3688</v>
      </c>
      <c r="J392" t="s">
        <v>3694</v>
      </c>
      <c r="K392" t="s">
        <v>3698</v>
      </c>
      <c r="L392">
        <v>1</v>
      </c>
      <c r="M392">
        <v>4500</v>
      </c>
      <c r="N392" t="s">
        <v>3703</v>
      </c>
      <c r="O392" t="s">
        <v>3705</v>
      </c>
      <c r="P392" s="2">
        <f t="shared" si="30"/>
        <v>45825</v>
      </c>
      <c r="Q392" t="str">
        <f t="shared" si="31"/>
        <v>Mehul Johal</v>
      </c>
      <c r="R392" t="str">
        <f t="shared" si="32"/>
        <v>Delhi</v>
      </c>
      <c r="S392" t="str">
        <f t="shared" si="33"/>
        <v>Delhi</v>
      </c>
      <c r="T392">
        <f t="shared" si="34"/>
        <v>4500</v>
      </c>
    </row>
    <row r="393" spans="1:20" x14ac:dyDescent="0.35">
      <c r="A393" t="s">
        <v>406</v>
      </c>
      <c r="B393" t="s">
        <v>1494</v>
      </c>
      <c r="C393" t="s">
        <v>2107</v>
      </c>
      <c r="D393" t="s">
        <v>2873</v>
      </c>
      <c r="E393" t="s">
        <v>3671</v>
      </c>
      <c r="F393">
        <v>19</v>
      </c>
      <c r="G393" t="s">
        <v>3676</v>
      </c>
      <c r="H393" t="s">
        <v>3682</v>
      </c>
      <c r="I393" t="s">
        <v>3691</v>
      </c>
      <c r="J393" t="s">
        <v>3693</v>
      </c>
      <c r="K393" t="s">
        <v>3696</v>
      </c>
      <c r="L393">
        <v>1</v>
      </c>
      <c r="M393">
        <v>58000</v>
      </c>
      <c r="N393" t="s">
        <v>3701</v>
      </c>
      <c r="O393" t="s">
        <v>3705</v>
      </c>
      <c r="P393" s="2">
        <f t="shared" si="30"/>
        <v>45698</v>
      </c>
      <c r="Q393" t="str">
        <f t="shared" si="31"/>
        <v>Drishya Divan</v>
      </c>
      <c r="R393" t="str">
        <f t="shared" si="32"/>
        <v>Chennai</v>
      </c>
      <c r="S393" t="str">
        <f t="shared" si="33"/>
        <v>Tamil Nadu</v>
      </c>
      <c r="T393">
        <f t="shared" si="34"/>
        <v>58000</v>
      </c>
    </row>
    <row r="394" spans="1:20" x14ac:dyDescent="0.35">
      <c r="A394" t="s">
        <v>407</v>
      </c>
      <c r="B394" t="s">
        <v>1510</v>
      </c>
      <c r="C394" t="s">
        <v>2108</v>
      </c>
      <c r="D394" t="s">
        <v>2874</v>
      </c>
      <c r="E394" t="s">
        <v>3671</v>
      </c>
      <c r="F394">
        <v>45</v>
      </c>
      <c r="G394" t="s">
        <v>3673</v>
      </c>
      <c r="H394" t="s">
        <v>3673</v>
      </c>
      <c r="I394" t="s">
        <v>3690</v>
      </c>
      <c r="J394" t="s">
        <v>3693</v>
      </c>
      <c r="K394" t="s">
        <v>3700</v>
      </c>
      <c r="L394">
        <v>5</v>
      </c>
      <c r="M394">
        <v>72000</v>
      </c>
      <c r="N394" t="s">
        <v>3702</v>
      </c>
      <c r="O394" t="s">
        <v>3705</v>
      </c>
      <c r="P394" s="2">
        <f t="shared" si="30"/>
        <v>45837</v>
      </c>
      <c r="Q394" t="str">
        <f t="shared" si="31"/>
        <v>Reyansh Sen</v>
      </c>
      <c r="R394" t="str">
        <f t="shared" si="32"/>
        <v>Delhi</v>
      </c>
      <c r="S394" t="str">
        <f t="shared" si="33"/>
        <v>Delhi</v>
      </c>
      <c r="T394">
        <f t="shared" si="34"/>
        <v>360000</v>
      </c>
    </row>
    <row r="395" spans="1:20" x14ac:dyDescent="0.35">
      <c r="A395" t="s">
        <v>408</v>
      </c>
      <c r="B395" t="s">
        <v>1339</v>
      </c>
      <c r="C395" t="s">
        <v>2109</v>
      </c>
      <c r="D395" t="s">
        <v>2875</v>
      </c>
      <c r="E395" t="s">
        <v>3671</v>
      </c>
      <c r="F395">
        <v>47</v>
      </c>
      <c r="G395" t="s">
        <v>3677</v>
      </c>
      <c r="H395" t="s">
        <v>3680</v>
      </c>
      <c r="I395" t="s">
        <v>3690</v>
      </c>
      <c r="J395" t="s">
        <v>3693</v>
      </c>
      <c r="K395" t="s">
        <v>3700</v>
      </c>
      <c r="L395">
        <v>4</v>
      </c>
      <c r="M395">
        <v>72000</v>
      </c>
      <c r="N395" t="s">
        <v>3704</v>
      </c>
      <c r="O395" t="s">
        <v>3705</v>
      </c>
      <c r="P395" s="2">
        <f t="shared" si="30"/>
        <v>45919</v>
      </c>
      <c r="Q395" t="str">
        <f t="shared" si="31"/>
        <v>Shray Tailor</v>
      </c>
      <c r="R395" t="str">
        <f t="shared" si="32"/>
        <v>Mumbai</v>
      </c>
      <c r="S395" t="str">
        <f t="shared" si="33"/>
        <v>Maharashtra</v>
      </c>
      <c r="T395">
        <f t="shared" si="34"/>
        <v>288000</v>
      </c>
    </row>
    <row r="396" spans="1:20" x14ac:dyDescent="0.35">
      <c r="A396" t="s">
        <v>409</v>
      </c>
      <c r="B396" t="s">
        <v>1511</v>
      </c>
      <c r="C396" t="s">
        <v>2110</v>
      </c>
      <c r="D396" t="s">
        <v>2876</v>
      </c>
      <c r="E396" t="s">
        <v>3672</v>
      </c>
      <c r="F396">
        <v>26</v>
      </c>
      <c r="G396" t="s">
        <v>3675</v>
      </c>
      <c r="H396" t="s">
        <v>3681</v>
      </c>
      <c r="I396" t="s">
        <v>3691</v>
      </c>
      <c r="J396" t="s">
        <v>3693</v>
      </c>
      <c r="K396" t="s">
        <v>3696</v>
      </c>
      <c r="L396">
        <v>1</v>
      </c>
      <c r="M396">
        <v>58000</v>
      </c>
      <c r="N396" t="s">
        <v>3702</v>
      </c>
      <c r="O396" t="s">
        <v>3706</v>
      </c>
      <c r="P396" s="2">
        <f t="shared" si="30"/>
        <v>45810</v>
      </c>
      <c r="Q396" t="str">
        <f t="shared" si="31"/>
        <v>Eva Dube</v>
      </c>
      <c r="R396" t="str">
        <f t="shared" si="32"/>
        <v>Kolkata</v>
      </c>
      <c r="S396" t="str">
        <f t="shared" si="33"/>
        <v>West Bengal</v>
      </c>
      <c r="T396">
        <f t="shared" si="34"/>
        <v>58000</v>
      </c>
    </row>
    <row r="397" spans="1:20" x14ac:dyDescent="0.35">
      <c r="A397" t="s">
        <v>410</v>
      </c>
      <c r="B397" t="s">
        <v>1392</v>
      </c>
      <c r="C397" t="s">
        <v>1902</v>
      </c>
      <c r="D397" t="s">
        <v>2877</v>
      </c>
      <c r="E397" t="s">
        <v>3671</v>
      </c>
      <c r="F397">
        <v>51</v>
      </c>
      <c r="G397" t="s">
        <v>3679</v>
      </c>
      <c r="H397" t="s">
        <v>3684</v>
      </c>
      <c r="I397" t="s">
        <v>3688</v>
      </c>
      <c r="J397" t="s">
        <v>3694</v>
      </c>
      <c r="K397" t="s">
        <v>3698</v>
      </c>
      <c r="L397">
        <v>1</v>
      </c>
      <c r="M397">
        <v>4500</v>
      </c>
      <c r="N397" t="s">
        <v>3703</v>
      </c>
      <c r="O397" t="s">
        <v>3705</v>
      </c>
      <c r="P397" s="2">
        <f t="shared" si="30"/>
        <v>45793</v>
      </c>
      <c r="Q397" t="str">
        <f t="shared" si="31"/>
        <v>Himmat Thaman</v>
      </c>
      <c r="R397" t="str">
        <f t="shared" si="32"/>
        <v>Bengaluru</v>
      </c>
      <c r="S397" t="str">
        <f t="shared" si="33"/>
        <v>Karnataka</v>
      </c>
      <c r="T397">
        <f t="shared" si="34"/>
        <v>4500</v>
      </c>
    </row>
    <row r="398" spans="1:20" x14ac:dyDescent="0.35">
      <c r="A398" t="s">
        <v>411</v>
      </c>
      <c r="B398" t="s">
        <v>1433</v>
      </c>
      <c r="C398" t="s">
        <v>2111</v>
      </c>
      <c r="D398" t="s">
        <v>2878</v>
      </c>
      <c r="E398" t="s">
        <v>3671</v>
      </c>
      <c r="F398">
        <v>46</v>
      </c>
      <c r="G398" t="s">
        <v>3677</v>
      </c>
      <c r="H398" t="s">
        <v>3680</v>
      </c>
      <c r="I398" t="s">
        <v>3685</v>
      </c>
      <c r="J398" t="s">
        <v>3692</v>
      </c>
      <c r="K398" t="s">
        <v>3695</v>
      </c>
      <c r="L398">
        <v>5</v>
      </c>
      <c r="M398">
        <v>12000</v>
      </c>
      <c r="N398" t="s">
        <v>3702</v>
      </c>
      <c r="O398" t="s">
        <v>3705</v>
      </c>
      <c r="P398" s="2">
        <f t="shared" si="30"/>
        <v>45784</v>
      </c>
      <c r="Q398" t="str">
        <f t="shared" si="31"/>
        <v>Amira Varghese</v>
      </c>
      <c r="R398" t="str">
        <f t="shared" si="32"/>
        <v>Mumbai</v>
      </c>
      <c r="S398" t="str">
        <f t="shared" si="33"/>
        <v>Maharashtra</v>
      </c>
      <c r="T398">
        <f t="shared" si="34"/>
        <v>60000</v>
      </c>
    </row>
    <row r="399" spans="1:20" x14ac:dyDescent="0.35">
      <c r="A399" t="s">
        <v>412</v>
      </c>
      <c r="B399" t="s">
        <v>1512</v>
      </c>
      <c r="C399" t="s">
        <v>1924</v>
      </c>
      <c r="D399" t="s">
        <v>2879</v>
      </c>
      <c r="E399" t="s">
        <v>3671</v>
      </c>
      <c r="F399">
        <v>25</v>
      </c>
      <c r="G399" t="s">
        <v>3679</v>
      </c>
      <c r="H399" t="s">
        <v>3684</v>
      </c>
      <c r="I399" t="s">
        <v>3691</v>
      </c>
      <c r="J399" t="s">
        <v>3693</v>
      </c>
      <c r="K399" t="s">
        <v>3696</v>
      </c>
      <c r="L399">
        <v>5</v>
      </c>
      <c r="M399">
        <v>58000</v>
      </c>
      <c r="N399" t="s">
        <v>3703</v>
      </c>
      <c r="O399" t="s">
        <v>3706</v>
      </c>
      <c r="P399" s="2">
        <f t="shared" si="30"/>
        <v>45708</v>
      </c>
      <c r="Q399" t="str">
        <f t="shared" si="31"/>
        <v>Ahana Khanna</v>
      </c>
      <c r="R399" t="str">
        <f t="shared" si="32"/>
        <v>Bengaluru</v>
      </c>
      <c r="S399" t="str">
        <f t="shared" si="33"/>
        <v>Karnataka</v>
      </c>
      <c r="T399">
        <f t="shared" si="34"/>
        <v>290000</v>
      </c>
    </row>
    <row r="400" spans="1:20" x14ac:dyDescent="0.35">
      <c r="A400" t="s">
        <v>413</v>
      </c>
      <c r="B400" t="s">
        <v>1513</v>
      </c>
      <c r="C400" t="s">
        <v>2112</v>
      </c>
      <c r="D400" t="s">
        <v>2880</v>
      </c>
      <c r="E400" t="s">
        <v>3672</v>
      </c>
      <c r="F400">
        <v>51</v>
      </c>
      <c r="G400" t="s">
        <v>3676</v>
      </c>
      <c r="H400" t="s">
        <v>3682</v>
      </c>
      <c r="I400" t="s">
        <v>3686</v>
      </c>
      <c r="J400" t="s">
        <v>3693</v>
      </c>
      <c r="K400" t="s">
        <v>3696</v>
      </c>
      <c r="L400">
        <v>5</v>
      </c>
      <c r="M400">
        <v>65000</v>
      </c>
      <c r="N400" t="s">
        <v>3701</v>
      </c>
      <c r="O400" t="s">
        <v>3706</v>
      </c>
      <c r="P400" s="2">
        <f t="shared" si="30"/>
        <v>46009</v>
      </c>
      <c r="Q400" t="str">
        <f t="shared" si="31"/>
        <v>Yuvaan Bawa</v>
      </c>
      <c r="R400" t="str">
        <f t="shared" si="32"/>
        <v>Chennai</v>
      </c>
      <c r="S400" t="str">
        <f t="shared" si="33"/>
        <v>Tamil Nadu</v>
      </c>
      <c r="T400">
        <f t="shared" si="34"/>
        <v>325000</v>
      </c>
    </row>
    <row r="401" spans="1:20" x14ac:dyDescent="0.35">
      <c r="A401" t="s">
        <v>414</v>
      </c>
      <c r="B401" t="s">
        <v>1514</v>
      </c>
      <c r="C401" t="s">
        <v>2113</v>
      </c>
      <c r="D401" t="s">
        <v>2881</v>
      </c>
      <c r="E401" t="s">
        <v>3671</v>
      </c>
      <c r="F401">
        <v>53</v>
      </c>
      <c r="G401" t="s">
        <v>3677</v>
      </c>
      <c r="H401" t="s">
        <v>3680</v>
      </c>
      <c r="I401" t="s">
        <v>3691</v>
      </c>
      <c r="J401" t="s">
        <v>3693</v>
      </c>
      <c r="K401" t="s">
        <v>3696</v>
      </c>
      <c r="L401">
        <v>1</v>
      </c>
      <c r="M401">
        <v>58000</v>
      </c>
      <c r="N401" t="s">
        <v>3703</v>
      </c>
      <c r="O401" t="s">
        <v>3706</v>
      </c>
      <c r="P401" s="2">
        <f t="shared" si="30"/>
        <v>45785</v>
      </c>
      <c r="Q401" t="str">
        <f t="shared" si="31"/>
        <v>Alia Shah</v>
      </c>
      <c r="R401" t="str">
        <f t="shared" si="32"/>
        <v>Mumbai</v>
      </c>
      <c r="S401" t="str">
        <f t="shared" si="33"/>
        <v>Maharashtra</v>
      </c>
      <c r="T401">
        <f t="shared" si="34"/>
        <v>58000</v>
      </c>
    </row>
    <row r="402" spans="1:20" x14ac:dyDescent="0.35">
      <c r="A402" t="s">
        <v>415</v>
      </c>
      <c r="B402" t="s">
        <v>1515</v>
      </c>
      <c r="C402" t="s">
        <v>2114</v>
      </c>
      <c r="D402" t="s">
        <v>2882</v>
      </c>
      <c r="E402" t="s">
        <v>3671</v>
      </c>
      <c r="F402">
        <v>23</v>
      </c>
      <c r="G402" t="s">
        <v>3679</v>
      </c>
      <c r="H402" t="s">
        <v>3684</v>
      </c>
      <c r="I402" t="s">
        <v>3685</v>
      </c>
      <c r="J402" t="s">
        <v>3692</v>
      </c>
      <c r="K402" t="s">
        <v>3695</v>
      </c>
      <c r="L402">
        <v>2</v>
      </c>
      <c r="M402">
        <v>12000</v>
      </c>
      <c r="N402" t="s">
        <v>3703</v>
      </c>
      <c r="O402" t="s">
        <v>3706</v>
      </c>
      <c r="P402" s="2">
        <f t="shared" si="30"/>
        <v>45856</v>
      </c>
      <c r="Q402" t="str">
        <f t="shared" si="31"/>
        <v>Renee Choudhry</v>
      </c>
      <c r="R402" t="str">
        <f t="shared" si="32"/>
        <v>Bengaluru</v>
      </c>
      <c r="S402" t="str">
        <f t="shared" si="33"/>
        <v>Karnataka</v>
      </c>
      <c r="T402">
        <f t="shared" si="34"/>
        <v>24000</v>
      </c>
    </row>
    <row r="403" spans="1:20" x14ac:dyDescent="0.35">
      <c r="A403" t="s">
        <v>416</v>
      </c>
      <c r="B403" t="s">
        <v>1516</v>
      </c>
      <c r="C403" t="s">
        <v>1817</v>
      </c>
      <c r="D403" t="s">
        <v>2883</v>
      </c>
      <c r="E403" t="s">
        <v>3671</v>
      </c>
      <c r="F403">
        <v>31</v>
      </c>
      <c r="G403" t="s">
        <v>3674</v>
      </c>
      <c r="H403" t="s">
        <v>3680</v>
      </c>
      <c r="I403" t="s">
        <v>3687</v>
      </c>
      <c r="J403" t="s">
        <v>3693</v>
      </c>
      <c r="K403" t="s">
        <v>3697</v>
      </c>
      <c r="L403">
        <v>3</v>
      </c>
      <c r="M403">
        <v>5000</v>
      </c>
      <c r="N403" t="s">
        <v>3701</v>
      </c>
      <c r="O403" t="s">
        <v>3705</v>
      </c>
      <c r="P403" s="2">
        <f t="shared" si="30"/>
        <v>45998</v>
      </c>
      <c r="Q403" t="str">
        <f t="shared" si="31"/>
        <v>Vivaan Handa</v>
      </c>
      <c r="R403" t="str">
        <f t="shared" si="32"/>
        <v>Pune</v>
      </c>
      <c r="S403" t="str">
        <f t="shared" si="33"/>
        <v>Maharashtra</v>
      </c>
      <c r="T403">
        <f t="shared" si="34"/>
        <v>15000</v>
      </c>
    </row>
    <row r="404" spans="1:20" x14ac:dyDescent="0.35">
      <c r="A404" t="s">
        <v>417</v>
      </c>
      <c r="B404" t="s">
        <v>1517</v>
      </c>
      <c r="C404" t="s">
        <v>2083</v>
      </c>
      <c r="D404" t="s">
        <v>2884</v>
      </c>
      <c r="E404" t="s">
        <v>3671</v>
      </c>
      <c r="F404">
        <v>45</v>
      </c>
      <c r="G404" t="s">
        <v>3675</v>
      </c>
      <c r="H404" t="s">
        <v>3681</v>
      </c>
      <c r="I404" t="s">
        <v>3685</v>
      </c>
      <c r="J404" t="s">
        <v>3692</v>
      </c>
      <c r="K404" t="s">
        <v>3695</v>
      </c>
      <c r="L404">
        <v>2</v>
      </c>
      <c r="M404">
        <v>12000</v>
      </c>
      <c r="N404" t="s">
        <v>3702</v>
      </c>
      <c r="O404" t="s">
        <v>3707</v>
      </c>
      <c r="P404" s="2">
        <f t="shared" si="30"/>
        <v>45777</v>
      </c>
      <c r="Q404" t="str">
        <f t="shared" si="31"/>
        <v>Kiaan Jain</v>
      </c>
      <c r="R404" t="str">
        <f t="shared" si="32"/>
        <v>Kolkata</v>
      </c>
      <c r="S404" t="str">
        <f t="shared" si="33"/>
        <v>West Bengal</v>
      </c>
      <c r="T404">
        <f t="shared" si="34"/>
        <v>24000</v>
      </c>
    </row>
    <row r="405" spans="1:20" x14ac:dyDescent="0.35">
      <c r="A405" t="s">
        <v>418</v>
      </c>
      <c r="B405" t="s">
        <v>1518</v>
      </c>
      <c r="C405" t="s">
        <v>2115</v>
      </c>
      <c r="D405" t="s">
        <v>2885</v>
      </c>
      <c r="E405" t="s">
        <v>3671</v>
      </c>
      <c r="F405">
        <v>49</v>
      </c>
      <c r="G405" t="s">
        <v>3676</v>
      </c>
      <c r="H405" t="s">
        <v>3682</v>
      </c>
      <c r="I405" t="s">
        <v>3690</v>
      </c>
      <c r="J405" t="s">
        <v>3693</v>
      </c>
      <c r="K405" t="s">
        <v>3700</v>
      </c>
      <c r="L405">
        <v>2</v>
      </c>
      <c r="M405">
        <v>72000</v>
      </c>
      <c r="N405" t="s">
        <v>3702</v>
      </c>
      <c r="O405" t="s">
        <v>3707</v>
      </c>
      <c r="P405" s="2">
        <f t="shared" si="30"/>
        <v>45961</v>
      </c>
      <c r="Q405" t="str">
        <f t="shared" si="31"/>
        <v>Arhaan Venkataraman</v>
      </c>
      <c r="R405" t="str">
        <f t="shared" si="32"/>
        <v>Chennai</v>
      </c>
      <c r="S405" t="str">
        <f t="shared" si="33"/>
        <v>Tamil Nadu</v>
      </c>
      <c r="T405">
        <f t="shared" si="34"/>
        <v>144000</v>
      </c>
    </row>
    <row r="406" spans="1:20" x14ac:dyDescent="0.35">
      <c r="A406" t="s">
        <v>419</v>
      </c>
      <c r="B406" t="s">
        <v>1519</v>
      </c>
      <c r="C406" t="s">
        <v>2068</v>
      </c>
      <c r="D406" t="s">
        <v>2886</v>
      </c>
      <c r="E406" t="s">
        <v>3672</v>
      </c>
      <c r="F406">
        <v>18</v>
      </c>
      <c r="G406" t="s">
        <v>3675</v>
      </c>
      <c r="H406" t="s">
        <v>3681</v>
      </c>
      <c r="I406" t="s">
        <v>3685</v>
      </c>
      <c r="J406" t="s">
        <v>3692</v>
      </c>
      <c r="K406" t="s">
        <v>3695</v>
      </c>
      <c r="L406">
        <v>4</v>
      </c>
      <c r="M406">
        <v>12000</v>
      </c>
      <c r="N406" t="s">
        <v>3702</v>
      </c>
      <c r="O406" t="s">
        <v>3707</v>
      </c>
      <c r="P406" s="2">
        <f t="shared" si="30"/>
        <v>45914</v>
      </c>
      <c r="Q406" t="str">
        <f t="shared" si="31"/>
        <v>Ayesha Dyal</v>
      </c>
      <c r="R406" t="str">
        <f t="shared" si="32"/>
        <v>Kolkata</v>
      </c>
      <c r="S406" t="str">
        <f t="shared" si="33"/>
        <v>West Bengal</v>
      </c>
      <c r="T406">
        <f t="shared" si="34"/>
        <v>48000</v>
      </c>
    </row>
    <row r="407" spans="1:20" x14ac:dyDescent="0.35">
      <c r="A407" t="s">
        <v>420</v>
      </c>
      <c r="B407" t="s">
        <v>1520</v>
      </c>
      <c r="C407" t="s">
        <v>2116</v>
      </c>
      <c r="D407" t="s">
        <v>2887</v>
      </c>
      <c r="E407" t="s">
        <v>3672</v>
      </c>
      <c r="F407">
        <v>47</v>
      </c>
      <c r="G407" t="s">
        <v>3679</v>
      </c>
      <c r="H407" t="s">
        <v>3684</v>
      </c>
      <c r="I407" t="s">
        <v>3689</v>
      </c>
      <c r="J407" t="s">
        <v>3694</v>
      </c>
      <c r="K407" t="s">
        <v>3699</v>
      </c>
      <c r="L407">
        <v>2</v>
      </c>
      <c r="M407">
        <v>1800</v>
      </c>
      <c r="N407" t="s">
        <v>3701</v>
      </c>
      <c r="O407" t="s">
        <v>3705</v>
      </c>
      <c r="P407" s="2">
        <f t="shared" si="30"/>
        <v>45812</v>
      </c>
      <c r="Q407" t="str">
        <f t="shared" si="31"/>
        <v>Mamooty Krishna</v>
      </c>
      <c r="R407" t="str">
        <f t="shared" si="32"/>
        <v>Bengaluru</v>
      </c>
      <c r="S407" t="str">
        <f t="shared" si="33"/>
        <v>Karnataka</v>
      </c>
      <c r="T407">
        <f t="shared" si="34"/>
        <v>3600</v>
      </c>
    </row>
    <row r="408" spans="1:20" x14ac:dyDescent="0.35">
      <c r="A408" t="s">
        <v>421</v>
      </c>
      <c r="B408" t="s">
        <v>1489</v>
      </c>
      <c r="C408" t="s">
        <v>2117</v>
      </c>
      <c r="D408" t="s">
        <v>2888</v>
      </c>
      <c r="E408" t="s">
        <v>3672</v>
      </c>
      <c r="F408">
        <v>30</v>
      </c>
      <c r="G408" t="s">
        <v>3678</v>
      </c>
      <c r="H408" t="s">
        <v>3683</v>
      </c>
      <c r="I408" t="s">
        <v>3691</v>
      </c>
      <c r="J408" t="s">
        <v>3693</v>
      </c>
      <c r="K408" t="s">
        <v>3696</v>
      </c>
      <c r="L408">
        <v>3</v>
      </c>
      <c r="M408">
        <v>58000</v>
      </c>
      <c r="N408" t="s">
        <v>3702</v>
      </c>
      <c r="O408" t="s">
        <v>3707</v>
      </c>
      <c r="P408" s="2">
        <f t="shared" si="30"/>
        <v>45815</v>
      </c>
      <c r="Q408" t="str">
        <f t="shared" si="31"/>
        <v>Saira Koshy</v>
      </c>
      <c r="R408" t="str">
        <f t="shared" si="32"/>
        <v>Hyderabad</v>
      </c>
      <c r="S408" t="str">
        <f t="shared" si="33"/>
        <v>Telangana</v>
      </c>
      <c r="T408">
        <f t="shared" si="34"/>
        <v>174000</v>
      </c>
    </row>
    <row r="409" spans="1:20" x14ac:dyDescent="0.35">
      <c r="A409" t="s">
        <v>422</v>
      </c>
      <c r="B409" t="s">
        <v>1521</v>
      </c>
      <c r="C409" t="s">
        <v>2118</v>
      </c>
      <c r="D409" t="s">
        <v>2889</v>
      </c>
      <c r="E409" t="s">
        <v>3671</v>
      </c>
      <c r="F409">
        <v>31</v>
      </c>
      <c r="G409" t="s">
        <v>3677</v>
      </c>
      <c r="H409" t="s">
        <v>3680</v>
      </c>
      <c r="I409" t="s">
        <v>3687</v>
      </c>
      <c r="J409" t="s">
        <v>3693</v>
      </c>
      <c r="K409" t="s">
        <v>3697</v>
      </c>
      <c r="L409">
        <v>4</v>
      </c>
      <c r="M409">
        <v>5000</v>
      </c>
      <c r="N409" t="s">
        <v>3702</v>
      </c>
      <c r="O409" t="s">
        <v>3706</v>
      </c>
      <c r="P409" s="2">
        <f t="shared" si="30"/>
        <v>45662</v>
      </c>
      <c r="Q409" t="str">
        <f t="shared" si="31"/>
        <v>Kabir Kala</v>
      </c>
      <c r="R409" t="str">
        <f t="shared" si="32"/>
        <v>Mumbai</v>
      </c>
      <c r="S409" t="str">
        <f t="shared" si="33"/>
        <v>Maharashtra</v>
      </c>
      <c r="T409">
        <f t="shared" si="34"/>
        <v>20000</v>
      </c>
    </row>
    <row r="410" spans="1:20" x14ac:dyDescent="0.35">
      <c r="A410" t="s">
        <v>423</v>
      </c>
      <c r="B410" t="s">
        <v>1522</v>
      </c>
      <c r="C410" t="s">
        <v>2119</v>
      </c>
      <c r="D410" t="s">
        <v>2890</v>
      </c>
      <c r="E410" t="s">
        <v>3672</v>
      </c>
      <c r="F410">
        <v>37</v>
      </c>
      <c r="G410" t="s">
        <v>3673</v>
      </c>
      <c r="H410" t="s">
        <v>3673</v>
      </c>
      <c r="I410" t="s">
        <v>3691</v>
      </c>
      <c r="J410" t="s">
        <v>3693</v>
      </c>
      <c r="K410" t="s">
        <v>3696</v>
      </c>
      <c r="L410">
        <v>3</v>
      </c>
      <c r="M410">
        <v>58000</v>
      </c>
      <c r="N410" t="s">
        <v>3702</v>
      </c>
      <c r="O410" t="s">
        <v>3707</v>
      </c>
      <c r="P410" s="2">
        <f t="shared" si="30"/>
        <v>45781</v>
      </c>
      <c r="Q410" t="str">
        <f t="shared" si="31"/>
        <v>Vedika Reddy</v>
      </c>
      <c r="R410" t="str">
        <f t="shared" si="32"/>
        <v>Delhi</v>
      </c>
      <c r="S410" t="str">
        <f t="shared" si="33"/>
        <v>Delhi</v>
      </c>
      <c r="T410">
        <f t="shared" si="34"/>
        <v>174000</v>
      </c>
    </row>
    <row r="411" spans="1:20" x14ac:dyDescent="0.35">
      <c r="A411" t="s">
        <v>424</v>
      </c>
      <c r="B411" t="s">
        <v>1523</v>
      </c>
      <c r="C411" t="s">
        <v>1885</v>
      </c>
      <c r="D411" t="s">
        <v>2891</v>
      </c>
      <c r="E411" t="s">
        <v>3671</v>
      </c>
      <c r="F411">
        <v>56</v>
      </c>
      <c r="G411" t="s">
        <v>3677</v>
      </c>
      <c r="H411" t="s">
        <v>3680</v>
      </c>
      <c r="I411" t="s">
        <v>3691</v>
      </c>
      <c r="J411" t="s">
        <v>3693</v>
      </c>
      <c r="K411" t="s">
        <v>3696</v>
      </c>
      <c r="L411">
        <v>1</v>
      </c>
      <c r="M411">
        <v>58000</v>
      </c>
      <c r="N411" t="s">
        <v>3703</v>
      </c>
      <c r="O411" t="s">
        <v>3706</v>
      </c>
      <c r="P411" s="2">
        <f t="shared" si="30"/>
        <v>45910</v>
      </c>
      <c r="Q411" t="str">
        <f t="shared" si="31"/>
        <v>Tushar Sandal</v>
      </c>
      <c r="R411" t="str">
        <f t="shared" si="32"/>
        <v>Mumbai</v>
      </c>
      <c r="S411" t="str">
        <f t="shared" si="33"/>
        <v>Maharashtra</v>
      </c>
      <c r="T411">
        <f t="shared" si="34"/>
        <v>58000</v>
      </c>
    </row>
    <row r="412" spans="1:20" x14ac:dyDescent="0.35">
      <c r="A412" t="s">
        <v>425</v>
      </c>
      <c r="B412" t="s">
        <v>1524</v>
      </c>
      <c r="C412" t="s">
        <v>2120</v>
      </c>
      <c r="D412" t="s">
        <v>2892</v>
      </c>
      <c r="E412" t="s">
        <v>3672</v>
      </c>
      <c r="F412">
        <v>53</v>
      </c>
      <c r="G412" t="s">
        <v>3678</v>
      </c>
      <c r="H412" t="s">
        <v>3683</v>
      </c>
      <c r="I412" t="s">
        <v>3688</v>
      </c>
      <c r="J412" t="s">
        <v>3694</v>
      </c>
      <c r="K412" t="s">
        <v>3698</v>
      </c>
      <c r="L412">
        <v>5</v>
      </c>
      <c r="M412">
        <v>4500</v>
      </c>
      <c r="N412" t="s">
        <v>3703</v>
      </c>
      <c r="O412" t="s">
        <v>3706</v>
      </c>
      <c r="P412" s="2">
        <f t="shared" si="30"/>
        <v>45893</v>
      </c>
      <c r="Q412" t="str">
        <f t="shared" si="31"/>
        <v>Kavya Badami</v>
      </c>
      <c r="R412" t="str">
        <f t="shared" si="32"/>
        <v>Hyderabad</v>
      </c>
      <c r="S412" t="str">
        <f t="shared" si="33"/>
        <v>Telangana</v>
      </c>
      <c r="T412">
        <f t="shared" si="34"/>
        <v>22500</v>
      </c>
    </row>
    <row r="413" spans="1:20" x14ac:dyDescent="0.35">
      <c r="A413" t="s">
        <v>426</v>
      </c>
      <c r="B413" t="s">
        <v>1493</v>
      </c>
      <c r="C413" t="s">
        <v>2121</v>
      </c>
      <c r="D413" t="s">
        <v>2893</v>
      </c>
      <c r="E413" t="s">
        <v>3671</v>
      </c>
      <c r="F413">
        <v>53</v>
      </c>
      <c r="G413" t="s">
        <v>3677</v>
      </c>
      <c r="H413" t="s">
        <v>3680</v>
      </c>
      <c r="I413" t="s">
        <v>3687</v>
      </c>
      <c r="J413" t="s">
        <v>3693</v>
      </c>
      <c r="K413" t="s">
        <v>3697</v>
      </c>
      <c r="L413">
        <v>5</v>
      </c>
      <c r="M413">
        <v>5000</v>
      </c>
      <c r="N413" t="s">
        <v>3701</v>
      </c>
      <c r="O413" t="s">
        <v>3706</v>
      </c>
      <c r="P413" s="2">
        <f t="shared" si="30"/>
        <v>45663</v>
      </c>
      <c r="Q413" t="str">
        <f t="shared" si="31"/>
        <v>Hiran Ganesan</v>
      </c>
      <c r="R413" t="str">
        <f t="shared" si="32"/>
        <v>Mumbai</v>
      </c>
      <c r="S413" t="str">
        <f t="shared" si="33"/>
        <v>Maharashtra</v>
      </c>
      <c r="T413">
        <f t="shared" si="34"/>
        <v>25000</v>
      </c>
    </row>
    <row r="414" spans="1:20" x14ac:dyDescent="0.35">
      <c r="A414" t="s">
        <v>427</v>
      </c>
      <c r="B414" t="s">
        <v>1525</v>
      </c>
      <c r="C414" t="s">
        <v>1846</v>
      </c>
      <c r="D414" t="s">
        <v>2894</v>
      </c>
      <c r="E414" t="s">
        <v>3672</v>
      </c>
      <c r="F414">
        <v>60</v>
      </c>
      <c r="G414" t="s">
        <v>3674</v>
      </c>
      <c r="H414" t="s">
        <v>3680</v>
      </c>
      <c r="I414" t="s">
        <v>3690</v>
      </c>
      <c r="J414" t="s">
        <v>3693</v>
      </c>
      <c r="K414" t="s">
        <v>3700</v>
      </c>
      <c r="L414">
        <v>4</v>
      </c>
      <c r="M414">
        <v>72000</v>
      </c>
      <c r="N414" t="s">
        <v>3701</v>
      </c>
      <c r="O414" t="s">
        <v>3706</v>
      </c>
      <c r="P414" s="2">
        <f t="shared" si="30"/>
        <v>45803</v>
      </c>
      <c r="Q414" t="str">
        <f t="shared" si="31"/>
        <v>Lakshay Chakrabarti</v>
      </c>
      <c r="R414" t="str">
        <f t="shared" si="32"/>
        <v>Pune</v>
      </c>
      <c r="S414" t="str">
        <f t="shared" si="33"/>
        <v>Maharashtra</v>
      </c>
      <c r="T414">
        <f t="shared" si="34"/>
        <v>288000</v>
      </c>
    </row>
    <row r="415" spans="1:20" x14ac:dyDescent="0.35">
      <c r="A415" t="s">
        <v>428</v>
      </c>
      <c r="B415" t="s">
        <v>1501</v>
      </c>
      <c r="C415" t="s">
        <v>2122</v>
      </c>
      <c r="D415" t="s">
        <v>2895</v>
      </c>
      <c r="E415" t="s">
        <v>3671</v>
      </c>
      <c r="F415">
        <v>53</v>
      </c>
      <c r="G415" t="s">
        <v>3677</v>
      </c>
      <c r="H415" t="s">
        <v>3680</v>
      </c>
      <c r="I415" t="s">
        <v>3687</v>
      </c>
      <c r="J415" t="s">
        <v>3693</v>
      </c>
      <c r="K415" t="s">
        <v>3697</v>
      </c>
      <c r="L415">
        <v>4</v>
      </c>
      <c r="M415">
        <v>5000</v>
      </c>
      <c r="N415" t="s">
        <v>3703</v>
      </c>
      <c r="O415" t="s">
        <v>3706</v>
      </c>
      <c r="P415" s="2">
        <f t="shared" si="30"/>
        <v>45666</v>
      </c>
      <c r="Q415" t="str">
        <f t="shared" si="31"/>
        <v>Diya Varty</v>
      </c>
      <c r="R415" t="str">
        <f t="shared" si="32"/>
        <v>Mumbai</v>
      </c>
      <c r="S415" t="str">
        <f t="shared" si="33"/>
        <v>Maharashtra</v>
      </c>
      <c r="T415">
        <f t="shared" si="34"/>
        <v>20000</v>
      </c>
    </row>
    <row r="416" spans="1:20" x14ac:dyDescent="0.35">
      <c r="A416" t="s">
        <v>429</v>
      </c>
      <c r="B416" t="s">
        <v>1332</v>
      </c>
      <c r="C416" t="s">
        <v>1840</v>
      </c>
      <c r="D416" t="s">
        <v>2896</v>
      </c>
      <c r="E416" t="s">
        <v>3671</v>
      </c>
      <c r="F416">
        <v>28</v>
      </c>
      <c r="G416" t="s">
        <v>3677</v>
      </c>
      <c r="H416" t="s">
        <v>3680</v>
      </c>
      <c r="I416" t="s">
        <v>3687</v>
      </c>
      <c r="J416" t="s">
        <v>3693</v>
      </c>
      <c r="K416" t="s">
        <v>3697</v>
      </c>
      <c r="L416">
        <v>5</v>
      </c>
      <c r="M416">
        <v>5000</v>
      </c>
      <c r="N416" t="s">
        <v>3703</v>
      </c>
      <c r="O416" t="s">
        <v>3706</v>
      </c>
      <c r="P416" s="2">
        <f t="shared" si="30"/>
        <v>45699</v>
      </c>
      <c r="Q416" t="str">
        <f t="shared" si="31"/>
        <v>Prerak Ben</v>
      </c>
      <c r="R416" t="str">
        <f t="shared" si="32"/>
        <v>Mumbai</v>
      </c>
      <c r="S416" t="str">
        <f t="shared" si="33"/>
        <v>Maharashtra</v>
      </c>
      <c r="T416">
        <f t="shared" si="34"/>
        <v>25000</v>
      </c>
    </row>
    <row r="417" spans="1:20" x14ac:dyDescent="0.35">
      <c r="A417" t="s">
        <v>430</v>
      </c>
      <c r="B417" t="s">
        <v>1526</v>
      </c>
      <c r="C417" t="s">
        <v>2123</v>
      </c>
      <c r="D417" t="s">
        <v>2897</v>
      </c>
      <c r="E417" t="s">
        <v>3671</v>
      </c>
      <c r="F417">
        <v>44</v>
      </c>
      <c r="G417" t="s">
        <v>3676</v>
      </c>
      <c r="H417" t="s">
        <v>3682</v>
      </c>
      <c r="I417" t="s">
        <v>3686</v>
      </c>
      <c r="J417" t="s">
        <v>3693</v>
      </c>
      <c r="K417" t="s">
        <v>3696</v>
      </c>
      <c r="L417">
        <v>2</v>
      </c>
      <c r="M417">
        <v>65000</v>
      </c>
      <c r="N417" t="s">
        <v>3703</v>
      </c>
      <c r="O417" t="s">
        <v>3706</v>
      </c>
      <c r="P417" s="2">
        <f t="shared" si="30"/>
        <v>45731</v>
      </c>
      <c r="Q417" t="str">
        <f t="shared" si="31"/>
        <v>Jhanvi Kala</v>
      </c>
      <c r="R417" t="str">
        <f t="shared" si="32"/>
        <v>Chennai</v>
      </c>
      <c r="S417" t="str">
        <f t="shared" si="33"/>
        <v>Tamil Nadu</v>
      </c>
      <c r="T417">
        <f t="shared" si="34"/>
        <v>130000</v>
      </c>
    </row>
    <row r="418" spans="1:20" x14ac:dyDescent="0.35">
      <c r="A418" t="s">
        <v>431</v>
      </c>
      <c r="B418" t="s">
        <v>1323</v>
      </c>
      <c r="C418" t="s">
        <v>2124</v>
      </c>
      <c r="D418" t="s">
        <v>2898</v>
      </c>
      <c r="E418" t="s">
        <v>3671</v>
      </c>
      <c r="F418">
        <v>32</v>
      </c>
      <c r="G418" t="s">
        <v>3679</v>
      </c>
      <c r="H418" t="s">
        <v>3684</v>
      </c>
      <c r="I418" t="s">
        <v>3687</v>
      </c>
      <c r="J418" t="s">
        <v>3693</v>
      </c>
      <c r="K418" t="s">
        <v>3697</v>
      </c>
      <c r="L418">
        <v>1</v>
      </c>
      <c r="M418">
        <v>5000</v>
      </c>
      <c r="N418" t="s">
        <v>3701</v>
      </c>
      <c r="O418" t="s">
        <v>3705</v>
      </c>
      <c r="P418" s="2">
        <f t="shared" si="30"/>
        <v>45714</v>
      </c>
      <c r="Q418" t="str">
        <f t="shared" si="31"/>
        <v>Divij Rastogi</v>
      </c>
      <c r="R418" t="str">
        <f t="shared" si="32"/>
        <v>Bengaluru</v>
      </c>
      <c r="S418" t="str">
        <f t="shared" si="33"/>
        <v>Karnataka</v>
      </c>
      <c r="T418">
        <f t="shared" si="34"/>
        <v>5000</v>
      </c>
    </row>
    <row r="419" spans="1:20" x14ac:dyDescent="0.35">
      <c r="A419" t="s">
        <v>432</v>
      </c>
      <c r="B419" t="s">
        <v>1527</v>
      </c>
      <c r="C419" t="s">
        <v>1937</v>
      </c>
      <c r="D419" t="s">
        <v>2899</v>
      </c>
      <c r="E419" t="s">
        <v>3671</v>
      </c>
      <c r="F419">
        <v>47</v>
      </c>
      <c r="G419" t="s">
        <v>3678</v>
      </c>
      <c r="H419" t="s">
        <v>3683</v>
      </c>
      <c r="I419" t="s">
        <v>3687</v>
      </c>
      <c r="J419" t="s">
        <v>3693</v>
      </c>
      <c r="K419" t="s">
        <v>3697</v>
      </c>
      <c r="L419">
        <v>3</v>
      </c>
      <c r="M419">
        <v>5000</v>
      </c>
      <c r="N419" t="s">
        <v>3702</v>
      </c>
      <c r="O419" t="s">
        <v>3706</v>
      </c>
      <c r="P419" s="2">
        <f t="shared" si="30"/>
        <v>45912</v>
      </c>
      <c r="Q419" t="str">
        <f t="shared" si="31"/>
        <v>Jayan Sarkar</v>
      </c>
      <c r="R419" t="str">
        <f t="shared" si="32"/>
        <v>Hyderabad</v>
      </c>
      <c r="S419" t="str">
        <f t="shared" si="33"/>
        <v>Telangana</v>
      </c>
      <c r="T419">
        <f t="shared" si="34"/>
        <v>15000</v>
      </c>
    </row>
    <row r="420" spans="1:20" x14ac:dyDescent="0.35">
      <c r="A420" t="s">
        <v>433</v>
      </c>
      <c r="B420" t="s">
        <v>1270</v>
      </c>
      <c r="C420" t="s">
        <v>2012</v>
      </c>
      <c r="D420" t="s">
        <v>2900</v>
      </c>
      <c r="E420" t="s">
        <v>3671</v>
      </c>
      <c r="F420">
        <v>41</v>
      </c>
      <c r="G420" t="s">
        <v>3674</v>
      </c>
      <c r="H420" t="s">
        <v>3680</v>
      </c>
      <c r="I420" t="s">
        <v>3686</v>
      </c>
      <c r="J420" t="s">
        <v>3693</v>
      </c>
      <c r="K420" t="s">
        <v>3696</v>
      </c>
      <c r="L420">
        <v>3</v>
      </c>
      <c r="M420">
        <v>65000</v>
      </c>
      <c r="N420" t="s">
        <v>3703</v>
      </c>
      <c r="O420" t="s">
        <v>3707</v>
      </c>
      <c r="P420" s="2">
        <f t="shared" si="30"/>
        <v>45848</v>
      </c>
      <c r="Q420" t="str">
        <f t="shared" si="31"/>
        <v>Taran Kar</v>
      </c>
      <c r="R420" t="str">
        <f t="shared" si="32"/>
        <v>Pune</v>
      </c>
      <c r="S420" t="str">
        <f t="shared" si="33"/>
        <v>Maharashtra</v>
      </c>
      <c r="T420">
        <f t="shared" si="34"/>
        <v>195000</v>
      </c>
    </row>
    <row r="421" spans="1:20" x14ac:dyDescent="0.35">
      <c r="A421" t="s">
        <v>434</v>
      </c>
      <c r="B421" t="s">
        <v>1319</v>
      </c>
      <c r="C421" t="s">
        <v>2074</v>
      </c>
      <c r="D421" t="s">
        <v>2901</v>
      </c>
      <c r="E421" t="s">
        <v>3672</v>
      </c>
      <c r="F421">
        <v>27</v>
      </c>
      <c r="G421" t="s">
        <v>3678</v>
      </c>
      <c r="H421" t="s">
        <v>3683</v>
      </c>
      <c r="I421" t="s">
        <v>3690</v>
      </c>
      <c r="J421" t="s">
        <v>3693</v>
      </c>
      <c r="K421" t="s">
        <v>3700</v>
      </c>
      <c r="L421">
        <v>3</v>
      </c>
      <c r="M421">
        <v>72000</v>
      </c>
      <c r="N421" t="s">
        <v>3704</v>
      </c>
      <c r="O421" t="s">
        <v>3705</v>
      </c>
      <c r="P421" s="2">
        <f t="shared" si="30"/>
        <v>45675</v>
      </c>
      <c r="Q421" t="str">
        <f t="shared" si="31"/>
        <v>Shalv Mandal</v>
      </c>
      <c r="R421" t="str">
        <f t="shared" si="32"/>
        <v>Hyderabad</v>
      </c>
      <c r="S421" t="str">
        <f t="shared" si="33"/>
        <v>Telangana</v>
      </c>
      <c r="T421">
        <f t="shared" si="34"/>
        <v>216000</v>
      </c>
    </row>
    <row r="422" spans="1:20" x14ac:dyDescent="0.35">
      <c r="A422" t="s">
        <v>435</v>
      </c>
      <c r="B422" t="s">
        <v>1528</v>
      </c>
      <c r="C422" t="s">
        <v>2055</v>
      </c>
      <c r="D422" t="s">
        <v>2902</v>
      </c>
      <c r="E422" t="s">
        <v>3671</v>
      </c>
      <c r="F422">
        <v>51</v>
      </c>
      <c r="G422" t="s">
        <v>3676</v>
      </c>
      <c r="H422" t="s">
        <v>3682</v>
      </c>
      <c r="I422" t="s">
        <v>3691</v>
      </c>
      <c r="J422" t="s">
        <v>3693</v>
      </c>
      <c r="K422" t="s">
        <v>3696</v>
      </c>
      <c r="L422">
        <v>4</v>
      </c>
      <c r="M422">
        <v>58000</v>
      </c>
      <c r="N422" t="s">
        <v>3703</v>
      </c>
      <c r="O422" t="s">
        <v>3706</v>
      </c>
      <c r="P422" s="2">
        <f t="shared" si="30"/>
        <v>45797</v>
      </c>
      <c r="Q422" t="str">
        <f t="shared" si="31"/>
        <v>Kavya Kapoor</v>
      </c>
      <c r="R422" t="str">
        <f t="shared" si="32"/>
        <v>Chennai</v>
      </c>
      <c r="S422" t="str">
        <f t="shared" si="33"/>
        <v>Tamil Nadu</v>
      </c>
      <c r="T422">
        <f t="shared" si="34"/>
        <v>232000</v>
      </c>
    </row>
    <row r="423" spans="1:20" x14ac:dyDescent="0.35">
      <c r="A423" t="s">
        <v>436</v>
      </c>
      <c r="B423" t="s">
        <v>1388</v>
      </c>
      <c r="C423" t="s">
        <v>2040</v>
      </c>
      <c r="D423" t="s">
        <v>2903</v>
      </c>
      <c r="E423" t="s">
        <v>3672</v>
      </c>
      <c r="F423">
        <v>54</v>
      </c>
      <c r="G423" t="s">
        <v>3674</v>
      </c>
      <c r="H423" t="s">
        <v>3680</v>
      </c>
      <c r="I423" t="s">
        <v>3686</v>
      </c>
      <c r="J423" t="s">
        <v>3693</v>
      </c>
      <c r="K423" t="s">
        <v>3696</v>
      </c>
      <c r="L423">
        <v>1</v>
      </c>
      <c r="M423">
        <v>65000</v>
      </c>
      <c r="N423" t="s">
        <v>3701</v>
      </c>
      <c r="O423" t="s">
        <v>3706</v>
      </c>
      <c r="P423" s="2">
        <f t="shared" si="30"/>
        <v>45800</v>
      </c>
      <c r="Q423" t="str">
        <f t="shared" si="31"/>
        <v>Pari Sarkar</v>
      </c>
      <c r="R423" t="str">
        <f t="shared" si="32"/>
        <v>Pune</v>
      </c>
      <c r="S423" t="str">
        <f t="shared" si="33"/>
        <v>Maharashtra</v>
      </c>
      <c r="T423">
        <f t="shared" si="34"/>
        <v>65000</v>
      </c>
    </row>
    <row r="424" spans="1:20" x14ac:dyDescent="0.35">
      <c r="A424" t="s">
        <v>437</v>
      </c>
      <c r="B424" t="s">
        <v>1486</v>
      </c>
      <c r="C424" t="s">
        <v>1894</v>
      </c>
      <c r="D424" t="s">
        <v>2904</v>
      </c>
      <c r="E424" t="s">
        <v>3672</v>
      </c>
      <c r="F424">
        <v>53</v>
      </c>
      <c r="G424" t="s">
        <v>3677</v>
      </c>
      <c r="H424" t="s">
        <v>3680</v>
      </c>
      <c r="I424" t="s">
        <v>3691</v>
      </c>
      <c r="J424" t="s">
        <v>3693</v>
      </c>
      <c r="K424" t="s">
        <v>3696</v>
      </c>
      <c r="L424">
        <v>5</v>
      </c>
      <c r="M424">
        <v>58000</v>
      </c>
      <c r="N424" t="s">
        <v>3704</v>
      </c>
      <c r="O424" t="s">
        <v>3705</v>
      </c>
      <c r="P424" s="2">
        <f t="shared" si="30"/>
        <v>45906</v>
      </c>
      <c r="Q424" t="str">
        <f t="shared" si="31"/>
        <v>Kaira Dayal</v>
      </c>
      <c r="R424" t="str">
        <f t="shared" si="32"/>
        <v>Mumbai</v>
      </c>
      <c r="S424" t="str">
        <f t="shared" si="33"/>
        <v>Maharashtra</v>
      </c>
      <c r="T424">
        <f t="shared" si="34"/>
        <v>290000</v>
      </c>
    </row>
    <row r="425" spans="1:20" x14ac:dyDescent="0.35">
      <c r="A425" t="s">
        <v>438</v>
      </c>
      <c r="B425" t="s">
        <v>1529</v>
      </c>
      <c r="C425" t="s">
        <v>2125</v>
      </c>
      <c r="D425" t="s">
        <v>2905</v>
      </c>
      <c r="E425" t="s">
        <v>3671</v>
      </c>
      <c r="F425">
        <v>52</v>
      </c>
      <c r="G425" t="s">
        <v>3675</v>
      </c>
      <c r="H425" t="s">
        <v>3681</v>
      </c>
      <c r="I425" t="s">
        <v>3687</v>
      </c>
      <c r="J425" t="s">
        <v>3693</v>
      </c>
      <c r="K425" t="s">
        <v>3697</v>
      </c>
      <c r="L425">
        <v>2</v>
      </c>
      <c r="M425">
        <v>5000</v>
      </c>
      <c r="N425" t="s">
        <v>3703</v>
      </c>
      <c r="O425" t="s">
        <v>3707</v>
      </c>
      <c r="P425" s="2">
        <f t="shared" si="30"/>
        <v>46022</v>
      </c>
      <c r="Q425" t="str">
        <f t="shared" si="31"/>
        <v>Zain Soman</v>
      </c>
      <c r="R425" t="str">
        <f t="shared" si="32"/>
        <v>Kolkata</v>
      </c>
      <c r="S425" t="str">
        <f t="shared" si="33"/>
        <v>West Bengal</v>
      </c>
      <c r="T425">
        <f t="shared" si="34"/>
        <v>10000</v>
      </c>
    </row>
    <row r="426" spans="1:20" x14ac:dyDescent="0.35">
      <c r="A426" t="s">
        <v>439</v>
      </c>
      <c r="B426" t="s">
        <v>1530</v>
      </c>
      <c r="C426" t="s">
        <v>2126</v>
      </c>
      <c r="D426" t="s">
        <v>2906</v>
      </c>
      <c r="E426" t="s">
        <v>3671</v>
      </c>
      <c r="F426">
        <v>56</v>
      </c>
      <c r="G426" t="s">
        <v>3678</v>
      </c>
      <c r="H426" t="s">
        <v>3683</v>
      </c>
      <c r="I426" t="s">
        <v>3686</v>
      </c>
      <c r="J426" t="s">
        <v>3693</v>
      </c>
      <c r="K426" t="s">
        <v>3696</v>
      </c>
      <c r="L426">
        <v>3</v>
      </c>
      <c r="M426">
        <v>65000</v>
      </c>
      <c r="N426" t="s">
        <v>3704</v>
      </c>
      <c r="O426" t="s">
        <v>3707</v>
      </c>
      <c r="P426" s="2">
        <f t="shared" si="30"/>
        <v>45809</v>
      </c>
      <c r="Q426" t="str">
        <f t="shared" si="31"/>
        <v>Samar Trivedi</v>
      </c>
      <c r="R426" t="str">
        <f t="shared" si="32"/>
        <v>Hyderabad</v>
      </c>
      <c r="S426" t="str">
        <f t="shared" si="33"/>
        <v>Telangana</v>
      </c>
      <c r="T426">
        <f t="shared" si="34"/>
        <v>195000</v>
      </c>
    </row>
    <row r="427" spans="1:20" x14ac:dyDescent="0.35">
      <c r="A427" t="s">
        <v>440</v>
      </c>
      <c r="B427" t="s">
        <v>1426</v>
      </c>
      <c r="C427" t="s">
        <v>1812</v>
      </c>
      <c r="D427" t="s">
        <v>2907</v>
      </c>
      <c r="E427" t="s">
        <v>3672</v>
      </c>
      <c r="F427">
        <v>34</v>
      </c>
      <c r="G427" t="s">
        <v>3674</v>
      </c>
      <c r="H427" t="s">
        <v>3680</v>
      </c>
      <c r="I427" t="s">
        <v>3690</v>
      </c>
      <c r="J427" t="s">
        <v>3693</v>
      </c>
      <c r="K427" t="s">
        <v>3700</v>
      </c>
      <c r="L427">
        <v>1</v>
      </c>
      <c r="M427">
        <v>72000</v>
      </c>
      <c r="N427" t="s">
        <v>3701</v>
      </c>
      <c r="O427" t="s">
        <v>3705</v>
      </c>
      <c r="P427" s="2">
        <f t="shared" si="30"/>
        <v>45909</v>
      </c>
      <c r="Q427" t="str">
        <f t="shared" si="31"/>
        <v>Lakshay Hari</v>
      </c>
      <c r="R427" t="str">
        <f t="shared" si="32"/>
        <v>Pune</v>
      </c>
      <c r="S427" t="str">
        <f t="shared" si="33"/>
        <v>Maharashtra</v>
      </c>
      <c r="T427">
        <f t="shared" si="34"/>
        <v>72000</v>
      </c>
    </row>
    <row r="428" spans="1:20" x14ac:dyDescent="0.35">
      <c r="A428" t="s">
        <v>441</v>
      </c>
      <c r="B428" t="s">
        <v>1299</v>
      </c>
      <c r="C428" t="s">
        <v>2127</v>
      </c>
      <c r="D428" t="s">
        <v>2908</v>
      </c>
      <c r="E428" t="s">
        <v>3671</v>
      </c>
      <c r="F428">
        <v>56</v>
      </c>
      <c r="G428" t="s">
        <v>3673</v>
      </c>
      <c r="H428" t="s">
        <v>3673</v>
      </c>
      <c r="I428" t="s">
        <v>3689</v>
      </c>
      <c r="J428" t="s">
        <v>3694</v>
      </c>
      <c r="K428" t="s">
        <v>3699</v>
      </c>
      <c r="L428">
        <v>1</v>
      </c>
      <c r="M428">
        <v>1800</v>
      </c>
      <c r="N428" t="s">
        <v>3702</v>
      </c>
      <c r="O428" t="s">
        <v>3706</v>
      </c>
      <c r="P428" s="2">
        <f t="shared" si="30"/>
        <v>45705</v>
      </c>
      <c r="Q428" t="str">
        <f t="shared" si="31"/>
        <v>Pihu Gera</v>
      </c>
      <c r="R428" t="str">
        <f t="shared" si="32"/>
        <v>Delhi</v>
      </c>
      <c r="S428" t="str">
        <f t="shared" si="33"/>
        <v>Delhi</v>
      </c>
      <c r="T428">
        <f t="shared" si="34"/>
        <v>1800</v>
      </c>
    </row>
    <row r="429" spans="1:20" x14ac:dyDescent="0.35">
      <c r="A429" t="s">
        <v>442</v>
      </c>
      <c r="B429" t="s">
        <v>1531</v>
      </c>
      <c r="C429" t="s">
        <v>2073</v>
      </c>
      <c r="D429" t="s">
        <v>2909</v>
      </c>
      <c r="E429" t="s">
        <v>3671</v>
      </c>
      <c r="F429">
        <v>55</v>
      </c>
      <c r="G429" t="s">
        <v>3674</v>
      </c>
      <c r="H429" t="s">
        <v>3680</v>
      </c>
      <c r="I429" t="s">
        <v>3686</v>
      </c>
      <c r="J429" t="s">
        <v>3693</v>
      </c>
      <c r="K429" t="s">
        <v>3696</v>
      </c>
      <c r="L429">
        <v>1</v>
      </c>
      <c r="M429">
        <v>65000</v>
      </c>
      <c r="N429" t="s">
        <v>3701</v>
      </c>
      <c r="O429" t="s">
        <v>3705</v>
      </c>
      <c r="P429" s="2">
        <f t="shared" si="30"/>
        <v>45795</v>
      </c>
      <c r="Q429" t="str">
        <f t="shared" si="31"/>
        <v>Umang Yohannan</v>
      </c>
      <c r="R429" t="str">
        <f t="shared" si="32"/>
        <v>Pune</v>
      </c>
      <c r="S429" t="str">
        <f t="shared" si="33"/>
        <v>Maharashtra</v>
      </c>
      <c r="T429">
        <f t="shared" si="34"/>
        <v>65000</v>
      </c>
    </row>
    <row r="430" spans="1:20" x14ac:dyDescent="0.35">
      <c r="A430" t="s">
        <v>443</v>
      </c>
      <c r="B430" t="s">
        <v>1359</v>
      </c>
      <c r="C430" t="s">
        <v>1810</v>
      </c>
      <c r="D430" t="s">
        <v>2910</v>
      </c>
      <c r="E430" t="s">
        <v>3671</v>
      </c>
      <c r="F430">
        <v>41</v>
      </c>
      <c r="G430" t="s">
        <v>3678</v>
      </c>
      <c r="H430" t="s">
        <v>3683</v>
      </c>
      <c r="I430" t="s">
        <v>3688</v>
      </c>
      <c r="J430" t="s">
        <v>3694</v>
      </c>
      <c r="K430" t="s">
        <v>3698</v>
      </c>
      <c r="L430">
        <v>3</v>
      </c>
      <c r="M430">
        <v>4500</v>
      </c>
      <c r="N430" t="s">
        <v>3704</v>
      </c>
      <c r="O430" t="s">
        <v>3705</v>
      </c>
      <c r="P430" s="2">
        <f t="shared" si="30"/>
        <v>45843</v>
      </c>
      <c r="Q430" t="str">
        <f t="shared" si="31"/>
        <v>Shanaya Kapoor</v>
      </c>
      <c r="R430" t="str">
        <f t="shared" si="32"/>
        <v>Hyderabad</v>
      </c>
      <c r="S430" t="str">
        <f t="shared" si="33"/>
        <v>Telangana</v>
      </c>
      <c r="T430">
        <f t="shared" si="34"/>
        <v>13500</v>
      </c>
    </row>
    <row r="431" spans="1:20" x14ac:dyDescent="0.35">
      <c r="A431" t="s">
        <v>444</v>
      </c>
      <c r="B431" t="s">
        <v>1396</v>
      </c>
      <c r="C431" t="s">
        <v>2035</v>
      </c>
      <c r="D431" t="s">
        <v>2911</v>
      </c>
      <c r="E431" t="s">
        <v>3671</v>
      </c>
      <c r="F431">
        <v>40</v>
      </c>
      <c r="G431" t="s">
        <v>3673</v>
      </c>
      <c r="H431" t="s">
        <v>3673</v>
      </c>
      <c r="I431" t="s">
        <v>3687</v>
      </c>
      <c r="J431" t="s">
        <v>3693</v>
      </c>
      <c r="K431" t="s">
        <v>3697</v>
      </c>
      <c r="L431">
        <v>2</v>
      </c>
      <c r="M431">
        <v>5000</v>
      </c>
      <c r="N431" t="s">
        <v>3703</v>
      </c>
      <c r="O431" t="s">
        <v>3705</v>
      </c>
      <c r="P431" s="2">
        <f t="shared" si="30"/>
        <v>46001</v>
      </c>
      <c r="Q431" t="str">
        <f t="shared" si="31"/>
        <v>Sara Chanda</v>
      </c>
      <c r="R431" t="str">
        <f t="shared" si="32"/>
        <v>Delhi</v>
      </c>
      <c r="S431" t="str">
        <f t="shared" si="33"/>
        <v>Delhi</v>
      </c>
      <c r="T431">
        <f t="shared" si="34"/>
        <v>10000</v>
      </c>
    </row>
    <row r="432" spans="1:20" x14ac:dyDescent="0.35">
      <c r="A432" t="s">
        <v>445</v>
      </c>
      <c r="B432" t="s">
        <v>1532</v>
      </c>
      <c r="C432" t="s">
        <v>2128</v>
      </c>
      <c r="D432" t="s">
        <v>2912</v>
      </c>
      <c r="E432" t="s">
        <v>3671</v>
      </c>
      <c r="F432">
        <v>59</v>
      </c>
      <c r="G432" t="s">
        <v>3677</v>
      </c>
      <c r="H432" t="s">
        <v>3680</v>
      </c>
      <c r="I432" t="s">
        <v>3685</v>
      </c>
      <c r="J432" t="s">
        <v>3692</v>
      </c>
      <c r="K432" t="s">
        <v>3695</v>
      </c>
      <c r="L432">
        <v>2</v>
      </c>
      <c r="M432">
        <v>12000</v>
      </c>
      <c r="N432" t="s">
        <v>3703</v>
      </c>
      <c r="O432" t="s">
        <v>3706</v>
      </c>
      <c r="P432" s="2">
        <f t="shared" si="30"/>
        <v>45969</v>
      </c>
      <c r="Q432" t="str">
        <f t="shared" si="31"/>
        <v>Nirvaan Tata</v>
      </c>
      <c r="R432" t="str">
        <f t="shared" si="32"/>
        <v>Mumbai</v>
      </c>
      <c r="S432" t="str">
        <f t="shared" si="33"/>
        <v>Maharashtra</v>
      </c>
      <c r="T432">
        <f t="shared" si="34"/>
        <v>24000</v>
      </c>
    </row>
    <row r="433" spans="1:20" x14ac:dyDescent="0.35">
      <c r="A433" t="s">
        <v>446</v>
      </c>
      <c r="B433" t="s">
        <v>1533</v>
      </c>
      <c r="C433" t="s">
        <v>2129</v>
      </c>
      <c r="D433" t="s">
        <v>2913</v>
      </c>
      <c r="E433" t="s">
        <v>3671</v>
      </c>
      <c r="F433">
        <v>49</v>
      </c>
      <c r="G433" t="s">
        <v>3674</v>
      </c>
      <c r="H433" t="s">
        <v>3680</v>
      </c>
      <c r="I433" t="s">
        <v>3689</v>
      </c>
      <c r="J433" t="s">
        <v>3694</v>
      </c>
      <c r="K433" t="s">
        <v>3699</v>
      </c>
      <c r="L433">
        <v>4</v>
      </c>
      <c r="M433">
        <v>1800</v>
      </c>
      <c r="N433" t="s">
        <v>3704</v>
      </c>
      <c r="O433" t="s">
        <v>3707</v>
      </c>
      <c r="P433" s="2">
        <f t="shared" si="30"/>
        <v>45999</v>
      </c>
      <c r="Q433" t="str">
        <f t="shared" si="31"/>
        <v>Yashvi Jayaraman</v>
      </c>
      <c r="R433" t="str">
        <f t="shared" si="32"/>
        <v>Pune</v>
      </c>
      <c r="S433" t="str">
        <f t="shared" si="33"/>
        <v>Maharashtra</v>
      </c>
      <c r="T433">
        <f t="shared" si="34"/>
        <v>7200</v>
      </c>
    </row>
    <row r="434" spans="1:20" x14ac:dyDescent="0.35">
      <c r="A434" t="s">
        <v>447</v>
      </c>
      <c r="B434" t="s">
        <v>1534</v>
      </c>
      <c r="C434" t="s">
        <v>2130</v>
      </c>
      <c r="D434" t="s">
        <v>2914</v>
      </c>
      <c r="E434" t="s">
        <v>3671</v>
      </c>
      <c r="F434">
        <v>49</v>
      </c>
      <c r="G434" t="s">
        <v>3676</v>
      </c>
      <c r="H434" t="s">
        <v>3682</v>
      </c>
      <c r="I434" t="s">
        <v>3690</v>
      </c>
      <c r="J434" t="s">
        <v>3693</v>
      </c>
      <c r="K434" t="s">
        <v>3700</v>
      </c>
      <c r="L434">
        <v>2</v>
      </c>
      <c r="M434">
        <v>72000</v>
      </c>
      <c r="N434" t="s">
        <v>3703</v>
      </c>
      <c r="O434" t="s">
        <v>3705</v>
      </c>
      <c r="P434" s="2">
        <f t="shared" si="30"/>
        <v>46000</v>
      </c>
      <c r="Q434" t="str">
        <f t="shared" si="31"/>
        <v>Anay Vora</v>
      </c>
      <c r="R434" t="str">
        <f t="shared" si="32"/>
        <v>Chennai</v>
      </c>
      <c r="S434" t="str">
        <f t="shared" si="33"/>
        <v>Tamil Nadu</v>
      </c>
      <c r="T434">
        <f t="shared" si="34"/>
        <v>144000</v>
      </c>
    </row>
    <row r="435" spans="1:20" x14ac:dyDescent="0.35">
      <c r="A435" t="s">
        <v>448</v>
      </c>
      <c r="B435" t="s">
        <v>1535</v>
      </c>
      <c r="C435" t="s">
        <v>2131</v>
      </c>
      <c r="D435" t="s">
        <v>2915</v>
      </c>
      <c r="E435" t="s">
        <v>3672</v>
      </c>
      <c r="F435">
        <v>45</v>
      </c>
      <c r="G435" t="s">
        <v>3677</v>
      </c>
      <c r="H435" t="s">
        <v>3680</v>
      </c>
      <c r="I435" t="s">
        <v>3691</v>
      </c>
      <c r="J435" t="s">
        <v>3693</v>
      </c>
      <c r="K435" t="s">
        <v>3696</v>
      </c>
      <c r="L435">
        <v>3</v>
      </c>
      <c r="M435">
        <v>58000</v>
      </c>
      <c r="N435" t="s">
        <v>3701</v>
      </c>
      <c r="O435" t="s">
        <v>3707</v>
      </c>
      <c r="P435" s="2">
        <f t="shared" si="30"/>
        <v>45904</v>
      </c>
      <c r="Q435" t="str">
        <f t="shared" si="31"/>
        <v>Eva Tank</v>
      </c>
      <c r="R435" t="str">
        <f t="shared" si="32"/>
        <v>Mumbai</v>
      </c>
      <c r="S435" t="str">
        <f t="shared" si="33"/>
        <v>Maharashtra</v>
      </c>
      <c r="T435">
        <f t="shared" si="34"/>
        <v>174000</v>
      </c>
    </row>
    <row r="436" spans="1:20" x14ac:dyDescent="0.35">
      <c r="A436" t="s">
        <v>449</v>
      </c>
      <c r="B436" t="s">
        <v>1536</v>
      </c>
      <c r="C436" t="s">
        <v>1857</v>
      </c>
      <c r="D436" t="s">
        <v>2916</v>
      </c>
      <c r="E436" t="s">
        <v>3671</v>
      </c>
      <c r="F436">
        <v>51</v>
      </c>
      <c r="G436" t="s">
        <v>3676</v>
      </c>
      <c r="H436" t="s">
        <v>3682</v>
      </c>
      <c r="I436" t="s">
        <v>3686</v>
      </c>
      <c r="J436" t="s">
        <v>3693</v>
      </c>
      <c r="K436" t="s">
        <v>3696</v>
      </c>
      <c r="L436">
        <v>3</v>
      </c>
      <c r="M436">
        <v>65000</v>
      </c>
      <c r="N436" t="s">
        <v>3703</v>
      </c>
      <c r="O436" t="s">
        <v>3705</v>
      </c>
      <c r="P436" s="2">
        <f t="shared" si="30"/>
        <v>45854</v>
      </c>
      <c r="Q436" t="str">
        <f t="shared" si="31"/>
        <v>Ryan Chaudry</v>
      </c>
      <c r="R436" t="str">
        <f t="shared" si="32"/>
        <v>Chennai</v>
      </c>
      <c r="S436" t="str">
        <f t="shared" si="33"/>
        <v>Tamil Nadu</v>
      </c>
      <c r="T436">
        <f t="shared" si="34"/>
        <v>195000</v>
      </c>
    </row>
    <row r="437" spans="1:20" x14ac:dyDescent="0.35">
      <c r="A437" t="s">
        <v>450</v>
      </c>
      <c r="B437" t="s">
        <v>1435</v>
      </c>
      <c r="C437" t="s">
        <v>2132</v>
      </c>
      <c r="D437" t="s">
        <v>2917</v>
      </c>
      <c r="E437" t="s">
        <v>3671</v>
      </c>
      <c r="F437">
        <v>31</v>
      </c>
      <c r="G437" t="s">
        <v>3677</v>
      </c>
      <c r="H437" t="s">
        <v>3680</v>
      </c>
      <c r="I437" t="s">
        <v>3690</v>
      </c>
      <c r="J437" t="s">
        <v>3693</v>
      </c>
      <c r="K437" t="s">
        <v>3700</v>
      </c>
      <c r="L437">
        <v>4</v>
      </c>
      <c r="M437">
        <v>72000</v>
      </c>
      <c r="N437" t="s">
        <v>3701</v>
      </c>
      <c r="O437" t="s">
        <v>3706</v>
      </c>
      <c r="P437" s="2">
        <f t="shared" si="30"/>
        <v>45962</v>
      </c>
      <c r="Q437" t="str">
        <f t="shared" si="31"/>
        <v>Arhaan Tiwari</v>
      </c>
      <c r="R437" t="str">
        <f t="shared" si="32"/>
        <v>Mumbai</v>
      </c>
      <c r="S437" t="str">
        <f t="shared" si="33"/>
        <v>Maharashtra</v>
      </c>
      <c r="T437">
        <f t="shared" si="34"/>
        <v>288000</v>
      </c>
    </row>
    <row r="438" spans="1:20" x14ac:dyDescent="0.35">
      <c r="A438" t="s">
        <v>451</v>
      </c>
      <c r="B438" t="s">
        <v>1223</v>
      </c>
      <c r="C438" t="s">
        <v>2133</v>
      </c>
      <c r="D438" t="s">
        <v>2918</v>
      </c>
      <c r="E438" t="s">
        <v>3672</v>
      </c>
      <c r="F438">
        <v>54</v>
      </c>
      <c r="G438" t="s">
        <v>3679</v>
      </c>
      <c r="H438" t="s">
        <v>3684</v>
      </c>
      <c r="I438" t="s">
        <v>3690</v>
      </c>
      <c r="J438" t="s">
        <v>3693</v>
      </c>
      <c r="K438" t="s">
        <v>3700</v>
      </c>
      <c r="L438">
        <v>3</v>
      </c>
      <c r="M438">
        <v>72000</v>
      </c>
      <c r="N438" t="s">
        <v>3701</v>
      </c>
      <c r="O438" t="s">
        <v>3706</v>
      </c>
      <c r="P438" s="2">
        <f t="shared" si="30"/>
        <v>45789</v>
      </c>
      <c r="Q438" t="str">
        <f t="shared" si="31"/>
        <v>Riaan Dhingra</v>
      </c>
      <c r="R438" t="str">
        <f t="shared" si="32"/>
        <v>Bengaluru</v>
      </c>
      <c r="S438" t="str">
        <f t="shared" si="33"/>
        <v>Karnataka</v>
      </c>
      <c r="T438">
        <f t="shared" si="34"/>
        <v>216000</v>
      </c>
    </row>
    <row r="439" spans="1:20" x14ac:dyDescent="0.35">
      <c r="A439" t="s">
        <v>452</v>
      </c>
      <c r="B439" t="s">
        <v>1537</v>
      </c>
      <c r="C439" t="s">
        <v>2134</v>
      </c>
      <c r="D439" t="s">
        <v>2919</v>
      </c>
      <c r="E439" t="s">
        <v>3672</v>
      </c>
      <c r="F439">
        <v>22</v>
      </c>
      <c r="G439" t="s">
        <v>3678</v>
      </c>
      <c r="H439" t="s">
        <v>3683</v>
      </c>
      <c r="I439" t="s">
        <v>3685</v>
      </c>
      <c r="J439" t="s">
        <v>3692</v>
      </c>
      <c r="K439" t="s">
        <v>3695</v>
      </c>
      <c r="L439">
        <v>1</v>
      </c>
      <c r="M439">
        <v>12000</v>
      </c>
      <c r="N439" t="s">
        <v>3702</v>
      </c>
      <c r="O439" t="s">
        <v>3706</v>
      </c>
      <c r="P439" s="2">
        <f t="shared" si="30"/>
        <v>45786</v>
      </c>
      <c r="Q439" t="str">
        <f t="shared" si="31"/>
        <v>Nirvaan Mani</v>
      </c>
      <c r="R439" t="str">
        <f t="shared" si="32"/>
        <v>Hyderabad</v>
      </c>
      <c r="S439" t="str">
        <f t="shared" si="33"/>
        <v>Telangana</v>
      </c>
      <c r="T439">
        <f t="shared" si="34"/>
        <v>12000</v>
      </c>
    </row>
    <row r="440" spans="1:20" x14ac:dyDescent="0.35">
      <c r="A440" t="s">
        <v>453</v>
      </c>
      <c r="B440" t="s">
        <v>1372</v>
      </c>
      <c r="C440" t="s">
        <v>2135</v>
      </c>
      <c r="D440" t="s">
        <v>2920</v>
      </c>
      <c r="E440" t="s">
        <v>3672</v>
      </c>
      <c r="F440">
        <v>24</v>
      </c>
      <c r="G440" t="s">
        <v>3675</v>
      </c>
      <c r="H440" t="s">
        <v>3681</v>
      </c>
      <c r="I440" t="s">
        <v>3686</v>
      </c>
      <c r="J440" t="s">
        <v>3693</v>
      </c>
      <c r="K440" t="s">
        <v>3696</v>
      </c>
      <c r="L440">
        <v>5</v>
      </c>
      <c r="M440">
        <v>65000</v>
      </c>
      <c r="N440" t="s">
        <v>3701</v>
      </c>
      <c r="O440" t="s">
        <v>3705</v>
      </c>
      <c r="P440" s="2">
        <f t="shared" si="30"/>
        <v>45921</v>
      </c>
      <c r="Q440" t="str">
        <f t="shared" si="31"/>
        <v>Yuvaan Hayer</v>
      </c>
      <c r="R440" t="str">
        <f t="shared" si="32"/>
        <v>Kolkata</v>
      </c>
      <c r="S440" t="str">
        <f t="shared" si="33"/>
        <v>West Bengal</v>
      </c>
      <c r="T440">
        <f t="shared" si="34"/>
        <v>325000</v>
      </c>
    </row>
    <row r="441" spans="1:20" x14ac:dyDescent="0.35">
      <c r="A441" t="s">
        <v>454</v>
      </c>
      <c r="B441" t="s">
        <v>1529</v>
      </c>
      <c r="C441" t="s">
        <v>2136</v>
      </c>
      <c r="D441" t="s">
        <v>2921</v>
      </c>
      <c r="E441" t="s">
        <v>3672</v>
      </c>
      <c r="F441">
        <v>58</v>
      </c>
      <c r="G441" t="s">
        <v>3679</v>
      </c>
      <c r="H441" t="s">
        <v>3684</v>
      </c>
      <c r="I441" t="s">
        <v>3690</v>
      </c>
      <c r="J441" t="s">
        <v>3693</v>
      </c>
      <c r="K441" t="s">
        <v>3700</v>
      </c>
      <c r="L441">
        <v>1</v>
      </c>
      <c r="M441">
        <v>72000</v>
      </c>
      <c r="N441" t="s">
        <v>3703</v>
      </c>
      <c r="O441" t="s">
        <v>3706</v>
      </c>
      <c r="P441" s="2">
        <f t="shared" si="30"/>
        <v>46022</v>
      </c>
      <c r="Q441" t="str">
        <f t="shared" si="31"/>
        <v>Reyansh Dhawan</v>
      </c>
      <c r="R441" t="str">
        <f t="shared" si="32"/>
        <v>Bengaluru</v>
      </c>
      <c r="S441" t="str">
        <f t="shared" si="33"/>
        <v>Karnataka</v>
      </c>
      <c r="T441">
        <f t="shared" si="34"/>
        <v>72000</v>
      </c>
    </row>
    <row r="442" spans="1:20" x14ac:dyDescent="0.35">
      <c r="A442" t="s">
        <v>455</v>
      </c>
      <c r="B442" t="s">
        <v>1538</v>
      </c>
      <c r="C442" t="s">
        <v>2137</v>
      </c>
      <c r="D442" t="s">
        <v>2922</v>
      </c>
      <c r="E442" t="s">
        <v>3672</v>
      </c>
      <c r="F442">
        <v>42</v>
      </c>
      <c r="G442" t="s">
        <v>3678</v>
      </c>
      <c r="H442" t="s">
        <v>3683</v>
      </c>
      <c r="I442" t="s">
        <v>3687</v>
      </c>
      <c r="J442" t="s">
        <v>3693</v>
      </c>
      <c r="K442" t="s">
        <v>3697</v>
      </c>
      <c r="L442">
        <v>5</v>
      </c>
      <c r="M442">
        <v>5000</v>
      </c>
      <c r="N442" t="s">
        <v>3704</v>
      </c>
      <c r="O442" t="s">
        <v>3706</v>
      </c>
      <c r="P442" s="2">
        <f t="shared" si="30"/>
        <v>45956</v>
      </c>
      <c r="Q442" t="str">
        <f t="shared" si="31"/>
        <v>Inaaya Chana</v>
      </c>
      <c r="R442" t="str">
        <f t="shared" si="32"/>
        <v>Hyderabad</v>
      </c>
      <c r="S442" t="str">
        <f t="shared" si="33"/>
        <v>Telangana</v>
      </c>
      <c r="T442">
        <f t="shared" si="34"/>
        <v>25000</v>
      </c>
    </row>
    <row r="443" spans="1:20" x14ac:dyDescent="0.35">
      <c r="A443" t="s">
        <v>456</v>
      </c>
      <c r="B443" t="s">
        <v>1360</v>
      </c>
      <c r="C443" t="s">
        <v>2138</v>
      </c>
      <c r="D443" t="s">
        <v>2923</v>
      </c>
      <c r="E443" t="s">
        <v>3672</v>
      </c>
      <c r="F443">
        <v>55</v>
      </c>
      <c r="G443" t="s">
        <v>3673</v>
      </c>
      <c r="H443" t="s">
        <v>3673</v>
      </c>
      <c r="I443" t="s">
        <v>3691</v>
      </c>
      <c r="J443" t="s">
        <v>3693</v>
      </c>
      <c r="K443" t="s">
        <v>3696</v>
      </c>
      <c r="L443">
        <v>5</v>
      </c>
      <c r="M443">
        <v>58000</v>
      </c>
      <c r="N443" t="s">
        <v>3703</v>
      </c>
      <c r="O443" t="s">
        <v>3706</v>
      </c>
      <c r="P443" s="2">
        <f t="shared" si="30"/>
        <v>45809</v>
      </c>
      <c r="Q443" t="str">
        <f t="shared" si="31"/>
        <v>Dharmajan Sant</v>
      </c>
      <c r="R443" t="str">
        <f t="shared" si="32"/>
        <v>Delhi</v>
      </c>
      <c r="S443" t="str">
        <f t="shared" si="33"/>
        <v>Delhi</v>
      </c>
      <c r="T443">
        <f t="shared" si="34"/>
        <v>290000</v>
      </c>
    </row>
    <row r="444" spans="1:20" x14ac:dyDescent="0.35">
      <c r="A444" t="s">
        <v>457</v>
      </c>
      <c r="B444" t="s">
        <v>1425</v>
      </c>
      <c r="C444" t="s">
        <v>2139</v>
      </c>
      <c r="D444" t="s">
        <v>2924</v>
      </c>
      <c r="E444" t="s">
        <v>3672</v>
      </c>
      <c r="F444">
        <v>28</v>
      </c>
      <c r="G444" t="s">
        <v>3675</v>
      </c>
      <c r="H444" t="s">
        <v>3681</v>
      </c>
      <c r="I444" t="s">
        <v>3689</v>
      </c>
      <c r="J444" t="s">
        <v>3694</v>
      </c>
      <c r="K444" t="s">
        <v>3699</v>
      </c>
      <c r="L444">
        <v>1</v>
      </c>
      <c r="M444">
        <v>1800</v>
      </c>
      <c r="N444" t="s">
        <v>3704</v>
      </c>
      <c r="O444" t="s">
        <v>3706</v>
      </c>
      <c r="P444" s="2">
        <f t="shared" si="30"/>
        <v>45700</v>
      </c>
      <c r="Q444" t="str">
        <f t="shared" si="31"/>
        <v>Himmat Madan</v>
      </c>
      <c r="R444" t="str">
        <f t="shared" si="32"/>
        <v>Kolkata</v>
      </c>
      <c r="S444" t="str">
        <f t="shared" si="33"/>
        <v>West Bengal</v>
      </c>
      <c r="T444">
        <f t="shared" si="34"/>
        <v>1800</v>
      </c>
    </row>
    <row r="445" spans="1:20" x14ac:dyDescent="0.35">
      <c r="A445" t="s">
        <v>458</v>
      </c>
      <c r="B445" t="s">
        <v>1370</v>
      </c>
      <c r="C445" t="s">
        <v>2140</v>
      </c>
      <c r="D445" t="s">
        <v>2925</v>
      </c>
      <c r="E445" t="s">
        <v>3672</v>
      </c>
      <c r="F445">
        <v>38</v>
      </c>
      <c r="G445" t="s">
        <v>3679</v>
      </c>
      <c r="H445" t="s">
        <v>3684</v>
      </c>
      <c r="I445" t="s">
        <v>3691</v>
      </c>
      <c r="J445" t="s">
        <v>3693</v>
      </c>
      <c r="K445" t="s">
        <v>3696</v>
      </c>
      <c r="L445">
        <v>1</v>
      </c>
      <c r="M445">
        <v>58000</v>
      </c>
      <c r="N445" t="s">
        <v>3701</v>
      </c>
      <c r="O445" t="s">
        <v>3707</v>
      </c>
      <c r="P445" s="2">
        <f t="shared" si="30"/>
        <v>45804</v>
      </c>
      <c r="Q445" t="str">
        <f t="shared" si="31"/>
        <v>Bhavin Dhar</v>
      </c>
      <c r="R445" t="str">
        <f t="shared" si="32"/>
        <v>Bengaluru</v>
      </c>
      <c r="S445" t="str">
        <f t="shared" si="33"/>
        <v>Karnataka</v>
      </c>
      <c r="T445">
        <f t="shared" si="34"/>
        <v>58000</v>
      </c>
    </row>
    <row r="446" spans="1:20" x14ac:dyDescent="0.35">
      <c r="A446" t="s">
        <v>459</v>
      </c>
      <c r="B446" t="s">
        <v>1539</v>
      </c>
      <c r="C446" t="s">
        <v>2141</v>
      </c>
      <c r="D446" t="s">
        <v>2926</v>
      </c>
      <c r="E446" t="s">
        <v>3672</v>
      </c>
      <c r="F446">
        <v>57</v>
      </c>
      <c r="G446" t="s">
        <v>3675</v>
      </c>
      <c r="H446" t="s">
        <v>3681</v>
      </c>
      <c r="I446" t="s">
        <v>3688</v>
      </c>
      <c r="J446" t="s">
        <v>3694</v>
      </c>
      <c r="K446" t="s">
        <v>3698</v>
      </c>
      <c r="L446">
        <v>1</v>
      </c>
      <c r="M446">
        <v>4500</v>
      </c>
      <c r="N446" t="s">
        <v>3701</v>
      </c>
      <c r="O446" t="s">
        <v>3706</v>
      </c>
      <c r="P446" s="2">
        <f t="shared" si="30"/>
        <v>45673</v>
      </c>
      <c r="Q446" t="str">
        <f t="shared" si="31"/>
        <v>Eshani Gokhale</v>
      </c>
      <c r="R446" t="str">
        <f t="shared" si="32"/>
        <v>Kolkata</v>
      </c>
      <c r="S446" t="str">
        <f t="shared" si="33"/>
        <v>West Bengal</v>
      </c>
      <c r="T446">
        <f t="shared" si="34"/>
        <v>4500</v>
      </c>
    </row>
    <row r="447" spans="1:20" x14ac:dyDescent="0.35">
      <c r="A447" t="s">
        <v>460</v>
      </c>
      <c r="B447" t="s">
        <v>1333</v>
      </c>
      <c r="C447" t="s">
        <v>2142</v>
      </c>
      <c r="D447" t="s">
        <v>2927</v>
      </c>
      <c r="E447" t="s">
        <v>3672</v>
      </c>
      <c r="F447">
        <v>44</v>
      </c>
      <c r="G447" t="s">
        <v>3673</v>
      </c>
      <c r="H447" t="s">
        <v>3673</v>
      </c>
      <c r="I447" t="s">
        <v>3690</v>
      </c>
      <c r="J447" t="s">
        <v>3693</v>
      </c>
      <c r="K447" t="s">
        <v>3700</v>
      </c>
      <c r="L447">
        <v>4</v>
      </c>
      <c r="M447">
        <v>72000</v>
      </c>
      <c r="N447" t="s">
        <v>3702</v>
      </c>
      <c r="O447" t="s">
        <v>3706</v>
      </c>
      <c r="P447" s="2">
        <f t="shared" si="30"/>
        <v>45869</v>
      </c>
      <c r="Q447" t="str">
        <f t="shared" si="31"/>
        <v>Gatik Bhandari</v>
      </c>
      <c r="R447" t="str">
        <f t="shared" si="32"/>
        <v>Delhi</v>
      </c>
      <c r="S447" t="str">
        <f t="shared" si="33"/>
        <v>Delhi</v>
      </c>
      <c r="T447">
        <f t="shared" si="34"/>
        <v>288000</v>
      </c>
    </row>
    <row r="448" spans="1:20" x14ac:dyDescent="0.35">
      <c r="A448" t="s">
        <v>461</v>
      </c>
      <c r="B448" t="s">
        <v>1540</v>
      </c>
      <c r="C448" t="s">
        <v>2143</v>
      </c>
      <c r="D448" t="s">
        <v>2928</v>
      </c>
      <c r="E448" t="s">
        <v>3671</v>
      </c>
      <c r="F448">
        <v>50</v>
      </c>
      <c r="G448" t="s">
        <v>3675</v>
      </c>
      <c r="H448" t="s">
        <v>3681</v>
      </c>
      <c r="I448" t="s">
        <v>3689</v>
      </c>
      <c r="J448" t="s">
        <v>3694</v>
      </c>
      <c r="K448" t="s">
        <v>3699</v>
      </c>
      <c r="L448">
        <v>3</v>
      </c>
      <c r="M448">
        <v>1800</v>
      </c>
      <c r="N448" t="s">
        <v>3703</v>
      </c>
      <c r="O448" t="s">
        <v>3706</v>
      </c>
      <c r="P448" s="2">
        <f t="shared" si="30"/>
        <v>45790</v>
      </c>
      <c r="Q448" t="str">
        <f t="shared" si="31"/>
        <v>Umang Gole</v>
      </c>
      <c r="R448" t="str">
        <f t="shared" si="32"/>
        <v>Kolkata</v>
      </c>
      <c r="S448" t="str">
        <f t="shared" si="33"/>
        <v>West Bengal</v>
      </c>
      <c r="T448">
        <f t="shared" si="34"/>
        <v>5400</v>
      </c>
    </row>
    <row r="449" spans="1:20" x14ac:dyDescent="0.35">
      <c r="A449" t="s">
        <v>462</v>
      </c>
      <c r="B449" t="s">
        <v>1541</v>
      </c>
      <c r="C449" t="s">
        <v>2144</v>
      </c>
      <c r="D449" t="s">
        <v>2929</v>
      </c>
      <c r="E449" t="s">
        <v>3672</v>
      </c>
      <c r="F449">
        <v>31</v>
      </c>
      <c r="G449" t="s">
        <v>3678</v>
      </c>
      <c r="H449" t="s">
        <v>3683</v>
      </c>
      <c r="I449" t="s">
        <v>3690</v>
      </c>
      <c r="J449" t="s">
        <v>3693</v>
      </c>
      <c r="K449" t="s">
        <v>3700</v>
      </c>
      <c r="L449">
        <v>3</v>
      </c>
      <c r="M449">
        <v>72000</v>
      </c>
      <c r="N449" t="s">
        <v>3703</v>
      </c>
      <c r="O449" t="s">
        <v>3706</v>
      </c>
      <c r="P449" s="2">
        <f t="shared" si="30"/>
        <v>45990</v>
      </c>
      <c r="Q449" t="str">
        <f t="shared" si="31"/>
        <v>Fateh Dugal</v>
      </c>
      <c r="R449" t="str">
        <f t="shared" si="32"/>
        <v>Hyderabad</v>
      </c>
      <c r="S449" t="str">
        <f t="shared" si="33"/>
        <v>Telangana</v>
      </c>
      <c r="T449">
        <f t="shared" si="34"/>
        <v>216000</v>
      </c>
    </row>
    <row r="450" spans="1:20" x14ac:dyDescent="0.35">
      <c r="A450" t="s">
        <v>463</v>
      </c>
      <c r="B450" t="s">
        <v>1542</v>
      </c>
      <c r="C450" t="s">
        <v>2145</v>
      </c>
      <c r="D450" t="s">
        <v>2930</v>
      </c>
      <c r="E450" t="s">
        <v>3671</v>
      </c>
      <c r="F450">
        <v>43</v>
      </c>
      <c r="G450" t="s">
        <v>3678</v>
      </c>
      <c r="H450" t="s">
        <v>3683</v>
      </c>
      <c r="I450" t="s">
        <v>3687</v>
      </c>
      <c r="J450" t="s">
        <v>3693</v>
      </c>
      <c r="K450" t="s">
        <v>3697</v>
      </c>
      <c r="L450">
        <v>2</v>
      </c>
      <c r="M450">
        <v>5000</v>
      </c>
      <c r="N450" t="s">
        <v>3703</v>
      </c>
      <c r="O450" t="s">
        <v>3707</v>
      </c>
      <c r="P450" s="2">
        <f t="shared" si="30"/>
        <v>45998</v>
      </c>
      <c r="Q450" t="str">
        <f t="shared" si="31"/>
        <v>Azad Aggarwal</v>
      </c>
      <c r="R450" t="str">
        <f t="shared" si="32"/>
        <v>Hyderabad</v>
      </c>
      <c r="S450" t="str">
        <f t="shared" si="33"/>
        <v>Telangana</v>
      </c>
      <c r="T450">
        <f t="shared" si="34"/>
        <v>10000</v>
      </c>
    </row>
    <row r="451" spans="1:20" x14ac:dyDescent="0.35">
      <c r="A451" t="s">
        <v>464</v>
      </c>
      <c r="B451" t="s">
        <v>1499</v>
      </c>
      <c r="C451" t="s">
        <v>2146</v>
      </c>
      <c r="D451" t="s">
        <v>2931</v>
      </c>
      <c r="E451" t="s">
        <v>3671</v>
      </c>
      <c r="F451">
        <v>43</v>
      </c>
      <c r="G451" t="s">
        <v>3678</v>
      </c>
      <c r="H451" t="s">
        <v>3683</v>
      </c>
      <c r="I451" t="s">
        <v>3690</v>
      </c>
      <c r="J451" t="s">
        <v>3693</v>
      </c>
      <c r="K451" t="s">
        <v>3700</v>
      </c>
      <c r="L451">
        <v>3</v>
      </c>
      <c r="M451">
        <v>72000</v>
      </c>
      <c r="N451" t="s">
        <v>3703</v>
      </c>
      <c r="O451" t="s">
        <v>3706</v>
      </c>
      <c r="P451" s="2">
        <f t="shared" ref="P451:P514" si="35">DATEVALUE(SUBSTITUTE(B451,"/","-"))</f>
        <v>45861</v>
      </c>
      <c r="Q451" t="str">
        <f t="shared" ref="Q451:Q514" si="36">TRIM(CLEAN(D451))</f>
        <v>Hridaan Ravel</v>
      </c>
      <c r="R451" t="str">
        <f t="shared" ref="R451:R514" si="37">IF(G451="","Unknown",G451)</f>
        <v>Hyderabad</v>
      </c>
      <c r="S451" t="str">
        <f t="shared" ref="S451:S514" si="38">IF(H451="","Unknown",H451)</f>
        <v>Telangana</v>
      </c>
      <c r="T451">
        <f t="shared" ref="T451:T514" si="39">L451*M451</f>
        <v>216000</v>
      </c>
    </row>
    <row r="452" spans="1:20" x14ac:dyDescent="0.35">
      <c r="A452" t="s">
        <v>465</v>
      </c>
      <c r="B452" t="s">
        <v>1323</v>
      </c>
      <c r="C452" t="s">
        <v>2147</v>
      </c>
      <c r="D452" t="s">
        <v>2932</v>
      </c>
      <c r="E452" t="s">
        <v>3671</v>
      </c>
      <c r="F452">
        <v>31</v>
      </c>
      <c r="G452" t="s">
        <v>3675</v>
      </c>
      <c r="H452" t="s">
        <v>3681</v>
      </c>
      <c r="I452" t="s">
        <v>3688</v>
      </c>
      <c r="J452" t="s">
        <v>3694</v>
      </c>
      <c r="K452" t="s">
        <v>3698</v>
      </c>
      <c r="L452">
        <v>1</v>
      </c>
      <c r="M452">
        <v>4500</v>
      </c>
      <c r="N452" t="s">
        <v>3703</v>
      </c>
      <c r="O452" t="s">
        <v>3707</v>
      </c>
      <c r="P452" s="2">
        <f t="shared" si="35"/>
        <v>45714</v>
      </c>
      <c r="Q452" t="str">
        <f t="shared" si="36"/>
        <v>Riya Rau</v>
      </c>
      <c r="R452" t="str">
        <f t="shared" si="37"/>
        <v>Kolkata</v>
      </c>
      <c r="S452" t="str">
        <f t="shared" si="38"/>
        <v>West Bengal</v>
      </c>
      <c r="T452">
        <f t="shared" si="39"/>
        <v>4500</v>
      </c>
    </row>
    <row r="453" spans="1:20" x14ac:dyDescent="0.35">
      <c r="A453" t="s">
        <v>466</v>
      </c>
      <c r="B453" t="s">
        <v>1416</v>
      </c>
      <c r="C453" t="s">
        <v>1788</v>
      </c>
      <c r="D453" t="s">
        <v>2933</v>
      </c>
      <c r="E453" t="s">
        <v>3671</v>
      </c>
      <c r="F453">
        <v>55</v>
      </c>
      <c r="G453" t="s">
        <v>3675</v>
      </c>
      <c r="H453" t="s">
        <v>3681</v>
      </c>
      <c r="I453" t="s">
        <v>3689</v>
      </c>
      <c r="J453" t="s">
        <v>3694</v>
      </c>
      <c r="K453" t="s">
        <v>3699</v>
      </c>
      <c r="L453">
        <v>4</v>
      </c>
      <c r="M453">
        <v>1800</v>
      </c>
      <c r="N453" t="s">
        <v>3701</v>
      </c>
      <c r="O453" t="s">
        <v>3705</v>
      </c>
      <c r="P453" s="2">
        <f t="shared" si="35"/>
        <v>45786</v>
      </c>
      <c r="Q453" t="str">
        <f t="shared" si="36"/>
        <v>Kismat Raj</v>
      </c>
      <c r="R453" t="str">
        <f t="shared" si="37"/>
        <v>Kolkata</v>
      </c>
      <c r="S453" t="str">
        <f t="shared" si="38"/>
        <v>West Bengal</v>
      </c>
      <c r="T453">
        <f t="shared" si="39"/>
        <v>7200</v>
      </c>
    </row>
    <row r="454" spans="1:20" x14ac:dyDescent="0.35">
      <c r="A454" t="s">
        <v>467</v>
      </c>
      <c r="B454" t="s">
        <v>1452</v>
      </c>
      <c r="C454" t="s">
        <v>2148</v>
      </c>
      <c r="D454" t="s">
        <v>2934</v>
      </c>
      <c r="E454" t="s">
        <v>3671</v>
      </c>
      <c r="F454">
        <v>38</v>
      </c>
      <c r="G454" t="s">
        <v>3677</v>
      </c>
      <c r="H454" t="s">
        <v>3680</v>
      </c>
      <c r="I454" t="s">
        <v>3690</v>
      </c>
      <c r="J454" t="s">
        <v>3693</v>
      </c>
      <c r="K454" t="s">
        <v>3700</v>
      </c>
      <c r="L454">
        <v>5</v>
      </c>
      <c r="M454">
        <v>72000</v>
      </c>
      <c r="N454" t="s">
        <v>3703</v>
      </c>
      <c r="O454" t="s">
        <v>3707</v>
      </c>
      <c r="P454" s="2">
        <f t="shared" si="35"/>
        <v>45862</v>
      </c>
      <c r="Q454" t="str">
        <f t="shared" si="36"/>
        <v>Khushi Chanda</v>
      </c>
      <c r="R454" t="str">
        <f t="shared" si="37"/>
        <v>Mumbai</v>
      </c>
      <c r="S454" t="str">
        <f t="shared" si="38"/>
        <v>Maharashtra</v>
      </c>
      <c r="T454">
        <f t="shared" si="39"/>
        <v>360000</v>
      </c>
    </row>
    <row r="455" spans="1:20" x14ac:dyDescent="0.35">
      <c r="A455" t="s">
        <v>468</v>
      </c>
      <c r="B455" t="s">
        <v>1543</v>
      </c>
      <c r="C455" t="s">
        <v>2072</v>
      </c>
      <c r="D455" t="s">
        <v>2935</v>
      </c>
      <c r="E455" t="s">
        <v>3672</v>
      </c>
      <c r="F455">
        <v>44</v>
      </c>
      <c r="G455" t="s">
        <v>3679</v>
      </c>
      <c r="H455" t="s">
        <v>3684</v>
      </c>
      <c r="I455" t="s">
        <v>3690</v>
      </c>
      <c r="J455" t="s">
        <v>3693</v>
      </c>
      <c r="K455" t="s">
        <v>3700</v>
      </c>
      <c r="L455">
        <v>4</v>
      </c>
      <c r="M455">
        <v>72000</v>
      </c>
      <c r="N455" t="s">
        <v>3702</v>
      </c>
      <c r="O455" t="s">
        <v>3705</v>
      </c>
      <c r="P455" s="2">
        <f t="shared" si="35"/>
        <v>45916</v>
      </c>
      <c r="Q455" t="str">
        <f t="shared" si="36"/>
        <v>Darshit Banerjee</v>
      </c>
      <c r="R455" t="str">
        <f t="shared" si="37"/>
        <v>Bengaluru</v>
      </c>
      <c r="S455" t="str">
        <f t="shared" si="38"/>
        <v>Karnataka</v>
      </c>
      <c r="T455">
        <f t="shared" si="39"/>
        <v>288000</v>
      </c>
    </row>
    <row r="456" spans="1:20" x14ac:dyDescent="0.35">
      <c r="A456" t="s">
        <v>469</v>
      </c>
      <c r="B456" t="s">
        <v>1349</v>
      </c>
      <c r="C456" t="s">
        <v>2149</v>
      </c>
      <c r="D456" t="s">
        <v>2936</v>
      </c>
      <c r="E456" t="s">
        <v>3671</v>
      </c>
      <c r="F456">
        <v>23</v>
      </c>
      <c r="G456" t="s">
        <v>3677</v>
      </c>
      <c r="H456" t="s">
        <v>3680</v>
      </c>
      <c r="I456" t="s">
        <v>3690</v>
      </c>
      <c r="J456" t="s">
        <v>3693</v>
      </c>
      <c r="K456" t="s">
        <v>3700</v>
      </c>
      <c r="L456">
        <v>3</v>
      </c>
      <c r="M456">
        <v>72000</v>
      </c>
      <c r="N456" t="s">
        <v>3702</v>
      </c>
      <c r="O456" t="s">
        <v>3705</v>
      </c>
      <c r="P456" s="2">
        <f t="shared" si="35"/>
        <v>45758</v>
      </c>
      <c r="Q456" t="str">
        <f t="shared" si="36"/>
        <v>Lakshay Karpe</v>
      </c>
      <c r="R456" t="str">
        <f t="shared" si="37"/>
        <v>Mumbai</v>
      </c>
      <c r="S456" t="str">
        <f t="shared" si="38"/>
        <v>Maharashtra</v>
      </c>
      <c r="T456">
        <f t="shared" si="39"/>
        <v>216000</v>
      </c>
    </row>
    <row r="457" spans="1:20" x14ac:dyDescent="0.35">
      <c r="A457" t="s">
        <v>470</v>
      </c>
      <c r="B457" t="s">
        <v>1502</v>
      </c>
      <c r="C457" t="s">
        <v>1971</v>
      </c>
      <c r="D457" t="s">
        <v>2937</v>
      </c>
      <c r="E457" t="s">
        <v>3671</v>
      </c>
      <c r="F457">
        <v>49</v>
      </c>
      <c r="G457" t="s">
        <v>3674</v>
      </c>
      <c r="H457" t="s">
        <v>3680</v>
      </c>
      <c r="I457" t="s">
        <v>3689</v>
      </c>
      <c r="J457" t="s">
        <v>3694</v>
      </c>
      <c r="K457" t="s">
        <v>3699</v>
      </c>
      <c r="L457">
        <v>3</v>
      </c>
      <c r="M457">
        <v>1800</v>
      </c>
      <c r="N457" t="s">
        <v>3703</v>
      </c>
      <c r="O457" t="s">
        <v>3706</v>
      </c>
      <c r="P457" s="2">
        <f t="shared" si="35"/>
        <v>45801</v>
      </c>
      <c r="Q457" t="str">
        <f t="shared" si="36"/>
        <v>Anika Boase</v>
      </c>
      <c r="R457" t="str">
        <f t="shared" si="37"/>
        <v>Pune</v>
      </c>
      <c r="S457" t="str">
        <f t="shared" si="38"/>
        <v>Maharashtra</v>
      </c>
      <c r="T457">
        <f t="shared" si="39"/>
        <v>5400</v>
      </c>
    </row>
    <row r="458" spans="1:20" x14ac:dyDescent="0.35">
      <c r="A458" t="s">
        <v>471</v>
      </c>
      <c r="B458" t="s">
        <v>1376</v>
      </c>
      <c r="C458" t="s">
        <v>2150</v>
      </c>
      <c r="D458" t="s">
        <v>2938</v>
      </c>
      <c r="E458" t="s">
        <v>3671</v>
      </c>
      <c r="F458">
        <v>21</v>
      </c>
      <c r="G458" t="s">
        <v>3677</v>
      </c>
      <c r="H458" t="s">
        <v>3680</v>
      </c>
      <c r="I458" t="s">
        <v>3688</v>
      </c>
      <c r="J458" t="s">
        <v>3694</v>
      </c>
      <c r="K458" t="s">
        <v>3698</v>
      </c>
      <c r="L458">
        <v>2</v>
      </c>
      <c r="M458">
        <v>4500</v>
      </c>
      <c r="N458" t="s">
        <v>3701</v>
      </c>
      <c r="O458" t="s">
        <v>3706</v>
      </c>
      <c r="P458" s="2">
        <f t="shared" si="35"/>
        <v>45995</v>
      </c>
      <c r="Q458" t="str">
        <f t="shared" si="36"/>
        <v>Miraan Balakrishnan</v>
      </c>
      <c r="R458" t="str">
        <f t="shared" si="37"/>
        <v>Mumbai</v>
      </c>
      <c r="S458" t="str">
        <f t="shared" si="38"/>
        <v>Maharashtra</v>
      </c>
      <c r="T458">
        <f t="shared" si="39"/>
        <v>9000</v>
      </c>
    </row>
    <row r="459" spans="1:20" x14ac:dyDescent="0.35">
      <c r="A459" t="s">
        <v>472</v>
      </c>
      <c r="B459" t="s">
        <v>1544</v>
      </c>
      <c r="C459" t="s">
        <v>2083</v>
      </c>
      <c r="D459" t="s">
        <v>2939</v>
      </c>
      <c r="E459" t="s">
        <v>3671</v>
      </c>
      <c r="F459">
        <v>57</v>
      </c>
      <c r="G459" t="s">
        <v>3673</v>
      </c>
      <c r="H459" t="s">
        <v>3673</v>
      </c>
      <c r="I459" t="s">
        <v>3686</v>
      </c>
      <c r="J459" t="s">
        <v>3693</v>
      </c>
      <c r="K459" t="s">
        <v>3696</v>
      </c>
      <c r="L459">
        <v>4</v>
      </c>
      <c r="M459">
        <v>65000</v>
      </c>
      <c r="N459" t="s">
        <v>3701</v>
      </c>
      <c r="O459" t="s">
        <v>3707</v>
      </c>
      <c r="P459" s="2">
        <f t="shared" si="35"/>
        <v>46011</v>
      </c>
      <c r="Q459" t="str">
        <f t="shared" si="36"/>
        <v>Khushi Garg</v>
      </c>
      <c r="R459" t="str">
        <f t="shared" si="37"/>
        <v>Delhi</v>
      </c>
      <c r="S459" t="str">
        <f t="shared" si="38"/>
        <v>Delhi</v>
      </c>
      <c r="T459">
        <f t="shared" si="39"/>
        <v>260000</v>
      </c>
    </row>
    <row r="460" spans="1:20" x14ac:dyDescent="0.35">
      <c r="A460" t="s">
        <v>473</v>
      </c>
      <c r="B460" t="s">
        <v>1545</v>
      </c>
      <c r="C460" t="s">
        <v>1950</v>
      </c>
      <c r="D460" t="s">
        <v>2940</v>
      </c>
      <c r="E460" t="s">
        <v>3672</v>
      </c>
      <c r="F460">
        <v>50</v>
      </c>
      <c r="G460" t="s">
        <v>3676</v>
      </c>
      <c r="H460" t="s">
        <v>3682</v>
      </c>
      <c r="I460" t="s">
        <v>3690</v>
      </c>
      <c r="J460" t="s">
        <v>3693</v>
      </c>
      <c r="K460" t="s">
        <v>3700</v>
      </c>
      <c r="L460">
        <v>5</v>
      </c>
      <c r="M460">
        <v>72000</v>
      </c>
      <c r="N460" t="s">
        <v>3701</v>
      </c>
      <c r="O460" t="s">
        <v>3705</v>
      </c>
      <c r="P460" s="2">
        <f t="shared" si="35"/>
        <v>45689</v>
      </c>
      <c r="Q460" t="str">
        <f t="shared" si="36"/>
        <v>Dharmajan Varkey</v>
      </c>
      <c r="R460" t="str">
        <f t="shared" si="37"/>
        <v>Chennai</v>
      </c>
      <c r="S460" t="str">
        <f t="shared" si="38"/>
        <v>Tamil Nadu</v>
      </c>
      <c r="T460">
        <f t="shared" si="39"/>
        <v>360000</v>
      </c>
    </row>
    <row r="461" spans="1:20" x14ac:dyDescent="0.35">
      <c r="A461" t="s">
        <v>474</v>
      </c>
      <c r="B461" t="s">
        <v>1546</v>
      </c>
      <c r="C461" t="s">
        <v>2102</v>
      </c>
      <c r="D461" t="s">
        <v>2941</v>
      </c>
      <c r="E461" t="s">
        <v>3671</v>
      </c>
      <c r="F461">
        <v>46</v>
      </c>
      <c r="G461" t="s">
        <v>3674</v>
      </c>
      <c r="H461" t="s">
        <v>3680</v>
      </c>
      <c r="I461" t="s">
        <v>3691</v>
      </c>
      <c r="J461" t="s">
        <v>3693</v>
      </c>
      <c r="K461" t="s">
        <v>3696</v>
      </c>
      <c r="L461">
        <v>1</v>
      </c>
      <c r="M461">
        <v>58000</v>
      </c>
      <c r="N461" t="s">
        <v>3701</v>
      </c>
      <c r="O461" t="s">
        <v>3705</v>
      </c>
      <c r="P461" s="2">
        <f t="shared" si="35"/>
        <v>45798</v>
      </c>
      <c r="Q461" t="str">
        <f t="shared" si="36"/>
        <v>Ishaan Hayer</v>
      </c>
      <c r="R461" t="str">
        <f t="shared" si="37"/>
        <v>Pune</v>
      </c>
      <c r="S461" t="str">
        <f t="shared" si="38"/>
        <v>Maharashtra</v>
      </c>
      <c r="T461">
        <f t="shared" si="39"/>
        <v>58000</v>
      </c>
    </row>
    <row r="462" spans="1:20" x14ac:dyDescent="0.35">
      <c r="A462" t="s">
        <v>475</v>
      </c>
      <c r="B462" t="s">
        <v>1547</v>
      </c>
      <c r="C462" t="s">
        <v>1974</v>
      </c>
      <c r="D462" t="s">
        <v>2942</v>
      </c>
      <c r="E462" t="s">
        <v>3672</v>
      </c>
      <c r="F462">
        <v>36</v>
      </c>
      <c r="G462" t="s">
        <v>3678</v>
      </c>
      <c r="H462" t="s">
        <v>3683</v>
      </c>
      <c r="I462" t="s">
        <v>3690</v>
      </c>
      <c r="J462" t="s">
        <v>3693</v>
      </c>
      <c r="K462" t="s">
        <v>3700</v>
      </c>
      <c r="L462">
        <v>5</v>
      </c>
      <c r="M462">
        <v>72000</v>
      </c>
      <c r="N462" t="s">
        <v>3704</v>
      </c>
      <c r="O462" t="s">
        <v>3706</v>
      </c>
      <c r="P462" s="2">
        <f t="shared" si="35"/>
        <v>45933</v>
      </c>
      <c r="Q462" t="str">
        <f t="shared" si="36"/>
        <v>Pari Dara</v>
      </c>
      <c r="R462" t="str">
        <f t="shared" si="37"/>
        <v>Hyderabad</v>
      </c>
      <c r="S462" t="str">
        <f t="shared" si="38"/>
        <v>Telangana</v>
      </c>
      <c r="T462">
        <f t="shared" si="39"/>
        <v>360000</v>
      </c>
    </row>
    <row r="463" spans="1:20" x14ac:dyDescent="0.35">
      <c r="A463" t="s">
        <v>476</v>
      </c>
      <c r="B463" t="s">
        <v>1297</v>
      </c>
      <c r="C463" t="s">
        <v>2151</v>
      </c>
      <c r="D463" t="s">
        <v>2943</v>
      </c>
      <c r="E463" t="s">
        <v>3671</v>
      </c>
      <c r="F463">
        <v>46</v>
      </c>
      <c r="G463" t="s">
        <v>3677</v>
      </c>
      <c r="H463" t="s">
        <v>3680</v>
      </c>
      <c r="I463" t="s">
        <v>3687</v>
      </c>
      <c r="J463" t="s">
        <v>3693</v>
      </c>
      <c r="K463" t="s">
        <v>3697</v>
      </c>
      <c r="L463">
        <v>3</v>
      </c>
      <c r="M463">
        <v>5000</v>
      </c>
      <c r="N463" t="s">
        <v>3703</v>
      </c>
      <c r="O463" t="s">
        <v>3705</v>
      </c>
      <c r="P463" s="2">
        <f t="shared" si="35"/>
        <v>45871</v>
      </c>
      <c r="Q463" t="str">
        <f t="shared" si="36"/>
        <v>Pihu Choudhury</v>
      </c>
      <c r="R463" t="str">
        <f t="shared" si="37"/>
        <v>Mumbai</v>
      </c>
      <c r="S463" t="str">
        <f t="shared" si="38"/>
        <v>Maharashtra</v>
      </c>
      <c r="T463">
        <f t="shared" si="39"/>
        <v>15000</v>
      </c>
    </row>
    <row r="464" spans="1:20" x14ac:dyDescent="0.35">
      <c r="A464" t="s">
        <v>477</v>
      </c>
      <c r="B464" t="s">
        <v>1273</v>
      </c>
      <c r="C464" t="s">
        <v>2152</v>
      </c>
      <c r="D464" t="s">
        <v>2944</v>
      </c>
      <c r="E464" t="s">
        <v>3672</v>
      </c>
      <c r="F464">
        <v>35</v>
      </c>
      <c r="G464" t="s">
        <v>3679</v>
      </c>
      <c r="H464" t="s">
        <v>3684</v>
      </c>
      <c r="I464" t="s">
        <v>3691</v>
      </c>
      <c r="J464" t="s">
        <v>3693</v>
      </c>
      <c r="K464" t="s">
        <v>3696</v>
      </c>
      <c r="L464">
        <v>1</v>
      </c>
      <c r="M464">
        <v>58000</v>
      </c>
      <c r="N464" t="s">
        <v>3703</v>
      </c>
      <c r="O464" t="s">
        <v>3705</v>
      </c>
      <c r="P464" s="2">
        <f t="shared" si="35"/>
        <v>45859</v>
      </c>
      <c r="Q464" t="str">
        <f t="shared" si="36"/>
        <v>Mamooty Suri</v>
      </c>
      <c r="R464" t="str">
        <f t="shared" si="37"/>
        <v>Bengaluru</v>
      </c>
      <c r="S464" t="str">
        <f t="shared" si="38"/>
        <v>Karnataka</v>
      </c>
      <c r="T464">
        <f t="shared" si="39"/>
        <v>58000</v>
      </c>
    </row>
    <row r="465" spans="1:20" x14ac:dyDescent="0.35">
      <c r="A465" t="s">
        <v>478</v>
      </c>
      <c r="B465" t="s">
        <v>1423</v>
      </c>
      <c r="C465" t="s">
        <v>2153</v>
      </c>
      <c r="D465" t="s">
        <v>2945</v>
      </c>
      <c r="E465" t="s">
        <v>3672</v>
      </c>
      <c r="F465">
        <v>32</v>
      </c>
      <c r="G465" t="s">
        <v>3678</v>
      </c>
      <c r="H465" t="s">
        <v>3683</v>
      </c>
      <c r="I465" t="s">
        <v>3685</v>
      </c>
      <c r="J465" t="s">
        <v>3692</v>
      </c>
      <c r="K465" t="s">
        <v>3695</v>
      </c>
      <c r="L465">
        <v>2</v>
      </c>
      <c r="M465">
        <v>12000</v>
      </c>
      <c r="N465" t="s">
        <v>3704</v>
      </c>
      <c r="O465" t="s">
        <v>3706</v>
      </c>
      <c r="P465" s="2">
        <f t="shared" si="35"/>
        <v>45858</v>
      </c>
      <c r="Q465" t="str">
        <f t="shared" si="36"/>
        <v>Trisha Konda</v>
      </c>
      <c r="R465" t="str">
        <f t="shared" si="37"/>
        <v>Hyderabad</v>
      </c>
      <c r="S465" t="str">
        <f t="shared" si="38"/>
        <v>Telangana</v>
      </c>
      <c r="T465">
        <f t="shared" si="39"/>
        <v>24000</v>
      </c>
    </row>
    <row r="466" spans="1:20" x14ac:dyDescent="0.35">
      <c r="A466" t="s">
        <v>479</v>
      </c>
      <c r="B466" t="s">
        <v>1501</v>
      </c>
      <c r="C466" t="s">
        <v>2154</v>
      </c>
      <c r="D466" t="s">
        <v>2946</v>
      </c>
      <c r="E466" t="s">
        <v>3672</v>
      </c>
      <c r="F466">
        <v>50</v>
      </c>
      <c r="G466" t="s">
        <v>3679</v>
      </c>
      <c r="H466" t="s">
        <v>3684</v>
      </c>
      <c r="I466" t="s">
        <v>3689</v>
      </c>
      <c r="J466" t="s">
        <v>3694</v>
      </c>
      <c r="K466" t="s">
        <v>3699</v>
      </c>
      <c r="L466">
        <v>3</v>
      </c>
      <c r="M466">
        <v>1800</v>
      </c>
      <c r="N466" t="s">
        <v>3703</v>
      </c>
      <c r="O466" t="s">
        <v>3706</v>
      </c>
      <c r="P466" s="2">
        <f t="shared" si="35"/>
        <v>45666</v>
      </c>
      <c r="Q466" t="str">
        <f t="shared" si="36"/>
        <v>Hiran Golla</v>
      </c>
      <c r="R466" t="str">
        <f t="shared" si="37"/>
        <v>Bengaluru</v>
      </c>
      <c r="S466" t="str">
        <f t="shared" si="38"/>
        <v>Karnataka</v>
      </c>
      <c r="T466">
        <f t="shared" si="39"/>
        <v>5400</v>
      </c>
    </row>
    <row r="467" spans="1:20" x14ac:dyDescent="0.35">
      <c r="A467" t="s">
        <v>480</v>
      </c>
      <c r="B467" t="s">
        <v>1548</v>
      </c>
      <c r="C467" t="s">
        <v>2155</v>
      </c>
      <c r="D467" t="s">
        <v>2947</v>
      </c>
      <c r="E467" t="s">
        <v>3671</v>
      </c>
      <c r="F467">
        <v>39</v>
      </c>
      <c r="G467" t="s">
        <v>3673</v>
      </c>
      <c r="H467" t="s">
        <v>3673</v>
      </c>
      <c r="I467" t="s">
        <v>3691</v>
      </c>
      <c r="J467" t="s">
        <v>3693</v>
      </c>
      <c r="K467" t="s">
        <v>3696</v>
      </c>
      <c r="L467">
        <v>5</v>
      </c>
      <c r="M467">
        <v>58000</v>
      </c>
      <c r="N467" t="s">
        <v>3704</v>
      </c>
      <c r="O467" t="s">
        <v>3707</v>
      </c>
      <c r="P467" s="2">
        <f t="shared" si="35"/>
        <v>46006</v>
      </c>
      <c r="Q467" t="str">
        <f t="shared" si="36"/>
        <v>Baiju Saxena</v>
      </c>
      <c r="R467" t="str">
        <f t="shared" si="37"/>
        <v>Delhi</v>
      </c>
      <c r="S467" t="str">
        <f t="shared" si="38"/>
        <v>Delhi</v>
      </c>
      <c r="T467">
        <f t="shared" si="39"/>
        <v>290000</v>
      </c>
    </row>
    <row r="468" spans="1:20" x14ac:dyDescent="0.35">
      <c r="A468" t="s">
        <v>481</v>
      </c>
      <c r="B468" t="s">
        <v>1307</v>
      </c>
      <c r="C468" t="s">
        <v>2156</v>
      </c>
      <c r="D468" t="s">
        <v>2948</v>
      </c>
      <c r="E468" t="s">
        <v>3671</v>
      </c>
      <c r="F468">
        <v>34</v>
      </c>
      <c r="G468" t="s">
        <v>3675</v>
      </c>
      <c r="H468" t="s">
        <v>3681</v>
      </c>
      <c r="I468" t="s">
        <v>3691</v>
      </c>
      <c r="J468" t="s">
        <v>3693</v>
      </c>
      <c r="K468" t="s">
        <v>3696</v>
      </c>
      <c r="L468">
        <v>5</v>
      </c>
      <c r="M468">
        <v>58000</v>
      </c>
      <c r="N468" t="s">
        <v>3703</v>
      </c>
      <c r="O468" t="s">
        <v>3707</v>
      </c>
      <c r="P468" s="2">
        <f t="shared" si="35"/>
        <v>45965</v>
      </c>
      <c r="Q468" t="str">
        <f t="shared" si="36"/>
        <v>Nirvi Srinivasan</v>
      </c>
      <c r="R468" t="str">
        <f t="shared" si="37"/>
        <v>Kolkata</v>
      </c>
      <c r="S468" t="str">
        <f t="shared" si="38"/>
        <v>West Bengal</v>
      </c>
      <c r="T468">
        <f t="shared" si="39"/>
        <v>290000</v>
      </c>
    </row>
    <row r="469" spans="1:20" x14ac:dyDescent="0.35">
      <c r="A469" t="s">
        <v>482</v>
      </c>
      <c r="B469" t="s">
        <v>1549</v>
      </c>
      <c r="C469" t="s">
        <v>2157</v>
      </c>
      <c r="D469" t="s">
        <v>2949</v>
      </c>
      <c r="E469" t="s">
        <v>3671</v>
      </c>
      <c r="F469">
        <v>52</v>
      </c>
      <c r="G469" t="s">
        <v>3679</v>
      </c>
      <c r="H469" t="s">
        <v>3684</v>
      </c>
      <c r="I469" t="s">
        <v>3687</v>
      </c>
      <c r="J469" t="s">
        <v>3693</v>
      </c>
      <c r="K469" t="s">
        <v>3697</v>
      </c>
      <c r="L469">
        <v>3</v>
      </c>
      <c r="M469">
        <v>5000</v>
      </c>
      <c r="N469" t="s">
        <v>3703</v>
      </c>
      <c r="O469" t="s">
        <v>3706</v>
      </c>
      <c r="P469" s="2">
        <f t="shared" si="35"/>
        <v>45947</v>
      </c>
      <c r="Q469" t="str">
        <f t="shared" si="36"/>
        <v>Aarav Raja</v>
      </c>
      <c r="R469" t="str">
        <f t="shared" si="37"/>
        <v>Bengaluru</v>
      </c>
      <c r="S469" t="str">
        <f t="shared" si="38"/>
        <v>Karnataka</v>
      </c>
      <c r="T469">
        <f t="shared" si="39"/>
        <v>15000</v>
      </c>
    </row>
    <row r="470" spans="1:20" x14ac:dyDescent="0.35">
      <c r="A470" t="s">
        <v>483</v>
      </c>
      <c r="B470" t="s">
        <v>1550</v>
      </c>
      <c r="C470" t="s">
        <v>2146</v>
      </c>
      <c r="D470" t="s">
        <v>2950</v>
      </c>
      <c r="E470" t="s">
        <v>3671</v>
      </c>
      <c r="F470">
        <v>18</v>
      </c>
      <c r="G470" t="s">
        <v>3675</v>
      </c>
      <c r="H470" t="s">
        <v>3681</v>
      </c>
      <c r="I470" t="s">
        <v>3687</v>
      </c>
      <c r="J470" t="s">
        <v>3693</v>
      </c>
      <c r="K470" t="s">
        <v>3697</v>
      </c>
      <c r="L470">
        <v>4</v>
      </c>
      <c r="M470">
        <v>5000</v>
      </c>
      <c r="N470" t="s">
        <v>3704</v>
      </c>
      <c r="O470" t="s">
        <v>3706</v>
      </c>
      <c r="P470" s="2">
        <f t="shared" si="35"/>
        <v>45689</v>
      </c>
      <c r="Q470" t="str">
        <f t="shared" si="36"/>
        <v>Ahana Bedi</v>
      </c>
      <c r="R470" t="str">
        <f t="shared" si="37"/>
        <v>Kolkata</v>
      </c>
      <c r="S470" t="str">
        <f t="shared" si="38"/>
        <v>West Bengal</v>
      </c>
      <c r="T470">
        <f t="shared" si="39"/>
        <v>20000</v>
      </c>
    </row>
    <row r="471" spans="1:20" x14ac:dyDescent="0.35">
      <c r="A471" t="s">
        <v>484</v>
      </c>
      <c r="B471" t="s">
        <v>1551</v>
      </c>
      <c r="C471" t="s">
        <v>2074</v>
      </c>
      <c r="D471" t="s">
        <v>2951</v>
      </c>
      <c r="E471" t="s">
        <v>3672</v>
      </c>
      <c r="F471">
        <v>59</v>
      </c>
      <c r="G471" t="s">
        <v>3679</v>
      </c>
      <c r="H471" t="s">
        <v>3684</v>
      </c>
      <c r="I471" t="s">
        <v>3691</v>
      </c>
      <c r="J471" t="s">
        <v>3693</v>
      </c>
      <c r="K471" t="s">
        <v>3696</v>
      </c>
      <c r="L471">
        <v>3</v>
      </c>
      <c r="M471">
        <v>58000</v>
      </c>
      <c r="N471" t="s">
        <v>3701</v>
      </c>
      <c r="O471" t="s">
        <v>3707</v>
      </c>
      <c r="P471" s="2">
        <f t="shared" si="35"/>
        <v>45943</v>
      </c>
      <c r="Q471" t="str">
        <f t="shared" si="36"/>
        <v>Vritika Rajagopal</v>
      </c>
      <c r="R471" t="str">
        <f t="shared" si="37"/>
        <v>Bengaluru</v>
      </c>
      <c r="S471" t="str">
        <f t="shared" si="38"/>
        <v>Karnataka</v>
      </c>
      <c r="T471">
        <f t="shared" si="39"/>
        <v>174000</v>
      </c>
    </row>
    <row r="472" spans="1:20" x14ac:dyDescent="0.35">
      <c r="A472" t="s">
        <v>485</v>
      </c>
      <c r="B472" t="s">
        <v>1297</v>
      </c>
      <c r="C472" t="s">
        <v>2158</v>
      </c>
      <c r="D472" t="s">
        <v>2952</v>
      </c>
      <c r="E472" t="s">
        <v>3671</v>
      </c>
      <c r="F472">
        <v>30</v>
      </c>
      <c r="G472" t="s">
        <v>3675</v>
      </c>
      <c r="H472" t="s">
        <v>3681</v>
      </c>
      <c r="I472" t="s">
        <v>3688</v>
      </c>
      <c r="J472" t="s">
        <v>3694</v>
      </c>
      <c r="K472" t="s">
        <v>3698</v>
      </c>
      <c r="L472">
        <v>5</v>
      </c>
      <c r="M472">
        <v>4500</v>
      </c>
      <c r="N472" t="s">
        <v>3701</v>
      </c>
      <c r="O472" t="s">
        <v>3707</v>
      </c>
      <c r="P472" s="2">
        <f t="shared" si="35"/>
        <v>45871</v>
      </c>
      <c r="Q472" t="str">
        <f t="shared" si="36"/>
        <v>Ritvik Shukla</v>
      </c>
      <c r="R472" t="str">
        <f t="shared" si="37"/>
        <v>Kolkata</v>
      </c>
      <c r="S472" t="str">
        <f t="shared" si="38"/>
        <v>West Bengal</v>
      </c>
      <c r="T472">
        <f t="shared" si="39"/>
        <v>22500</v>
      </c>
    </row>
    <row r="473" spans="1:20" x14ac:dyDescent="0.35">
      <c r="A473" t="s">
        <v>486</v>
      </c>
      <c r="B473" t="s">
        <v>1422</v>
      </c>
      <c r="C473" t="s">
        <v>2159</v>
      </c>
      <c r="D473" t="s">
        <v>2953</v>
      </c>
      <c r="E473" t="s">
        <v>3672</v>
      </c>
      <c r="F473">
        <v>53</v>
      </c>
      <c r="G473" t="s">
        <v>3679</v>
      </c>
      <c r="H473" t="s">
        <v>3684</v>
      </c>
      <c r="I473" t="s">
        <v>3690</v>
      </c>
      <c r="J473" t="s">
        <v>3693</v>
      </c>
      <c r="K473" t="s">
        <v>3700</v>
      </c>
      <c r="L473">
        <v>1</v>
      </c>
      <c r="M473">
        <v>72000</v>
      </c>
      <c r="N473" t="s">
        <v>3702</v>
      </c>
      <c r="O473" t="s">
        <v>3706</v>
      </c>
      <c r="P473" s="2">
        <f t="shared" si="35"/>
        <v>45965</v>
      </c>
      <c r="Q473" t="str">
        <f t="shared" si="36"/>
        <v>Elakshi Kothari</v>
      </c>
      <c r="R473" t="str">
        <f t="shared" si="37"/>
        <v>Bengaluru</v>
      </c>
      <c r="S473" t="str">
        <f t="shared" si="38"/>
        <v>Karnataka</v>
      </c>
      <c r="T473">
        <f t="shared" si="39"/>
        <v>72000</v>
      </c>
    </row>
    <row r="474" spans="1:20" x14ac:dyDescent="0.35">
      <c r="A474" t="s">
        <v>487</v>
      </c>
      <c r="B474" t="s">
        <v>1552</v>
      </c>
      <c r="C474" t="s">
        <v>2125</v>
      </c>
      <c r="D474" t="s">
        <v>2954</v>
      </c>
      <c r="E474" t="s">
        <v>3672</v>
      </c>
      <c r="F474">
        <v>28</v>
      </c>
      <c r="G474" t="s">
        <v>3678</v>
      </c>
      <c r="H474" t="s">
        <v>3683</v>
      </c>
      <c r="I474" t="s">
        <v>3686</v>
      </c>
      <c r="J474" t="s">
        <v>3693</v>
      </c>
      <c r="K474" t="s">
        <v>3696</v>
      </c>
      <c r="L474">
        <v>3</v>
      </c>
      <c r="M474">
        <v>65000</v>
      </c>
      <c r="N474" t="s">
        <v>3702</v>
      </c>
      <c r="O474" t="s">
        <v>3705</v>
      </c>
      <c r="P474" s="2">
        <f t="shared" si="35"/>
        <v>45975</v>
      </c>
      <c r="Q474" t="str">
        <f t="shared" si="36"/>
        <v>Eshani Badami</v>
      </c>
      <c r="R474" t="str">
        <f t="shared" si="37"/>
        <v>Hyderabad</v>
      </c>
      <c r="S474" t="str">
        <f t="shared" si="38"/>
        <v>Telangana</v>
      </c>
      <c r="T474">
        <f t="shared" si="39"/>
        <v>195000</v>
      </c>
    </row>
    <row r="475" spans="1:20" x14ac:dyDescent="0.35">
      <c r="A475" t="s">
        <v>488</v>
      </c>
      <c r="B475" t="s">
        <v>1499</v>
      </c>
      <c r="C475" t="s">
        <v>2160</v>
      </c>
      <c r="D475" t="s">
        <v>2955</v>
      </c>
      <c r="E475" t="s">
        <v>3671</v>
      </c>
      <c r="F475">
        <v>43</v>
      </c>
      <c r="G475" t="s">
        <v>3678</v>
      </c>
      <c r="H475" t="s">
        <v>3683</v>
      </c>
      <c r="I475" t="s">
        <v>3690</v>
      </c>
      <c r="J475" t="s">
        <v>3693</v>
      </c>
      <c r="K475" t="s">
        <v>3700</v>
      </c>
      <c r="L475">
        <v>3</v>
      </c>
      <c r="M475">
        <v>72000</v>
      </c>
      <c r="N475" t="s">
        <v>3703</v>
      </c>
      <c r="O475" t="s">
        <v>3705</v>
      </c>
      <c r="P475" s="2">
        <f t="shared" si="35"/>
        <v>45861</v>
      </c>
      <c r="Q475" t="str">
        <f t="shared" si="36"/>
        <v>Vihaan Kaul</v>
      </c>
      <c r="R475" t="str">
        <f t="shared" si="37"/>
        <v>Hyderabad</v>
      </c>
      <c r="S475" t="str">
        <f t="shared" si="38"/>
        <v>Telangana</v>
      </c>
      <c r="T475">
        <f t="shared" si="39"/>
        <v>216000</v>
      </c>
    </row>
    <row r="476" spans="1:20" x14ac:dyDescent="0.35">
      <c r="A476" t="s">
        <v>489</v>
      </c>
      <c r="B476" t="s">
        <v>1534</v>
      </c>
      <c r="C476" t="s">
        <v>2161</v>
      </c>
      <c r="D476" t="s">
        <v>2956</v>
      </c>
      <c r="E476" t="s">
        <v>3671</v>
      </c>
      <c r="F476">
        <v>19</v>
      </c>
      <c r="G476" t="s">
        <v>3675</v>
      </c>
      <c r="H476" t="s">
        <v>3681</v>
      </c>
      <c r="I476" t="s">
        <v>3691</v>
      </c>
      <c r="J476" t="s">
        <v>3693</v>
      </c>
      <c r="K476" t="s">
        <v>3696</v>
      </c>
      <c r="L476">
        <v>5</v>
      </c>
      <c r="M476">
        <v>58000</v>
      </c>
      <c r="N476" t="s">
        <v>3703</v>
      </c>
      <c r="O476" t="s">
        <v>3707</v>
      </c>
      <c r="P476" s="2">
        <f t="shared" si="35"/>
        <v>46000</v>
      </c>
      <c r="Q476" t="str">
        <f t="shared" si="36"/>
        <v>Raunak Bobal</v>
      </c>
      <c r="R476" t="str">
        <f t="shared" si="37"/>
        <v>Kolkata</v>
      </c>
      <c r="S476" t="str">
        <f t="shared" si="38"/>
        <v>West Bengal</v>
      </c>
      <c r="T476">
        <f t="shared" si="39"/>
        <v>290000</v>
      </c>
    </row>
    <row r="477" spans="1:20" x14ac:dyDescent="0.35">
      <c r="A477" t="s">
        <v>490</v>
      </c>
      <c r="B477" t="s">
        <v>1283</v>
      </c>
      <c r="C477" t="s">
        <v>2162</v>
      </c>
      <c r="D477" t="s">
        <v>2957</v>
      </c>
      <c r="E477" t="s">
        <v>3671</v>
      </c>
      <c r="F477">
        <v>26</v>
      </c>
      <c r="G477" t="s">
        <v>3676</v>
      </c>
      <c r="H477" t="s">
        <v>3682</v>
      </c>
      <c r="I477" t="s">
        <v>3691</v>
      </c>
      <c r="J477" t="s">
        <v>3693</v>
      </c>
      <c r="K477" t="s">
        <v>3696</v>
      </c>
      <c r="L477">
        <v>1</v>
      </c>
      <c r="M477">
        <v>58000</v>
      </c>
      <c r="N477" t="s">
        <v>3701</v>
      </c>
      <c r="O477" t="s">
        <v>3706</v>
      </c>
      <c r="P477" s="2">
        <f t="shared" si="35"/>
        <v>45683</v>
      </c>
      <c r="Q477" t="str">
        <f t="shared" si="36"/>
        <v>Indranil Wali</v>
      </c>
      <c r="R477" t="str">
        <f t="shared" si="37"/>
        <v>Chennai</v>
      </c>
      <c r="S477" t="str">
        <f t="shared" si="38"/>
        <v>Tamil Nadu</v>
      </c>
      <c r="T477">
        <f t="shared" si="39"/>
        <v>58000</v>
      </c>
    </row>
    <row r="478" spans="1:20" x14ac:dyDescent="0.35">
      <c r="A478" t="s">
        <v>491</v>
      </c>
      <c r="B478" t="s">
        <v>1553</v>
      </c>
      <c r="C478" t="s">
        <v>1948</v>
      </c>
      <c r="D478" t="s">
        <v>2958</v>
      </c>
      <c r="E478" t="s">
        <v>3671</v>
      </c>
      <c r="F478">
        <v>47</v>
      </c>
      <c r="G478" t="s">
        <v>3673</v>
      </c>
      <c r="H478" t="s">
        <v>3673</v>
      </c>
      <c r="I478" t="s">
        <v>3688</v>
      </c>
      <c r="J478" t="s">
        <v>3694</v>
      </c>
      <c r="K478" t="s">
        <v>3698</v>
      </c>
      <c r="L478">
        <v>5</v>
      </c>
      <c r="M478">
        <v>4500</v>
      </c>
      <c r="N478" t="s">
        <v>3701</v>
      </c>
      <c r="O478" t="s">
        <v>3707</v>
      </c>
      <c r="P478" s="2">
        <f t="shared" si="35"/>
        <v>45789</v>
      </c>
      <c r="Q478" t="str">
        <f t="shared" si="36"/>
        <v>Arnav Tata</v>
      </c>
      <c r="R478" t="str">
        <f t="shared" si="37"/>
        <v>Delhi</v>
      </c>
      <c r="S478" t="str">
        <f t="shared" si="38"/>
        <v>Delhi</v>
      </c>
      <c r="T478">
        <f t="shared" si="39"/>
        <v>22500</v>
      </c>
    </row>
    <row r="479" spans="1:20" x14ac:dyDescent="0.35">
      <c r="A479" t="s">
        <v>492</v>
      </c>
      <c r="B479" t="s">
        <v>1554</v>
      </c>
      <c r="C479" t="s">
        <v>1952</v>
      </c>
      <c r="D479" t="s">
        <v>2959</v>
      </c>
      <c r="E479" t="s">
        <v>3672</v>
      </c>
      <c r="F479">
        <v>39</v>
      </c>
      <c r="G479" t="s">
        <v>3674</v>
      </c>
      <c r="H479" t="s">
        <v>3680</v>
      </c>
      <c r="I479" t="s">
        <v>3690</v>
      </c>
      <c r="J479" t="s">
        <v>3693</v>
      </c>
      <c r="K479" t="s">
        <v>3700</v>
      </c>
      <c r="L479">
        <v>2</v>
      </c>
      <c r="M479">
        <v>72000</v>
      </c>
      <c r="N479" t="s">
        <v>3704</v>
      </c>
      <c r="O479" t="s">
        <v>3705</v>
      </c>
      <c r="P479" s="2">
        <f t="shared" si="35"/>
        <v>45720</v>
      </c>
      <c r="Q479" t="str">
        <f t="shared" si="36"/>
        <v>Priyansh Dubey</v>
      </c>
      <c r="R479" t="str">
        <f t="shared" si="37"/>
        <v>Pune</v>
      </c>
      <c r="S479" t="str">
        <f t="shared" si="38"/>
        <v>Maharashtra</v>
      </c>
      <c r="T479">
        <f t="shared" si="39"/>
        <v>144000</v>
      </c>
    </row>
    <row r="480" spans="1:20" x14ac:dyDescent="0.35">
      <c r="A480" t="s">
        <v>493</v>
      </c>
      <c r="B480" t="s">
        <v>1530</v>
      </c>
      <c r="C480" t="s">
        <v>2152</v>
      </c>
      <c r="D480" t="s">
        <v>2960</v>
      </c>
      <c r="E480" t="s">
        <v>3671</v>
      </c>
      <c r="F480">
        <v>59</v>
      </c>
      <c r="G480" t="s">
        <v>3679</v>
      </c>
      <c r="H480" t="s">
        <v>3684</v>
      </c>
      <c r="I480" t="s">
        <v>3691</v>
      </c>
      <c r="J480" t="s">
        <v>3693</v>
      </c>
      <c r="K480" t="s">
        <v>3696</v>
      </c>
      <c r="L480">
        <v>3</v>
      </c>
      <c r="M480">
        <v>58000</v>
      </c>
      <c r="N480" t="s">
        <v>3701</v>
      </c>
      <c r="O480" t="s">
        <v>3706</v>
      </c>
      <c r="P480" s="2">
        <f t="shared" si="35"/>
        <v>45809</v>
      </c>
      <c r="Q480" t="str">
        <f t="shared" si="36"/>
        <v>Devansh Bhatt</v>
      </c>
      <c r="R480" t="str">
        <f t="shared" si="37"/>
        <v>Bengaluru</v>
      </c>
      <c r="S480" t="str">
        <f t="shared" si="38"/>
        <v>Karnataka</v>
      </c>
      <c r="T480">
        <f t="shared" si="39"/>
        <v>174000</v>
      </c>
    </row>
    <row r="481" spans="1:20" x14ac:dyDescent="0.35">
      <c r="A481" t="s">
        <v>494</v>
      </c>
      <c r="B481" t="s">
        <v>1300</v>
      </c>
      <c r="C481" t="s">
        <v>2077</v>
      </c>
      <c r="D481" t="s">
        <v>2961</v>
      </c>
      <c r="E481" t="s">
        <v>3671</v>
      </c>
      <c r="F481">
        <v>56</v>
      </c>
      <c r="G481" t="s">
        <v>3675</v>
      </c>
      <c r="H481" t="s">
        <v>3681</v>
      </c>
      <c r="I481" t="s">
        <v>3688</v>
      </c>
      <c r="J481" t="s">
        <v>3694</v>
      </c>
      <c r="K481" t="s">
        <v>3698</v>
      </c>
      <c r="L481">
        <v>1</v>
      </c>
      <c r="M481">
        <v>4500</v>
      </c>
      <c r="N481" t="s">
        <v>3702</v>
      </c>
      <c r="O481" t="s">
        <v>3705</v>
      </c>
      <c r="P481" s="2">
        <f t="shared" si="35"/>
        <v>45905</v>
      </c>
      <c r="Q481" t="str">
        <f t="shared" si="36"/>
        <v>Ishaan Rajagopal</v>
      </c>
      <c r="R481" t="str">
        <f t="shared" si="37"/>
        <v>Kolkata</v>
      </c>
      <c r="S481" t="str">
        <f t="shared" si="38"/>
        <v>West Bengal</v>
      </c>
      <c r="T481">
        <f t="shared" si="39"/>
        <v>4500</v>
      </c>
    </row>
    <row r="482" spans="1:20" x14ac:dyDescent="0.35">
      <c r="A482" t="s">
        <v>495</v>
      </c>
      <c r="B482" t="s">
        <v>1555</v>
      </c>
      <c r="C482" t="s">
        <v>1881</v>
      </c>
      <c r="D482" t="s">
        <v>2962</v>
      </c>
      <c r="E482" t="s">
        <v>3672</v>
      </c>
      <c r="F482">
        <v>53</v>
      </c>
      <c r="G482" t="s">
        <v>3676</v>
      </c>
      <c r="H482" t="s">
        <v>3682</v>
      </c>
      <c r="I482" t="s">
        <v>3691</v>
      </c>
      <c r="J482" t="s">
        <v>3693</v>
      </c>
      <c r="K482" t="s">
        <v>3696</v>
      </c>
      <c r="L482">
        <v>5</v>
      </c>
      <c r="M482">
        <v>58000</v>
      </c>
      <c r="N482" t="s">
        <v>3701</v>
      </c>
      <c r="O482" t="s">
        <v>3706</v>
      </c>
      <c r="P482" s="2">
        <f t="shared" si="35"/>
        <v>45758</v>
      </c>
      <c r="Q482" t="str">
        <f t="shared" si="36"/>
        <v>Sumer Iyer</v>
      </c>
      <c r="R482" t="str">
        <f t="shared" si="37"/>
        <v>Chennai</v>
      </c>
      <c r="S482" t="str">
        <f t="shared" si="38"/>
        <v>Tamil Nadu</v>
      </c>
      <c r="T482">
        <f t="shared" si="39"/>
        <v>290000</v>
      </c>
    </row>
    <row r="483" spans="1:20" x14ac:dyDescent="0.35">
      <c r="A483" t="s">
        <v>496</v>
      </c>
      <c r="B483" t="s">
        <v>1556</v>
      </c>
      <c r="C483" t="s">
        <v>2163</v>
      </c>
      <c r="D483" t="s">
        <v>2963</v>
      </c>
      <c r="E483" t="s">
        <v>3671</v>
      </c>
      <c r="F483">
        <v>45</v>
      </c>
      <c r="G483" t="s">
        <v>3677</v>
      </c>
      <c r="H483" t="s">
        <v>3680</v>
      </c>
      <c r="I483" t="s">
        <v>3689</v>
      </c>
      <c r="J483" t="s">
        <v>3694</v>
      </c>
      <c r="K483" t="s">
        <v>3699</v>
      </c>
      <c r="L483">
        <v>1</v>
      </c>
      <c r="M483">
        <v>1800</v>
      </c>
      <c r="N483" t="s">
        <v>3704</v>
      </c>
      <c r="O483" t="s">
        <v>3705</v>
      </c>
      <c r="P483" s="2">
        <f t="shared" si="35"/>
        <v>45910</v>
      </c>
      <c r="Q483" t="str">
        <f t="shared" si="36"/>
        <v>Aayush Sagar</v>
      </c>
      <c r="R483" t="str">
        <f t="shared" si="37"/>
        <v>Mumbai</v>
      </c>
      <c r="S483" t="str">
        <f t="shared" si="38"/>
        <v>Maharashtra</v>
      </c>
      <c r="T483">
        <f t="shared" si="39"/>
        <v>1800</v>
      </c>
    </row>
    <row r="484" spans="1:20" x14ac:dyDescent="0.35">
      <c r="A484" t="s">
        <v>497</v>
      </c>
      <c r="B484" t="s">
        <v>1557</v>
      </c>
      <c r="C484" t="s">
        <v>1793</v>
      </c>
      <c r="D484" t="s">
        <v>2964</v>
      </c>
      <c r="E484" t="s">
        <v>3672</v>
      </c>
      <c r="F484">
        <v>52</v>
      </c>
      <c r="G484" t="s">
        <v>3675</v>
      </c>
      <c r="H484" t="s">
        <v>3681</v>
      </c>
      <c r="I484" t="s">
        <v>3685</v>
      </c>
      <c r="J484" t="s">
        <v>3692</v>
      </c>
      <c r="K484" t="s">
        <v>3695</v>
      </c>
      <c r="L484">
        <v>1</v>
      </c>
      <c r="M484">
        <v>12000</v>
      </c>
      <c r="N484" t="s">
        <v>3701</v>
      </c>
      <c r="O484" t="s">
        <v>3707</v>
      </c>
      <c r="P484" s="2">
        <f t="shared" si="35"/>
        <v>45769</v>
      </c>
      <c r="Q484" t="str">
        <f t="shared" si="36"/>
        <v>Rania Rajan</v>
      </c>
      <c r="R484" t="str">
        <f t="shared" si="37"/>
        <v>Kolkata</v>
      </c>
      <c r="S484" t="str">
        <f t="shared" si="38"/>
        <v>West Bengal</v>
      </c>
      <c r="T484">
        <f t="shared" si="39"/>
        <v>12000</v>
      </c>
    </row>
    <row r="485" spans="1:20" x14ac:dyDescent="0.35">
      <c r="A485" t="s">
        <v>498</v>
      </c>
      <c r="B485" t="s">
        <v>1558</v>
      </c>
      <c r="C485" t="s">
        <v>2164</v>
      </c>
      <c r="D485" t="s">
        <v>2965</v>
      </c>
      <c r="E485" t="s">
        <v>3671</v>
      </c>
      <c r="F485">
        <v>26</v>
      </c>
      <c r="G485" t="s">
        <v>3674</v>
      </c>
      <c r="H485" t="s">
        <v>3680</v>
      </c>
      <c r="I485" t="s">
        <v>3687</v>
      </c>
      <c r="J485" t="s">
        <v>3693</v>
      </c>
      <c r="K485" t="s">
        <v>3697</v>
      </c>
      <c r="L485">
        <v>2</v>
      </c>
      <c r="M485">
        <v>5000</v>
      </c>
      <c r="N485" t="s">
        <v>3702</v>
      </c>
      <c r="O485" t="s">
        <v>3706</v>
      </c>
      <c r="P485" s="2">
        <f t="shared" si="35"/>
        <v>45830</v>
      </c>
      <c r="Q485" t="str">
        <f t="shared" si="36"/>
        <v>Eshani Master</v>
      </c>
      <c r="R485" t="str">
        <f t="shared" si="37"/>
        <v>Pune</v>
      </c>
      <c r="S485" t="str">
        <f t="shared" si="38"/>
        <v>Maharashtra</v>
      </c>
      <c r="T485">
        <f t="shared" si="39"/>
        <v>10000</v>
      </c>
    </row>
    <row r="486" spans="1:20" x14ac:dyDescent="0.35">
      <c r="A486" t="s">
        <v>499</v>
      </c>
      <c r="B486" t="s">
        <v>1559</v>
      </c>
      <c r="C486" t="s">
        <v>2165</v>
      </c>
      <c r="D486" t="s">
        <v>2966</v>
      </c>
      <c r="E486" t="s">
        <v>3672</v>
      </c>
      <c r="F486">
        <v>18</v>
      </c>
      <c r="G486" t="s">
        <v>3673</v>
      </c>
      <c r="H486" t="s">
        <v>3673</v>
      </c>
      <c r="I486" t="s">
        <v>3691</v>
      </c>
      <c r="J486" t="s">
        <v>3693</v>
      </c>
      <c r="K486" t="s">
        <v>3696</v>
      </c>
      <c r="L486">
        <v>4</v>
      </c>
      <c r="M486">
        <v>58000</v>
      </c>
      <c r="N486" t="s">
        <v>3704</v>
      </c>
      <c r="O486" t="s">
        <v>3705</v>
      </c>
      <c r="P486" s="2">
        <f t="shared" si="35"/>
        <v>45791</v>
      </c>
      <c r="Q486" t="str">
        <f t="shared" si="36"/>
        <v>Vivaan Toor</v>
      </c>
      <c r="R486" t="str">
        <f t="shared" si="37"/>
        <v>Delhi</v>
      </c>
      <c r="S486" t="str">
        <f t="shared" si="38"/>
        <v>Delhi</v>
      </c>
      <c r="T486">
        <f t="shared" si="39"/>
        <v>232000</v>
      </c>
    </row>
    <row r="487" spans="1:20" x14ac:dyDescent="0.35">
      <c r="A487" t="s">
        <v>500</v>
      </c>
      <c r="B487" t="s">
        <v>1449</v>
      </c>
      <c r="C487" t="s">
        <v>2166</v>
      </c>
      <c r="D487" t="s">
        <v>2967</v>
      </c>
      <c r="E487" t="s">
        <v>3671</v>
      </c>
      <c r="F487">
        <v>21</v>
      </c>
      <c r="G487" t="s">
        <v>3675</v>
      </c>
      <c r="H487" t="s">
        <v>3681</v>
      </c>
      <c r="I487" t="s">
        <v>3691</v>
      </c>
      <c r="J487" t="s">
        <v>3693</v>
      </c>
      <c r="K487" t="s">
        <v>3696</v>
      </c>
      <c r="L487">
        <v>5</v>
      </c>
      <c r="M487">
        <v>58000</v>
      </c>
      <c r="N487" t="s">
        <v>3702</v>
      </c>
      <c r="O487" t="s">
        <v>3705</v>
      </c>
      <c r="P487" s="2">
        <f t="shared" si="35"/>
        <v>45707</v>
      </c>
      <c r="Q487" t="str">
        <f t="shared" si="36"/>
        <v>Ayesha Kapadia</v>
      </c>
      <c r="R487" t="str">
        <f t="shared" si="37"/>
        <v>Kolkata</v>
      </c>
      <c r="S487" t="str">
        <f t="shared" si="38"/>
        <v>West Bengal</v>
      </c>
      <c r="T487">
        <f t="shared" si="39"/>
        <v>290000</v>
      </c>
    </row>
    <row r="488" spans="1:20" x14ac:dyDescent="0.35">
      <c r="A488" t="s">
        <v>501</v>
      </c>
      <c r="B488" t="s">
        <v>1560</v>
      </c>
      <c r="C488" t="s">
        <v>2130</v>
      </c>
      <c r="D488" t="s">
        <v>2968</v>
      </c>
      <c r="E488" t="s">
        <v>3671</v>
      </c>
      <c r="F488">
        <v>22</v>
      </c>
      <c r="G488" t="s">
        <v>3674</v>
      </c>
      <c r="H488" t="s">
        <v>3680</v>
      </c>
      <c r="I488" t="s">
        <v>3690</v>
      </c>
      <c r="J488" t="s">
        <v>3693</v>
      </c>
      <c r="K488" t="s">
        <v>3700</v>
      </c>
      <c r="L488">
        <v>3</v>
      </c>
      <c r="M488">
        <v>72000</v>
      </c>
      <c r="N488" t="s">
        <v>3703</v>
      </c>
      <c r="O488" t="s">
        <v>3705</v>
      </c>
      <c r="P488" s="2">
        <f t="shared" si="35"/>
        <v>45772</v>
      </c>
      <c r="Q488" t="str">
        <f t="shared" si="36"/>
        <v>Aradhya Sabharwal</v>
      </c>
      <c r="R488" t="str">
        <f t="shared" si="37"/>
        <v>Pune</v>
      </c>
      <c r="S488" t="str">
        <f t="shared" si="38"/>
        <v>Maharashtra</v>
      </c>
      <c r="T488">
        <f t="shared" si="39"/>
        <v>216000</v>
      </c>
    </row>
    <row r="489" spans="1:20" x14ac:dyDescent="0.35">
      <c r="A489" t="s">
        <v>502</v>
      </c>
      <c r="B489" t="s">
        <v>1374</v>
      </c>
      <c r="C489" t="s">
        <v>2167</v>
      </c>
      <c r="D489" t="s">
        <v>2969</v>
      </c>
      <c r="E489" t="s">
        <v>3671</v>
      </c>
      <c r="F489">
        <v>29</v>
      </c>
      <c r="G489" t="s">
        <v>3675</v>
      </c>
      <c r="H489" t="s">
        <v>3681</v>
      </c>
      <c r="I489" t="s">
        <v>3686</v>
      </c>
      <c r="J489" t="s">
        <v>3693</v>
      </c>
      <c r="K489" t="s">
        <v>3696</v>
      </c>
      <c r="L489">
        <v>4</v>
      </c>
      <c r="M489">
        <v>65000</v>
      </c>
      <c r="N489" t="s">
        <v>3703</v>
      </c>
      <c r="O489" t="s">
        <v>3705</v>
      </c>
      <c r="P489" s="2">
        <f t="shared" si="35"/>
        <v>45836</v>
      </c>
      <c r="Q489" t="str">
        <f t="shared" si="36"/>
        <v>Adah Gara</v>
      </c>
      <c r="R489" t="str">
        <f t="shared" si="37"/>
        <v>Kolkata</v>
      </c>
      <c r="S489" t="str">
        <f t="shared" si="38"/>
        <v>West Bengal</v>
      </c>
      <c r="T489">
        <f t="shared" si="39"/>
        <v>260000</v>
      </c>
    </row>
    <row r="490" spans="1:20" x14ac:dyDescent="0.35">
      <c r="A490" t="s">
        <v>503</v>
      </c>
      <c r="B490" t="s">
        <v>1561</v>
      </c>
      <c r="C490" t="s">
        <v>2075</v>
      </c>
      <c r="D490" t="s">
        <v>2970</v>
      </c>
      <c r="E490" t="s">
        <v>3671</v>
      </c>
      <c r="F490">
        <v>28</v>
      </c>
      <c r="G490" t="s">
        <v>3679</v>
      </c>
      <c r="H490" t="s">
        <v>3684</v>
      </c>
      <c r="I490" t="s">
        <v>3690</v>
      </c>
      <c r="J490" t="s">
        <v>3693</v>
      </c>
      <c r="K490" t="s">
        <v>3700</v>
      </c>
      <c r="L490">
        <v>3</v>
      </c>
      <c r="M490">
        <v>72000</v>
      </c>
      <c r="N490" t="s">
        <v>3702</v>
      </c>
      <c r="O490" t="s">
        <v>3705</v>
      </c>
      <c r="P490" s="2">
        <f t="shared" si="35"/>
        <v>45865</v>
      </c>
      <c r="Q490" t="str">
        <f t="shared" si="36"/>
        <v>Prisha Deo</v>
      </c>
      <c r="R490" t="str">
        <f t="shared" si="37"/>
        <v>Bengaluru</v>
      </c>
      <c r="S490" t="str">
        <f t="shared" si="38"/>
        <v>Karnataka</v>
      </c>
      <c r="T490">
        <f t="shared" si="39"/>
        <v>216000</v>
      </c>
    </row>
    <row r="491" spans="1:20" x14ac:dyDescent="0.35">
      <c r="A491" t="s">
        <v>504</v>
      </c>
      <c r="B491" t="s">
        <v>1562</v>
      </c>
      <c r="C491" t="s">
        <v>2041</v>
      </c>
      <c r="D491" t="s">
        <v>2971</v>
      </c>
      <c r="E491" t="s">
        <v>3671</v>
      </c>
      <c r="F491">
        <v>51</v>
      </c>
      <c r="G491" t="s">
        <v>3674</v>
      </c>
      <c r="H491" t="s">
        <v>3680</v>
      </c>
      <c r="I491" t="s">
        <v>3686</v>
      </c>
      <c r="J491" t="s">
        <v>3693</v>
      </c>
      <c r="K491" t="s">
        <v>3696</v>
      </c>
      <c r="L491">
        <v>1</v>
      </c>
      <c r="M491">
        <v>65000</v>
      </c>
      <c r="N491" t="s">
        <v>3703</v>
      </c>
      <c r="O491" t="s">
        <v>3706</v>
      </c>
      <c r="P491" s="2">
        <f t="shared" si="35"/>
        <v>45665</v>
      </c>
      <c r="Q491" t="str">
        <f t="shared" si="36"/>
        <v>Kashvi Bhardwaj</v>
      </c>
      <c r="R491" t="str">
        <f t="shared" si="37"/>
        <v>Pune</v>
      </c>
      <c r="S491" t="str">
        <f t="shared" si="38"/>
        <v>Maharashtra</v>
      </c>
      <c r="T491">
        <f t="shared" si="39"/>
        <v>65000</v>
      </c>
    </row>
    <row r="492" spans="1:20" x14ac:dyDescent="0.35">
      <c r="A492" t="s">
        <v>505</v>
      </c>
      <c r="B492" t="s">
        <v>1563</v>
      </c>
      <c r="C492" t="s">
        <v>2168</v>
      </c>
      <c r="D492" t="s">
        <v>2972</v>
      </c>
      <c r="E492" t="s">
        <v>3672</v>
      </c>
      <c r="F492">
        <v>46</v>
      </c>
      <c r="G492" t="s">
        <v>3678</v>
      </c>
      <c r="H492" t="s">
        <v>3683</v>
      </c>
      <c r="I492" t="s">
        <v>3687</v>
      </c>
      <c r="J492" t="s">
        <v>3693</v>
      </c>
      <c r="K492" t="s">
        <v>3697</v>
      </c>
      <c r="L492">
        <v>4</v>
      </c>
      <c r="M492">
        <v>5000</v>
      </c>
      <c r="N492" t="s">
        <v>3704</v>
      </c>
      <c r="O492" t="s">
        <v>3705</v>
      </c>
      <c r="P492" s="2">
        <f t="shared" si="35"/>
        <v>45860</v>
      </c>
      <c r="Q492" t="str">
        <f t="shared" si="36"/>
        <v>Kartik Toor</v>
      </c>
      <c r="R492" t="str">
        <f t="shared" si="37"/>
        <v>Hyderabad</v>
      </c>
      <c r="S492" t="str">
        <f t="shared" si="38"/>
        <v>Telangana</v>
      </c>
      <c r="T492">
        <f t="shared" si="39"/>
        <v>20000</v>
      </c>
    </row>
    <row r="493" spans="1:20" x14ac:dyDescent="0.35">
      <c r="A493" t="s">
        <v>506</v>
      </c>
      <c r="B493" t="s">
        <v>1564</v>
      </c>
      <c r="C493" t="s">
        <v>1957</v>
      </c>
      <c r="D493" t="s">
        <v>2973</v>
      </c>
      <c r="E493" t="s">
        <v>3672</v>
      </c>
      <c r="F493">
        <v>30</v>
      </c>
      <c r="G493" t="s">
        <v>3673</v>
      </c>
      <c r="H493" t="s">
        <v>3673</v>
      </c>
      <c r="I493" t="s">
        <v>3690</v>
      </c>
      <c r="J493" t="s">
        <v>3693</v>
      </c>
      <c r="K493" t="s">
        <v>3700</v>
      </c>
      <c r="L493">
        <v>5</v>
      </c>
      <c r="M493">
        <v>72000</v>
      </c>
      <c r="N493" t="s">
        <v>3703</v>
      </c>
      <c r="O493" t="s">
        <v>3707</v>
      </c>
      <c r="P493" s="2">
        <f t="shared" si="35"/>
        <v>45670</v>
      </c>
      <c r="Q493" t="str">
        <f t="shared" si="36"/>
        <v>Lakshay Bansal</v>
      </c>
      <c r="R493" t="str">
        <f t="shared" si="37"/>
        <v>Delhi</v>
      </c>
      <c r="S493" t="str">
        <f t="shared" si="38"/>
        <v>Delhi</v>
      </c>
      <c r="T493">
        <f t="shared" si="39"/>
        <v>360000</v>
      </c>
    </row>
    <row r="494" spans="1:20" x14ac:dyDescent="0.35">
      <c r="A494" t="s">
        <v>507</v>
      </c>
      <c r="B494" t="s">
        <v>1565</v>
      </c>
      <c r="C494" t="s">
        <v>2169</v>
      </c>
      <c r="D494" t="s">
        <v>2974</v>
      </c>
      <c r="E494" t="s">
        <v>3671</v>
      </c>
      <c r="F494">
        <v>58</v>
      </c>
      <c r="G494" t="s">
        <v>3673</v>
      </c>
      <c r="H494" t="s">
        <v>3673</v>
      </c>
      <c r="I494" t="s">
        <v>3686</v>
      </c>
      <c r="J494" t="s">
        <v>3693</v>
      </c>
      <c r="K494" t="s">
        <v>3696</v>
      </c>
      <c r="L494">
        <v>1</v>
      </c>
      <c r="M494">
        <v>65000</v>
      </c>
      <c r="N494" t="s">
        <v>3702</v>
      </c>
      <c r="O494" t="s">
        <v>3706</v>
      </c>
      <c r="P494" s="2">
        <f t="shared" si="35"/>
        <v>45766</v>
      </c>
      <c r="Q494" t="str">
        <f t="shared" si="36"/>
        <v>Advika Kuruvilla</v>
      </c>
      <c r="R494" t="str">
        <f t="shared" si="37"/>
        <v>Delhi</v>
      </c>
      <c r="S494" t="str">
        <f t="shared" si="38"/>
        <v>Delhi</v>
      </c>
      <c r="T494">
        <f t="shared" si="39"/>
        <v>65000</v>
      </c>
    </row>
    <row r="495" spans="1:20" x14ac:dyDescent="0.35">
      <c r="A495" t="s">
        <v>508</v>
      </c>
      <c r="B495" t="s">
        <v>1527</v>
      </c>
      <c r="C495" t="s">
        <v>2043</v>
      </c>
      <c r="D495" t="s">
        <v>2975</v>
      </c>
      <c r="E495" t="s">
        <v>3671</v>
      </c>
      <c r="F495">
        <v>59</v>
      </c>
      <c r="G495" t="s">
        <v>3674</v>
      </c>
      <c r="H495" t="s">
        <v>3680</v>
      </c>
      <c r="I495" t="s">
        <v>3690</v>
      </c>
      <c r="J495" t="s">
        <v>3693</v>
      </c>
      <c r="K495" t="s">
        <v>3700</v>
      </c>
      <c r="L495">
        <v>2</v>
      </c>
      <c r="M495">
        <v>72000</v>
      </c>
      <c r="N495" t="s">
        <v>3701</v>
      </c>
      <c r="O495" t="s">
        <v>3706</v>
      </c>
      <c r="P495" s="2">
        <f t="shared" si="35"/>
        <v>45912</v>
      </c>
      <c r="Q495" t="str">
        <f t="shared" si="36"/>
        <v>Hansh Toor</v>
      </c>
      <c r="R495" t="str">
        <f t="shared" si="37"/>
        <v>Pune</v>
      </c>
      <c r="S495" t="str">
        <f t="shared" si="38"/>
        <v>Maharashtra</v>
      </c>
      <c r="T495">
        <f t="shared" si="39"/>
        <v>144000</v>
      </c>
    </row>
    <row r="496" spans="1:20" x14ac:dyDescent="0.35">
      <c r="A496" t="s">
        <v>509</v>
      </c>
      <c r="B496" t="s">
        <v>1308</v>
      </c>
      <c r="C496" t="s">
        <v>1991</v>
      </c>
      <c r="D496" t="s">
        <v>2976</v>
      </c>
      <c r="E496" t="s">
        <v>3671</v>
      </c>
      <c r="F496">
        <v>41</v>
      </c>
      <c r="G496" t="s">
        <v>3678</v>
      </c>
      <c r="H496" t="s">
        <v>3683</v>
      </c>
      <c r="I496" t="s">
        <v>3689</v>
      </c>
      <c r="J496" t="s">
        <v>3694</v>
      </c>
      <c r="K496" t="s">
        <v>3699</v>
      </c>
      <c r="L496">
        <v>1</v>
      </c>
      <c r="M496">
        <v>1800</v>
      </c>
      <c r="N496" t="s">
        <v>3701</v>
      </c>
      <c r="O496" t="s">
        <v>3707</v>
      </c>
      <c r="P496" s="2">
        <f t="shared" si="35"/>
        <v>45837</v>
      </c>
      <c r="Q496" t="str">
        <f t="shared" si="36"/>
        <v>Tejas Som</v>
      </c>
      <c r="R496" t="str">
        <f t="shared" si="37"/>
        <v>Hyderabad</v>
      </c>
      <c r="S496" t="str">
        <f t="shared" si="38"/>
        <v>Telangana</v>
      </c>
      <c r="T496">
        <f t="shared" si="39"/>
        <v>1800</v>
      </c>
    </row>
    <row r="497" spans="1:20" x14ac:dyDescent="0.35">
      <c r="A497" t="s">
        <v>510</v>
      </c>
      <c r="B497" t="s">
        <v>1566</v>
      </c>
      <c r="C497" t="s">
        <v>2170</v>
      </c>
      <c r="D497" t="s">
        <v>2977</v>
      </c>
      <c r="E497" t="s">
        <v>3671</v>
      </c>
      <c r="F497">
        <v>59</v>
      </c>
      <c r="G497" t="s">
        <v>3677</v>
      </c>
      <c r="H497" t="s">
        <v>3680</v>
      </c>
      <c r="I497" t="s">
        <v>3685</v>
      </c>
      <c r="J497" t="s">
        <v>3692</v>
      </c>
      <c r="K497" t="s">
        <v>3695</v>
      </c>
      <c r="L497">
        <v>2</v>
      </c>
      <c r="M497">
        <v>12000</v>
      </c>
      <c r="N497" t="s">
        <v>3703</v>
      </c>
      <c r="O497" t="s">
        <v>3706</v>
      </c>
      <c r="P497" s="2">
        <f t="shared" si="35"/>
        <v>45855</v>
      </c>
      <c r="Q497" t="str">
        <f t="shared" si="36"/>
        <v>Hridaan Verma</v>
      </c>
      <c r="R497" t="str">
        <f t="shared" si="37"/>
        <v>Mumbai</v>
      </c>
      <c r="S497" t="str">
        <f t="shared" si="38"/>
        <v>Maharashtra</v>
      </c>
      <c r="T497">
        <f t="shared" si="39"/>
        <v>24000</v>
      </c>
    </row>
    <row r="498" spans="1:20" x14ac:dyDescent="0.35">
      <c r="A498" t="s">
        <v>511</v>
      </c>
      <c r="B498" t="s">
        <v>1491</v>
      </c>
      <c r="C498" t="s">
        <v>2171</v>
      </c>
      <c r="D498" t="s">
        <v>2978</v>
      </c>
      <c r="E498" t="s">
        <v>3671</v>
      </c>
      <c r="F498">
        <v>23</v>
      </c>
      <c r="G498" t="s">
        <v>3678</v>
      </c>
      <c r="H498" t="s">
        <v>3683</v>
      </c>
      <c r="I498" t="s">
        <v>3687</v>
      </c>
      <c r="J498" t="s">
        <v>3693</v>
      </c>
      <c r="K498" t="s">
        <v>3697</v>
      </c>
      <c r="L498">
        <v>3</v>
      </c>
      <c r="M498">
        <v>5000</v>
      </c>
      <c r="N498" t="s">
        <v>3701</v>
      </c>
      <c r="O498" t="s">
        <v>3706</v>
      </c>
      <c r="P498" s="2">
        <f t="shared" si="35"/>
        <v>45794</v>
      </c>
      <c r="Q498" t="str">
        <f t="shared" si="36"/>
        <v>Saanvi Bains</v>
      </c>
      <c r="R498" t="str">
        <f t="shared" si="37"/>
        <v>Hyderabad</v>
      </c>
      <c r="S498" t="str">
        <f t="shared" si="38"/>
        <v>Telangana</v>
      </c>
      <c r="T498">
        <f t="shared" si="39"/>
        <v>15000</v>
      </c>
    </row>
    <row r="499" spans="1:20" x14ac:dyDescent="0.35">
      <c r="A499" t="s">
        <v>512</v>
      </c>
      <c r="B499" t="s">
        <v>1485</v>
      </c>
      <c r="C499" t="s">
        <v>1954</v>
      </c>
      <c r="D499" t="s">
        <v>2979</v>
      </c>
      <c r="E499" t="s">
        <v>3671</v>
      </c>
      <c r="F499">
        <v>32</v>
      </c>
      <c r="G499" t="s">
        <v>3674</v>
      </c>
      <c r="H499" t="s">
        <v>3680</v>
      </c>
      <c r="I499" t="s">
        <v>3691</v>
      </c>
      <c r="J499" t="s">
        <v>3693</v>
      </c>
      <c r="K499" t="s">
        <v>3696</v>
      </c>
      <c r="L499">
        <v>5</v>
      </c>
      <c r="M499">
        <v>58000</v>
      </c>
      <c r="N499" t="s">
        <v>3702</v>
      </c>
      <c r="O499" t="s">
        <v>3706</v>
      </c>
      <c r="P499" s="2">
        <f t="shared" si="35"/>
        <v>46015</v>
      </c>
      <c r="Q499" t="str">
        <f t="shared" si="36"/>
        <v>Vedika Sundaram</v>
      </c>
      <c r="R499" t="str">
        <f t="shared" si="37"/>
        <v>Pune</v>
      </c>
      <c r="S499" t="str">
        <f t="shared" si="38"/>
        <v>Maharashtra</v>
      </c>
      <c r="T499">
        <f t="shared" si="39"/>
        <v>290000</v>
      </c>
    </row>
    <row r="500" spans="1:20" x14ac:dyDescent="0.35">
      <c r="A500" t="s">
        <v>513</v>
      </c>
      <c r="B500" t="s">
        <v>1567</v>
      </c>
      <c r="C500" t="s">
        <v>2172</v>
      </c>
      <c r="D500" t="s">
        <v>2980</v>
      </c>
      <c r="E500" t="s">
        <v>3672</v>
      </c>
      <c r="F500">
        <v>33</v>
      </c>
      <c r="G500" t="s">
        <v>3676</v>
      </c>
      <c r="H500" t="s">
        <v>3682</v>
      </c>
      <c r="I500" t="s">
        <v>3685</v>
      </c>
      <c r="J500" t="s">
        <v>3692</v>
      </c>
      <c r="K500" t="s">
        <v>3695</v>
      </c>
      <c r="L500">
        <v>5</v>
      </c>
      <c r="M500">
        <v>12000</v>
      </c>
      <c r="N500" t="s">
        <v>3704</v>
      </c>
      <c r="O500" t="s">
        <v>3707</v>
      </c>
      <c r="P500" s="2">
        <f t="shared" si="35"/>
        <v>45918</v>
      </c>
      <c r="Q500" t="str">
        <f t="shared" si="36"/>
        <v>Hazel Rama</v>
      </c>
      <c r="R500" t="str">
        <f t="shared" si="37"/>
        <v>Chennai</v>
      </c>
      <c r="S500" t="str">
        <f t="shared" si="38"/>
        <v>Tamil Nadu</v>
      </c>
      <c r="T500">
        <f t="shared" si="39"/>
        <v>60000</v>
      </c>
    </row>
    <row r="501" spans="1:20" x14ac:dyDescent="0.35">
      <c r="A501" t="s">
        <v>514</v>
      </c>
      <c r="B501" t="s">
        <v>1363</v>
      </c>
      <c r="C501" t="s">
        <v>2173</v>
      </c>
      <c r="D501" t="s">
        <v>2981</v>
      </c>
      <c r="E501" t="s">
        <v>3671</v>
      </c>
      <c r="F501">
        <v>52</v>
      </c>
      <c r="G501" t="s">
        <v>3677</v>
      </c>
      <c r="H501" t="s">
        <v>3680</v>
      </c>
      <c r="I501" t="s">
        <v>3687</v>
      </c>
      <c r="J501" t="s">
        <v>3693</v>
      </c>
      <c r="K501" t="s">
        <v>3697</v>
      </c>
      <c r="L501">
        <v>2</v>
      </c>
      <c r="M501">
        <v>5000</v>
      </c>
      <c r="N501" t="s">
        <v>3704</v>
      </c>
      <c r="O501" t="s">
        <v>3705</v>
      </c>
      <c r="P501" s="2">
        <f t="shared" si="35"/>
        <v>45830</v>
      </c>
      <c r="Q501" t="str">
        <f t="shared" si="36"/>
        <v>Eva Kohli</v>
      </c>
      <c r="R501" t="str">
        <f t="shared" si="37"/>
        <v>Mumbai</v>
      </c>
      <c r="S501" t="str">
        <f t="shared" si="38"/>
        <v>Maharashtra</v>
      </c>
      <c r="T501">
        <f t="shared" si="39"/>
        <v>10000</v>
      </c>
    </row>
    <row r="502" spans="1:20" x14ac:dyDescent="0.35">
      <c r="A502" t="s">
        <v>515</v>
      </c>
      <c r="B502" t="s">
        <v>1568</v>
      </c>
      <c r="C502" t="s">
        <v>2174</v>
      </c>
      <c r="D502" t="s">
        <v>2982</v>
      </c>
      <c r="E502" t="s">
        <v>3671</v>
      </c>
      <c r="F502">
        <v>56</v>
      </c>
      <c r="G502" t="s">
        <v>3676</v>
      </c>
      <c r="H502" t="s">
        <v>3682</v>
      </c>
      <c r="I502" t="s">
        <v>3691</v>
      </c>
      <c r="J502" t="s">
        <v>3693</v>
      </c>
      <c r="K502" t="s">
        <v>3696</v>
      </c>
      <c r="L502">
        <v>4</v>
      </c>
      <c r="M502">
        <v>58000</v>
      </c>
      <c r="N502" t="s">
        <v>3702</v>
      </c>
      <c r="O502" t="s">
        <v>3707</v>
      </c>
      <c r="P502" s="2">
        <f t="shared" si="35"/>
        <v>45709</v>
      </c>
      <c r="Q502" t="str">
        <f t="shared" si="36"/>
        <v>Aarush Lanka</v>
      </c>
      <c r="R502" t="str">
        <f t="shared" si="37"/>
        <v>Chennai</v>
      </c>
      <c r="S502" t="str">
        <f t="shared" si="38"/>
        <v>Tamil Nadu</v>
      </c>
      <c r="T502">
        <f t="shared" si="39"/>
        <v>232000</v>
      </c>
    </row>
    <row r="503" spans="1:20" x14ac:dyDescent="0.35">
      <c r="A503" t="s">
        <v>516</v>
      </c>
      <c r="B503" t="s">
        <v>1519</v>
      </c>
      <c r="C503" t="s">
        <v>2175</v>
      </c>
      <c r="D503" t="s">
        <v>2983</v>
      </c>
      <c r="E503" t="s">
        <v>3671</v>
      </c>
      <c r="F503">
        <v>48</v>
      </c>
      <c r="G503" t="s">
        <v>3673</v>
      </c>
      <c r="H503" t="s">
        <v>3673</v>
      </c>
      <c r="I503" t="s">
        <v>3690</v>
      </c>
      <c r="J503" t="s">
        <v>3693</v>
      </c>
      <c r="K503" t="s">
        <v>3700</v>
      </c>
      <c r="L503">
        <v>2</v>
      </c>
      <c r="M503">
        <v>72000</v>
      </c>
      <c r="N503" t="s">
        <v>3702</v>
      </c>
      <c r="O503" t="s">
        <v>3706</v>
      </c>
      <c r="P503" s="2">
        <f t="shared" si="35"/>
        <v>45914</v>
      </c>
      <c r="Q503" t="str">
        <f t="shared" si="36"/>
        <v>Aniruddh Chawla</v>
      </c>
      <c r="R503" t="str">
        <f t="shared" si="37"/>
        <v>Delhi</v>
      </c>
      <c r="S503" t="str">
        <f t="shared" si="38"/>
        <v>Delhi</v>
      </c>
      <c r="T503">
        <f t="shared" si="39"/>
        <v>144000</v>
      </c>
    </row>
    <row r="504" spans="1:20" x14ac:dyDescent="0.35">
      <c r="A504" t="s">
        <v>517</v>
      </c>
      <c r="B504" t="s">
        <v>1296</v>
      </c>
      <c r="C504" t="s">
        <v>2008</v>
      </c>
      <c r="D504" t="s">
        <v>2984</v>
      </c>
      <c r="E504" t="s">
        <v>3672</v>
      </c>
      <c r="F504">
        <v>27</v>
      </c>
      <c r="G504" t="s">
        <v>3676</v>
      </c>
      <c r="H504" t="s">
        <v>3682</v>
      </c>
      <c r="I504" t="s">
        <v>3688</v>
      </c>
      <c r="J504" t="s">
        <v>3694</v>
      </c>
      <c r="K504" t="s">
        <v>3698</v>
      </c>
      <c r="L504">
        <v>4</v>
      </c>
      <c r="M504">
        <v>4500</v>
      </c>
      <c r="N504" t="s">
        <v>3704</v>
      </c>
      <c r="O504" t="s">
        <v>3705</v>
      </c>
      <c r="P504" s="2">
        <f t="shared" si="35"/>
        <v>45896</v>
      </c>
      <c r="Q504" t="str">
        <f t="shared" si="36"/>
        <v>Ritvik Shere</v>
      </c>
      <c r="R504" t="str">
        <f t="shared" si="37"/>
        <v>Chennai</v>
      </c>
      <c r="S504" t="str">
        <f t="shared" si="38"/>
        <v>Tamil Nadu</v>
      </c>
      <c r="T504">
        <f t="shared" si="39"/>
        <v>18000</v>
      </c>
    </row>
    <row r="505" spans="1:20" x14ac:dyDescent="0.35">
      <c r="A505" t="s">
        <v>518</v>
      </c>
      <c r="B505" t="s">
        <v>1569</v>
      </c>
      <c r="C505" t="s">
        <v>2176</v>
      </c>
      <c r="D505" t="s">
        <v>2985</v>
      </c>
      <c r="E505" t="s">
        <v>3672</v>
      </c>
      <c r="F505">
        <v>53</v>
      </c>
      <c r="G505" t="s">
        <v>3679</v>
      </c>
      <c r="H505" t="s">
        <v>3684</v>
      </c>
      <c r="I505" t="s">
        <v>3690</v>
      </c>
      <c r="J505" t="s">
        <v>3693</v>
      </c>
      <c r="K505" t="s">
        <v>3700</v>
      </c>
      <c r="L505">
        <v>5</v>
      </c>
      <c r="M505">
        <v>72000</v>
      </c>
      <c r="N505" t="s">
        <v>3701</v>
      </c>
      <c r="O505" t="s">
        <v>3706</v>
      </c>
      <c r="P505" s="2">
        <f t="shared" si="35"/>
        <v>45996</v>
      </c>
      <c r="Q505" t="str">
        <f t="shared" si="36"/>
        <v>Prerak Uppal</v>
      </c>
      <c r="R505" t="str">
        <f t="shared" si="37"/>
        <v>Bengaluru</v>
      </c>
      <c r="S505" t="str">
        <f t="shared" si="38"/>
        <v>Karnataka</v>
      </c>
      <c r="T505">
        <f t="shared" si="39"/>
        <v>360000</v>
      </c>
    </row>
    <row r="506" spans="1:20" x14ac:dyDescent="0.35">
      <c r="A506" t="s">
        <v>519</v>
      </c>
      <c r="B506" t="s">
        <v>1543</v>
      </c>
      <c r="C506" t="s">
        <v>2177</v>
      </c>
      <c r="D506" t="s">
        <v>2986</v>
      </c>
      <c r="E506" t="s">
        <v>3672</v>
      </c>
      <c r="F506">
        <v>51</v>
      </c>
      <c r="G506" t="s">
        <v>3677</v>
      </c>
      <c r="H506" t="s">
        <v>3680</v>
      </c>
      <c r="I506" t="s">
        <v>3690</v>
      </c>
      <c r="J506" t="s">
        <v>3693</v>
      </c>
      <c r="K506" t="s">
        <v>3700</v>
      </c>
      <c r="L506">
        <v>2</v>
      </c>
      <c r="M506">
        <v>72000</v>
      </c>
      <c r="N506" t="s">
        <v>3703</v>
      </c>
      <c r="O506" t="s">
        <v>3705</v>
      </c>
      <c r="P506" s="2">
        <f t="shared" si="35"/>
        <v>45916</v>
      </c>
      <c r="Q506" t="str">
        <f t="shared" si="36"/>
        <v>Ira Sharma</v>
      </c>
      <c r="R506" t="str">
        <f t="shared" si="37"/>
        <v>Mumbai</v>
      </c>
      <c r="S506" t="str">
        <f t="shared" si="38"/>
        <v>Maharashtra</v>
      </c>
      <c r="T506">
        <f t="shared" si="39"/>
        <v>144000</v>
      </c>
    </row>
    <row r="507" spans="1:20" x14ac:dyDescent="0.35">
      <c r="A507" t="s">
        <v>520</v>
      </c>
      <c r="B507" t="s">
        <v>1570</v>
      </c>
      <c r="C507" t="s">
        <v>1912</v>
      </c>
      <c r="D507" t="s">
        <v>2987</v>
      </c>
      <c r="E507" t="s">
        <v>3671</v>
      </c>
      <c r="F507">
        <v>22</v>
      </c>
      <c r="G507" t="s">
        <v>3678</v>
      </c>
      <c r="H507" t="s">
        <v>3683</v>
      </c>
      <c r="I507" t="s">
        <v>3689</v>
      </c>
      <c r="J507" t="s">
        <v>3694</v>
      </c>
      <c r="K507" t="s">
        <v>3699</v>
      </c>
      <c r="L507">
        <v>5</v>
      </c>
      <c r="M507">
        <v>1800</v>
      </c>
      <c r="N507" t="s">
        <v>3703</v>
      </c>
      <c r="O507" t="s">
        <v>3706</v>
      </c>
      <c r="P507" s="2">
        <f t="shared" si="35"/>
        <v>45887</v>
      </c>
      <c r="Q507" t="str">
        <f t="shared" si="36"/>
        <v>Shlok Ratti</v>
      </c>
      <c r="R507" t="str">
        <f t="shared" si="37"/>
        <v>Hyderabad</v>
      </c>
      <c r="S507" t="str">
        <f t="shared" si="38"/>
        <v>Telangana</v>
      </c>
      <c r="T507">
        <f t="shared" si="39"/>
        <v>9000</v>
      </c>
    </row>
    <row r="508" spans="1:20" x14ac:dyDescent="0.35">
      <c r="A508" t="s">
        <v>521</v>
      </c>
      <c r="B508" t="s">
        <v>1571</v>
      </c>
      <c r="C508" t="s">
        <v>2178</v>
      </c>
      <c r="D508" t="s">
        <v>2988</v>
      </c>
      <c r="E508" t="s">
        <v>3672</v>
      </c>
      <c r="F508">
        <v>28</v>
      </c>
      <c r="G508" t="s">
        <v>3675</v>
      </c>
      <c r="H508" t="s">
        <v>3681</v>
      </c>
      <c r="I508" t="s">
        <v>3691</v>
      </c>
      <c r="J508" t="s">
        <v>3693</v>
      </c>
      <c r="K508" t="s">
        <v>3696</v>
      </c>
      <c r="L508">
        <v>1</v>
      </c>
      <c r="M508">
        <v>58000</v>
      </c>
      <c r="N508" t="s">
        <v>3703</v>
      </c>
      <c r="O508" t="s">
        <v>3705</v>
      </c>
      <c r="P508" s="2">
        <f t="shared" si="35"/>
        <v>45766</v>
      </c>
      <c r="Q508" t="str">
        <f t="shared" si="36"/>
        <v>Pari Mani</v>
      </c>
      <c r="R508" t="str">
        <f t="shared" si="37"/>
        <v>Kolkata</v>
      </c>
      <c r="S508" t="str">
        <f t="shared" si="38"/>
        <v>West Bengal</v>
      </c>
      <c r="T508">
        <f t="shared" si="39"/>
        <v>58000</v>
      </c>
    </row>
    <row r="509" spans="1:20" x14ac:dyDescent="0.35">
      <c r="A509" t="s">
        <v>522</v>
      </c>
      <c r="B509" t="s">
        <v>1566</v>
      </c>
      <c r="C509" t="s">
        <v>2179</v>
      </c>
      <c r="D509" t="s">
        <v>2989</v>
      </c>
      <c r="E509" t="s">
        <v>3672</v>
      </c>
      <c r="F509">
        <v>27</v>
      </c>
      <c r="G509" t="s">
        <v>3673</v>
      </c>
      <c r="H509" t="s">
        <v>3673</v>
      </c>
      <c r="I509" t="s">
        <v>3691</v>
      </c>
      <c r="J509" t="s">
        <v>3693</v>
      </c>
      <c r="K509" t="s">
        <v>3696</v>
      </c>
      <c r="L509">
        <v>2</v>
      </c>
      <c r="M509">
        <v>58000</v>
      </c>
      <c r="N509" t="s">
        <v>3701</v>
      </c>
      <c r="O509" t="s">
        <v>3706</v>
      </c>
      <c r="P509" s="2">
        <f t="shared" si="35"/>
        <v>45855</v>
      </c>
      <c r="Q509" t="str">
        <f t="shared" si="36"/>
        <v>Dhanush Chakrabarti</v>
      </c>
      <c r="R509" t="str">
        <f t="shared" si="37"/>
        <v>Delhi</v>
      </c>
      <c r="S509" t="str">
        <f t="shared" si="38"/>
        <v>Delhi</v>
      </c>
      <c r="T509">
        <f t="shared" si="39"/>
        <v>116000</v>
      </c>
    </row>
    <row r="510" spans="1:20" x14ac:dyDescent="0.35">
      <c r="A510" t="s">
        <v>523</v>
      </c>
      <c r="B510" t="s">
        <v>1498</v>
      </c>
      <c r="C510" t="s">
        <v>1980</v>
      </c>
      <c r="D510" t="s">
        <v>2990</v>
      </c>
      <c r="E510" t="s">
        <v>3672</v>
      </c>
      <c r="F510">
        <v>33</v>
      </c>
      <c r="G510" t="s">
        <v>3678</v>
      </c>
      <c r="H510" t="s">
        <v>3683</v>
      </c>
      <c r="I510" t="s">
        <v>3687</v>
      </c>
      <c r="J510" t="s">
        <v>3693</v>
      </c>
      <c r="K510" t="s">
        <v>3697</v>
      </c>
      <c r="L510">
        <v>1</v>
      </c>
      <c r="M510">
        <v>5000</v>
      </c>
      <c r="N510" t="s">
        <v>3704</v>
      </c>
      <c r="O510" t="s">
        <v>3705</v>
      </c>
      <c r="P510" s="2">
        <f t="shared" si="35"/>
        <v>45866</v>
      </c>
      <c r="Q510" t="str">
        <f t="shared" si="36"/>
        <v>Zeeshan Tara</v>
      </c>
      <c r="R510" t="str">
        <f t="shared" si="37"/>
        <v>Hyderabad</v>
      </c>
      <c r="S510" t="str">
        <f t="shared" si="38"/>
        <v>Telangana</v>
      </c>
      <c r="T510">
        <f t="shared" si="39"/>
        <v>5000</v>
      </c>
    </row>
    <row r="511" spans="1:20" x14ac:dyDescent="0.35">
      <c r="A511" t="s">
        <v>524</v>
      </c>
      <c r="B511" t="s">
        <v>1396</v>
      </c>
      <c r="C511" t="s">
        <v>2114</v>
      </c>
      <c r="D511" t="s">
        <v>2991</v>
      </c>
      <c r="E511" t="s">
        <v>3671</v>
      </c>
      <c r="F511">
        <v>32</v>
      </c>
      <c r="G511" t="s">
        <v>3678</v>
      </c>
      <c r="H511" t="s">
        <v>3683</v>
      </c>
      <c r="I511" t="s">
        <v>3688</v>
      </c>
      <c r="J511" t="s">
        <v>3694</v>
      </c>
      <c r="K511" t="s">
        <v>3698</v>
      </c>
      <c r="L511">
        <v>1</v>
      </c>
      <c r="M511">
        <v>4500</v>
      </c>
      <c r="N511" t="s">
        <v>3701</v>
      </c>
      <c r="O511" t="s">
        <v>3707</v>
      </c>
      <c r="P511" s="2">
        <f t="shared" si="35"/>
        <v>46001</v>
      </c>
      <c r="Q511" t="str">
        <f t="shared" si="36"/>
        <v>Priyansh Manda</v>
      </c>
      <c r="R511" t="str">
        <f t="shared" si="37"/>
        <v>Hyderabad</v>
      </c>
      <c r="S511" t="str">
        <f t="shared" si="38"/>
        <v>Telangana</v>
      </c>
      <c r="T511">
        <f t="shared" si="39"/>
        <v>4500</v>
      </c>
    </row>
    <row r="512" spans="1:20" x14ac:dyDescent="0.35">
      <c r="A512" t="s">
        <v>525</v>
      </c>
      <c r="B512" t="s">
        <v>1572</v>
      </c>
      <c r="C512" t="s">
        <v>2180</v>
      </c>
      <c r="D512" t="s">
        <v>2992</v>
      </c>
      <c r="E512" t="s">
        <v>3671</v>
      </c>
      <c r="F512">
        <v>47</v>
      </c>
      <c r="G512" t="s">
        <v>3679</v>
      </c>
      <c r="H512" t="s">
        <v>3684</v>
      </c>
      <c r="I512" t="s">
        <v>3687</v>
      </c>
      <c r="J512" t="s">
        <v>3693</v>
      </c>
      <c r="K512" t="s">
        <v>3697</v>
      </c>
      <c r="L512">
        <v>1</v>
      </c>
      <c r="M512">
        <v>5000</v>
      </c>
      <c r="N512" t="s">
        <v>3704</v>
      </c>
      <c r="O512" t="s">
        <v>3707</v>
      </c>
      <c r="P512" s="2">
        <f t="shared" si="35"/>
        <v>45878</v>
      </c>
      <c r="Q512" t="str">
        <f t="shared" si="36"/>
        <v>Trisha Aggarwal</v>
      </c>
      <c r="R512" t="str">
        <f t="shared" si="37"/>
        <v>Bengaluru</v>
      </c>
      <c r="S512" t="str">
        <f t="shared" si="38"/>
        <v>Karnataka</v>
      </c>
      <c r="T512">
        <f t="shared" si="39"/>
        <v>5000</v>
      </c>
    </row>
    <row r="513" spans="1:20" x14ac:dyDescent="0.35">
      <c r="A513" t="s">
        <v>526</v>
      </c>
      <c r="B513" t="s">
        <v>1573</v>
      </c>
      <c r="C513" t="s">
        <v>1896</v>
      </c>
      <c r="D513" t="s">
        <v>2993</v>
      </c>
      <c r="E513" t="s">
        <v>3672</v>
      </c>
      <c r="F513">
        <v>23</v>
      </c>
      <c r="G513" t="s">
        <v>3674</v>
      </c>
      <c r="H513" t="s">
        <v>3680</v>
      </c>
      <c r="I513" t="s">
        <v>3687</v>
      </c>
      <c r="J513" t="s">
        <v>3693</v>
      </c>
      <c r="K513" t="s">
        <v>3697</v>
      </c>
      <c r="L513">
        <v>5</v>
      </c>
      <c r="M513">
        <v>5000</v>
      </c>
      <c r="N513" t="s">
        <v>3703</v>
      </c>
      <c r="O513" t="s">
        <v>3706</v>
      </c>
      <c r="P513" s="2">
        <f t="shared" si="35"/>
        <v>45669</v>
      </c>
      <c r="Q513" t="str">
        <f t="shared" si="36"/>
        <v>Sahil Goda</v>
      </c>
      <c r="R513" t="str">
        <f t="shared" si="37"/>
        <v>Pune</v>
      </c>
      <c r="S513" t="str">
        <f t="shared" si="38"/>
        <v>Maharashtra</v>
      </c>
      <c r="T513">
        <f t="shared" si="39"/>
        <v>25000</v>
      </c>
    </row>
    <row r="514" spans="1:20" x14ac:dyDescent="0.35">
      <c r="A514" t="s">
        <v>527</v>
      </c>
      <c r="B514" t="s">
        <v>1574</v>
      </c>
      <c r="C514" t="s">
        <v>2181</v>
      </c>
      <c r="D514" t="s">
        <v>2994</v>
      </c>
      <c r="E514" t="s">
        <v>3672</v>
      </c>
      <c r="F514">
        <v>28</v>
      </c>
      <c r="G514" t="s">
        <v>3673</v>
      </c>
      <c r="H514" t="s">
        <v>3673</v>
      </c>
      <c r="I514" t="s">
        <v>3690</v>
      </c>
      <c r="J514" t="s">
        <v>3693</v>
      </c>
      <c r="K514" t="s">
        <v>3700</v>
      </c>
      <c r="L514">
        <v>5</v>
      </c>
      <c r="M514">
        <v>72000</v>
      </c>
      <c r="N514" t="s">
        <v>3704</v>
      </c>
      <c r="O514" t="s">
        <v>3705</v>
      </c>
      <c r="P514" s="2">
        <f t="shared" si="35"/>
        <v>45928</v>
      </c>
      <c r="Q514" t="str">
        <f t="shared" si="36"/>
        <v>Jayan Rattan</v>
      </c>
      <c r="R514" t="str">
        <f t="shared" si="37"/>
        <v>Delhi</v>
      </c>
      <c r="S514" t="str">
        <f t="shared" si="38"/>
        <v>Delhi</v>
      </c>
      <c r="T514">
        <f t="shared" si="39"/>
        <v>360000</v>
      </c>
    </row>
    <row r="515" spans="1:20" x14ac:dyDescent="0.35">
      <c r="A515" t="s">
        <v>528</v>
      </c>
      <c r="B515" t="s">
        <v>1526</v>
      </c>
      <c r="C515" t="s">
        <v>2182</v>
      </c>
      <c r="D515" t="s">
        <v>2995</v>
      </c>
      <c r="E515" t="s">
        <v>3672</v>
      </c>
      <c r="F515">
        <v>47</v>
      </c>
      <c r="G515" t="s">
        <v>3673</v>
      </c>
      <c r="H515" t="s">
        <v>3673</v>
      </c>
      <c r="I515" t="s">
        <v>3688</v>
      </c>
      <c r="J515" t="s">
        <v>3694</v>
      </c>
      <c r="K515" t="s">
        <v>3698</v>
      </c>
      <c r="L515">
        <v>2</v>
      </c>
      <c r="M515">
        <v>4500</v>
      </c>
      <c r="N515" t="s">
        <v>3701</v>
      </c>
      <c r="O515" t="s">
        <v>3706</v>
      </c>
      <c r="P515" s="2">
        <f t="shared" ref="P515:P578" si="40">DATEVALUE(SUBSTITUTE(B515,"/","-"))</f>
        <v>45731</v>
      </c>
      <c r="Q515" t="str">
        <f t="shared" ref="Q515:Q578" si="41">TRIM(CLEAN(D515))</f>
        <v>Kiaan Raju</v>
      </c>
      <c r="R515" t="str">
        <f t="shared" ref="R515:R578" si="42">IF(G515="","Unknown",G515)</f>
        <v>Delhi</v>
      </c>
      <c r="S515" t="str">
        <f t="shared" ref="S515:S578" si="43">IF(H515="","Unknown",H515)</f>
        <v>Delhi</v>
      </c>
      <c r="T515">
        <f t="shared" ref="T515:T578" si="44">L515*M515</f>
        <v>9000</v>
      </c>
    </row>
    <row r="516" spans="1:20" x14ac:dyDescent="0.35">
      <c r="A516" t="s">
        <v>529</v>
      </c>
      <c r="B516" t="s">
        <v>1218</v>
      </c>
      <c r="C516" t="s">
        <v>2183</v>
      </c>
      <c r="D516" t="s">
        <v>2996</v>
      </c>
      <c r="E516" t="s">
        <v>3672</v>
      </c>
      <c r="F516">
        <v>43</v>
      </c>
      <c r="G516" t="s">
        <v>3678</v>
      </c>
      <c r="H516" t="s">
        <v>3683</v>
      </c>
      <c r="I516" t="s">
        <v>3686</v>
      </c>
      <c r="J516" t="s">
        <v>3693</v>
      </c>
      <c r="K516" t="s">
        <v>3696</v>
      </c>
      <c r="L516">
        <v>5</v>
      </c>
      <c r="M516">
        <v>65000</v>
      </c>
      <c r="N516" t="s">
        <v>3702</v>
      </c>
      <c r="O516" t="s">
        <v>3705</v>
      </c>
      <c r="P516" s="2">
        <f t="shared" si="40"/>
        <v>46010</v>
      </c>
      <c r="Q516" t="str">
        <f t="shared" si="41"/>
        <v>Anya Varghese</v>
      </c>
      <c r="R516" t="str">
        <f t="shared" si="42"/>
        <v>Hyderabad</v>
      </c>
      <c r="S516" t="str">
        <f t="shared" si="43"/>
        <v>Telangana</v>
      </c>
      <c r="T516">
        <f t="shared" si="44"/>
        <v>325000</v>
      </c>
    </row>
    <row r="517" spans="1:20" x14ac:dyDescent="0.35">
      <c r="A517" t="s">
        <v>530</v>
      </c>
      <c r="B517" t="s">
        <v>1575</v>
      </c>
      <c r="C517" t="s">
        <v>2184</v>
      </c>
      <c r="D517" t="s">
        <v>2997</v>
      </c>
      <c r="E517" t="s">
        <v>3672</v>
      </c>
      <c r="F517">
        <v>43</v>
      </c>
      <c r="G517" t="s">
        <v>3674</v>
      </c>
      <c r="H517" t="s">
        <v>3680</v>
      </c>
      <c r="I517" t="s">
        <v>3690</v>
      </c>
      <c r="J517" t="s">
        <v>3693</v>
      </c>
      <c r="K517" t="s">
        <v>3700</v>
      </c>
      <c r="L517">
        <v>4</v>
      </c>
      <c r="M517">
        <v>72000</v>
      </c>
      <c r="N517" t="s">
        <v>3701</v>
      </c>
      <c r="O517" t="s">
        <v>3707</v>
      </c>
      <c r="P517" s="2">
        <f t="shared" si="40"/>
        <v>45854</v>
      </c>
      <c r="Q517" t="str">
        <f t="shared" si="41"/>
        <v>Badal Bhatia</v>
      </c>
      <c r="R517" t="str">
        <f t="shared" si="42"/>
        <v>Pune</v>
      </c>
      <c r="S517" t="str">
        <f t="shared" si="43"/>
        <v>Maharashtra</v>
      </c>
      <c r="T517">
        <f t="shared" si="44"/>
        <v>288000</v>
      </c>
    </row>
    <row r="518" spans="1:20" x14ac:dyDescent="0.35">
      <c r="A518" t="s">
        <v>531</v>
      </c>
      <c r="B518" t="s">
        <v>1576</v>
      </c>
      <c r="C518" t="s">
        <v>2185</v>
      </c>
      <c r="D518" t="s">
        <v>2998</v>
      </c>
      <c r="E518" t="s">
        <v>3671</v>
      </c>
      <c r="F518">
        <v>40</v>
      </c>
      <c r="G518" t="s">
        <v>3676</v>
      </c>
      <c r="H518" t="s">
        <v>3682</v>
      </c>
      <c r="I518" t="s">
        <v>3690</v>
      </c>
      <c r="J518" t="s">
        <v>3693</v>
      </c>
      <c r="K518" t="s">
        <v>3700</v>
      </c>
      <c r="L518">
        <v>5</v>
      </c>
      <c r="M518">
        <v>72000</v>
      </c>
      <c r="N518" t="s">
        <v>3701</v>
      </c>
      <c r="O518" t="s">
        <v>3705</v>
      </c>
      <c r="P518" s="2">
        <f t="shared" si="40"/>
        <v>45976</v>
      </c>
      <c r="Q518" t="str">
        <f t="shared" si="41"/>
        <v>Kashvi Mandal</v>
      </c>
      <c r="R518" t="str">
        <f t="shared" si="42"/>
        <v>Chennai</v>
      </c>
      <c r="S518" t="str">
        <f t="shared" si="43"/>
        <v>Tamil Nadu</v>
      </c>
      <c r="T518">
        <f t="shared" si="44"/>
        <v>360000</v>
      </c>
    </row>
    <row r="519" spans="1:20" x14ac:dyDescent="0.35">
      <c r="A519" t="s">
        <v>532</v>
      </c>
      <c r="B519" t="s">
        <v>1577</v>
      </c>
      <c r="C519" t="s">
        <v>2186</v>
      </c>
      <c r="D519" t="s">
        <v>2999</v>
      </c>
      <c r="E519" t="s">
        <v>3672</v>
      </c>
      <c r="F519">
        <v>50</v>
      </c>
      <c r="G519" t="s">
        <v>3679</v>
      </c>
      <c r="H519" t="s">
        <v>3684</v>
      </c>
      <c r="I519" t="s">
        <v>3687</v>
      </c>
      <c r="J519" t="s">
        <v>3693</v>
      </c>
      <c r="K519" t="s">
        <v>3697</v>
      </c>
      <c r="L519">
        <v>5</v>
      </c>
      <c r="M519">
        <v>5000</v>
      </c>
      <c r="N519" t="s">
        <v>3703</v>
      </c>
      <c r="O519" t="s">
        <v>3705</v>
      </c>
      <c r="P519" s="2">
        <f t="shared" si="40"/>
        <v>45754</v>
      </c>
      <c r="Q519" t="str">
        <f t="shared" si="41"/>
        <v>Ishita Hans</v>
      </c>
      <c r="R519" t="str">
        <f t="shared" si="42"/>
        <v>Bengaluru</v>
      </c>
      <c r="S519" t="str">
        <f t="shared" si="43"/>
        <v>Karnataka</v>
      </c>
      <c r="T519">
        <f t="shared" si="44"/>
        <v>25000</v>
      </c>
    </row>
    <row r="520" spans="1:20" x14ac:dyDescent="0.35">
      <c r="A520" t="s">
        <v>533</v>
      </c>
      <c r="B520" t="s">
        <v>1255</v>
      </c>
      <c r="C520" t="s">
        <v>1865</v>
      </c>
      <c r="D520" t="s">
        <v>3000</v>
      </c>
      <c r="E520" t="s">
        <v>3672</v>
      </c>
      <c r="F520">
        <v>42</v>
      </c>
      <c r="G520" t="s">
        <v>3677</v>
      </c>
      <c r="H520" t="s">
        <v>3680</v>
      </c>
      <c r="I520" t="s">
        <v>3688</v>
      </c>
      <c r="J520" t="s">
        <v>3694</v>
      </c>
      <c r="K520" t="s">
        <v>3698</v>
      </c>
      <c r="L520">
        <v>2</v>
      </c>
      <c r="M520">
        <v>4500</v>
      </c>
      <c r="N520" t="s">
        <v>3703</v>
      </c>
      <c r="O520" t="s">
        <v>3705</v>
      </c>
      <c r="P520" s="2">
        <f t="shared" si="40"/>
        <v>45687</v>
      </c>
      <c r="Q520" t="str">
        <f t="shared" si="41"/>
        <v>Jayesh Kata</v>
      </c>
      <c r="R520" t="str">
        <f t="shared" si="42"/>
        <v>Mumbai</v>
      </c>
      <c r="S520" t="str">
        <f t="shared" si="43"/>
        <v>Maharashtra</v>
      </c>
      <c r="T520">
        <f t="shared" si="44"/>
        <v>9000</v>
      </c>
    </row>
    <row r="521" spans="1:20" x14ac:dyDescent="0.35">
      <c r="A521" t="s">
        <v>534</v>
      </c>
      <c r="B521" t="s">
        <v>1391</v>
      </c>
      <c r="C521" t="s">
        <v>2187</v>
      </c>
      <c r="D521" t="s">
        <v>3001</v>
      </c>
      <c r="E521" t="s">
        <v>3671</v>
      </c>
      <c r="F521">
        <v>34</v>
      </c>
      <c r="G521" t="s">
        <v>3673</v>
      </c>
      <c r="H521" t="s">
        <v>3673</v>
      </c>
      <c r="I521" t="s">
        <v>3687</v>
      </c>
      <c r="J521" t="s">
        <v>3693</v>
      </c>
      <c r="K521" t="s">
        <v>3697</v>
      </c>
      <c r="L521">
        <v>2</v>
      </c>
      <c r="M521">
        <v>5000</v>
      </c>
      <c r="N521" t="s">
        <v>3703</v>
      </c>
      <c r="O521" t="s">
        <v>3707</v>
      </c>
      <c r="P521" s="2">
        <f t="shared" si="40"/>
        <v>45705</v>
      </c>
      <c r="Q521" t="str">
        <f t="shared" si="41"/>
        <v>Yuvraj Dey</v>
      </c>
      <c r="R521" t="str">
        <f t="shared" si="42"/>
        <v>Delhi</v>
      </c>
      <c r="S521" t="str">
        <f t="shared" si="43"/>
        <v>Delhi</v>
      </c>
      <c r="T521">
        <f t="shared" si="44"/>
        <v>10000</v>
      </c>
    </row>
    <row r="522" spans="1:20" x14ac:dyDescent="0.35">
      <c r="A522" t="s">
        <v>535</v>
      </c>
      <c r="B522" t="s">
        <v>1578</v>
      </c>
      <c r="C522" t="s">
        <v>2188</v>
      </c>
      <c r="D522" t="s">
        <v>3002</v>
      </c>
      <c r="E522" t="s">
        <v>3672</v>
      </c>
      <c r="F522">
        <v>57</v>
      </c>
      <c r="G522" t="s">
        <v>3677</v>
      </c>
      <c r="H522" t="s">
        <v>3680</v>
      </c>
      <c r="I522" t="s">
        <v>3688</v>
      </c>
      <c r="J522" t="s">
        <v>3694</v>
      </c>
      <c r="K522" t="s">
        <v>3698</v>
      </c>
      <c r="L522">
        <v>2</v>
      </c>
      <c r="M522">
        <v>4500</v>
      </c>
      <c r="N522" t="s">
        <v>3704</v>
      </c>
      <c r="O522" t="s">
        <v>3707</v>
      </c>
      <c r="P522" s="2">
        <f t="shared" si="40"/>
        <v>45741</v>
      </c>
      <c r="Q522" t="str">
        <f t="shared" si="41"/>
        <v>Renee Loke</v>
      </c>
      <c r="R522" t="str">
        <f t="shared" si="42"/>
        <v>Mumbai</v>
      </c>
      <c r="S522" t="str">
        <f t="shared" si="43"/>
        <v>Maharashtra</v>
      </c>
      <c r="T522">
        <f t="shared" si="44"/>
        <v>9000</v>
      </c>
    </row>
    <row r="523" spans="1:20" x14ac:dyDescent="0.35">
      <c r="A523" t="s">
        <v>536</v>
      </c>
      <c r="B523" t="s">
        <v>1579</v>
      </c>
      <c r="C523" t="s">
        <v>2187</v>
      </c>
      <c r="D523" t="s">
        <v>3003</v>
      </c>
      <c r="E523" t="s">
        <v>3671</v>
      </c>
      <c r="F523">
        <v>29</v>
      </c>
      <c r="G523" t="s">
        <v>3673</v>
      </c>
      <c r="H523" t="s">
        <v>3673</v>
      </c>
      <c r="I523" t="s">
        <v>3688</v>
      </c>
      <c r="J523" t="s">
        <v>3694</v>
      </c>
      <c r="K523" t="s">
        <v>3698</v>
      </c>
      <c r="L523">
        <v>1</v>
      </c>
      <c r="M523">
        <v>4500</v>
      </c>
      <c r="N523" t="s">
        <v>3701</v>
      </c>
      <c r="O523" t="s">
        <v>3705</v>
      </c>
      <c r="P523" s="2">
        <f t="shared" si="40"/>
        <v>45925</v>
      </c>
      <c r="Q523" t="str">
        <f t="shared" si="41"/>
        <v>Saanvi Ahluwalia</v>
      </c>
      <c r="R523" t="str">
        <f t="shared" si="42"/>
        <v>Delhi</v>
      </c>
      <c r="S523" t="str">
        <f t="shared" si="43"/>
        <v>Delhi</v>
      </c>
      <c r="T523">
        <f t="shared" si="44"/>
        <v>4500</v>
      </c>
    </row>
    <row r="524" spans="1:20" x14ac:dyDescent="0.35">
      <c r="A524" t="s">
        <v>537</v>
      </c>
      <c r="B524" t="s">
        <v>1580</v>
      </c>
      <c r="C524" t="s">
        <v>2003</v>
      </c>
      <c r="D524" t="s">
        <v>3004</v>
      </c>
      <c r="E524" t="s">
        <v>3672</v>
      </c>
      <c r="F524">
        <v>47</v>
      </c>
      <c r="G524" t="s">
        <v>3678</v>
      </c>
      <c r="H524" t="s">
        <v>3683</v>
      </c>
      <c r="I524" t="s">
        <v>3691</v>
      </c>
      <c r="J524" t="s">
        <v>3693</v>
      </c>
      <c r="K524" t="s">
        <v>3696</v>
      </c>
      <c r="L524">
        <v>5</v>
      </c>
      <c r="M524">
        <v>58000</v>
      </c>
      <c r="N524" t="s">
        <v>3702</v>
      </c>
      <c r="O524" t="s">
        <v>3706</v>
      </c>
      <c r="P524" s="2">
        <f t="shared" si="40"/>
        <v>45739</v>
      </c>
      <c r="Q524" t="str">
        <f t="shared" si="41"/>
        <v>Diya Hegde</v>
      </c>
      <c r="R524" t="str">
        <f t="shared" si="42"/>
        <v>Hyderabad</v>
      </c>
      <c r="S524" t="str">
        <f t="shared" si="43"/>
        <v>Telangana</v>
      </c>
      <c r="T524">
        <f t="shared" si="44"/>
        <v>290000</v>
      </c>
    </row>
    <row r="525" spans="1:20" x14ac:dyDescent="0.35">
      <c r="A525" t="s">
        <v>538</v>
      </c>
      <c r="B525" t="s">
        <v>1542</v>
      </c>
      <c r="C525" t="s">
        <v>2189</v>
      </c>
      <c r="D525" t="s">
        <v>3005</v>
      </c>
      <c r="E525" t="s">
        <v>3671</v>
      </c>
      <c r="F525">
        <v>30</v>
      </c>
      <c r="G525" t="s">
        <v>3678</v>
      </c>
      <c r="H525" t="s">
        <v>3683</v>
      </c>
      <c r="I525" t="s">
        <v>3690</v>
      </c>
      <c r="J525" t="s">
        <v>3693</v>
      </c>
      <c r="K525" t="s">
        <v>3700</v>
      </c>
      <c r="L525">
        <v>1</v>
      </c>
      <c r="M525">
        <v>72000</v>
      </c>
      <c r="N525" t="s">
        <v>3703</v>
      </c>
      <c r="O525" t="s">
        <v>3706</v>
      </c>
      <c r="P525" s="2">
        <f t="shared" si="40"/>
        <v>45998</v>
      </c>
      <c r="Q525" t="str">
        <f t="shared" si="41"/>
        <v>Nayantara Kohli</v>
      </c>
      <c r="R525" t="str">
        <f t="shared" si="42"/>
        <v>Hyderabad</v>
      </c>
      <c r="S525" t="str">
        <f t="shared" si="43"/>
        <v>Telangana</v>
      </c>
      <c r="T525">
        <f t="shared" si="44"/>
        <v>72000</v>
      </c>
    </row>
    <row r="526" spans="1:20" x14ac:dyDescent="0.35">
      <c r="A526" t="s">
        <v>539</v>
      </c>
      <c r="B526" t="s">
        <v>1384</v>
      </c>
      <c r="C526" t="s">
        <v>2190</v>
      </c>
      <c r="D526" t="s">
        <v>3006</v>
      </c>
      <c r="E526" t="s">
        <v>3672</v>
      </c>
      <c r="F526">
        <v>54</v>
      </c>
      <c r="G526" t="s">
        <v>3673</v>
      </c>
      <c r="H526" t="s">
        <v>3673</v>
      </c>
      <c r="I526" t="s">
        <v>3689</v>
      </c>
      <c r="J526" t="s">
        <v>3694</v>
      </c>
      <c r="K526" t="s">
        <v>3699</v>
      </c>
      <c r="L526">
        <v>4</v>
      </c>
      <c r="M526">
        <v>1800</v>
      </c>
      <c r="N526" t="s">
        <v>3701</v>
      </c>
      <c r="O526" t="s">
        <v>3705</v>
      </c>
      <c r="P526" s="2">
        <f t="shared" si="40"/>
        <v>45891</v>
      </c>
      <c r="Q526" t="str">
        <f t="shared" si="41"/>
        <v>Samiha Tella</v>
      </c>
      <c r="R526" t="str">
        <f t="shared" si="42"/>
        <v>Delhi</v>
      </c>
      <c r="S526" t="str">
        <f t="shared" si="43"/>
        <v>Delhi</v>
      </c>
      <c r="T526">
        <f t="shared" si="44"/>
        <v>7200</v>
      </c>
    </row>
    <row r="527" spans="1:20" x14ac:dyDescent="0.35">
      <c r="A527" t="s">
        <v>540</v>
      </c>
      <c r="B527" t="s">
        <v>1423</v>
      </c>
      <c r="C527" t="s">
        <v>2191</v>
      </c>
      <c r="D527" t="s">
        <v>3007</v>
      </c>
      <c r="E527" t="s">
        <v>3671</v>
      </c>
      <c r="F527">
        <v>34</v>
      </c>
      <c r="G527" t="s">
        <v>3679</v>
      </c>
      <c r="H527" t="s">
        <v>3684</v>
      </c>
      <c r="I527" t="s">
        <v>3687</v>
      </c>
      <c r="J527" t="s">
        <v>3693</v>
      </c>
      <c r="K527" t="s">
        <v>3697</v>
      </c>
      <c r="L527">
        <v>4</v>
      </c>
      <c r="M527">
        <v>5000</v>
      </c>
      <c r="N527" t="s">
        <v>3704</v>
      </c>
      <c r="O527" t="s">
        <v>3707</v>
      </c>
      <c r="P527" s="2">
        <f t="shared" si="40"/>
        <v>45858</v>
      </c>
      <c r="Q527" t="str">
        <f t="shared" si="41"/>
        <v>Jayant Thaman</v>
      </c>
      <c r="R527" t="str">
        <f t="shared" si="42"/>
        <v>Bengaluru</v>
      </c>
      <c r="S527" t="str">
        <f t="shared" si="43"/>
        <v>Karnataka</v>
      </c>
      <c r="T527">
        <f t="shared" si="44"/>
        <v>20000</v>
      </c>
    </row>
    <row r="528" spans="1:20" x14ac:dyDescent="0.35">
      <c r="A528" t="s">
        <v>541</v>
      </c>
      <c r="B528" t="s">
        <v>1565</v>
      </c>
      <c r="C528" t="s">
        <v>2162</v>
      </c>
      <c r="D528" t="s">
        <v>3008</v>
      </c>
      <c r="E528" t="s">
        <v>3672</v>
      </c>
      <c r="F528">
        <v>32</v>
      </c>
      <c r="G528" t="s">
        <v>3674</v>
      </c>
      <c r="H528" t="s">
        <v>3680</v>
      </c>
      <c r="I528" t="s">
        <v>3690</v>
      </c>
      <c r="J528" t="s">
        <v>3693</v>
      </c>
      <c r="K528" t="s">
        <v>3700</v>
      </c>
      <c r="L528">
        <v>2</v>
      </c>
      <c r="M528">
        <v>72000</v>
      </c>
      <c r="N528" t="s">
        <v>3704</v>
      </c>
      <c r="O528" t="s">
        <v>3705</v>
      </c>
      <c r="P528" s="2">
        <f t="shared" si="40"/>
        <v>45766</v>
      </c>
      <c r="Q528" t="str">
        <f t="shared" si="41"/>
        <v>Azad Dasgupta</v>
      </c>
      <c r="R528" t="str">
        <f t="shared" si="42"/>
        <v>Pune</v>
      </c>
      <c r="S528" t="str">
        <f t="shared" si="43"/>
        <v>Maharashtra</v>
      </c>
      <c r="T528">
        <f t="shared" si="44"/>
        <v>144000</v>
      </c>
    </row>
    <row r="529" spans="1:20" x14ac:dyDescent="0.35">
      <c r="A529" t="s">
        <v>542</v>
      </c>
      <c r="B529" t="s">
        <v>1548</v>
      </c>
      <c r="C529" t="s">
        <v>2192</v>
      </c>
      <c r="D529" t="s">
        <v>3009</v>
      </c>
      <c r="E529" t="s">
        <v>3672</v>
      </c>
      <c r="F529">
        <v>40</v>
      </c>
      <c r="G529" t="s">
        <v>3673</v>
      </c>
      <c r="H529" t="s">
        <v>3673</v>
      </c>
      <c r="I529" t="s">
        <v>3690</v>
      </c>
      <c r="J529" t="s">
        <v>3693</v>
      </c>
      <c r="K529" t="s">
        <v>3700</v>
      </c>
      <c r="L529">
        <v>3</v>
      </c>
      <c r="M529">
        <v>72000</v>
      </c>
      <c r="N529" t="s">
        <v>3702</v>
      </c>
      <c r="O529" t="s">
        <v>3707</v>
      </c>
      <c r="P529" s="2">
        <f t="shared" si="40"/>
        <v>46006</v>
      </c>
      <c r="Q529" t="str">
        <f t="shared" si="41"/>
        <v>Shamik Cherian</v>
      </c>
      <c r="R529" t="str">
        <f t="shared" si="42"/>
        <v>Delhi</v>
      </c>
      <c r="S529" t="str">
        <f t="shared" si="43"/>
        <v>Delhi</v>
      </c>
      <c r="T529">
        <f t="shared" si="44"/>
        <v>216000</v>
      </c>
    </row>
    <row r="530" spans="1:20" x14ac:dyDescent="0.35">
      <c r="A530" t="s">
        <v>543</v>
      </c>
      <c r="B530" t="s">
        <v>1581</v>
      </c>
      <c r="C530" t="s">
        <v>2193</v>
      </c>
      <c r="D530" t="s">
        <v>3010</v>
      </c>
      <c r="E530" t="s">
        <v>3671</v>
      </c>
      <c r="F530">
        <v>47</v>
      </c>
      <c r="G530" t="s">
        <v>3673</v>
      </c>
      <c r="H530" t="s">
        <v>3673</v>
      </c>
      <c r="I530" t="s">
        <v>3690</v>
      </c>
      <c r="J530" t="s">
        <v>3693</v>
      </c>
      <c r="K530" t="s">
        <v>3700</v>
      </c>
      <c r="L530">
        <v>2</v>
      </c>
      <c r="M530">
        <v>72000</v>
      </c>
      <c r="N530" t="s">
        <v>3704</v>
      </c>
      <c r="O530" t="s">
        <v>3706</v>
      </c>
      <c r="P530" s="2">
        <f t="shared" si="40"/>
        <v>45829</v>
      </c>
      <c r="Q530" t="str">
        <f t="shared" si="41"/>
        <v>Urvi Varkey</v>
      </c>
      <c r="R530" t="str">
        <f t="shared" si="42"/>
        <v>Delhi</v>
      </c>
      <c r="S530" t="str">
        <f t="shared" si="43"/>
        <v>Delhi</v>
      </c>
      <c r="T530">
        <f t="shared" si="44"/>
        <v>144000</v>
      </c>
    </row>
    <row r="531" spans="1:20" x14ac:dyDescent="0.35">
      <c r="A531" t="s">
        <v>544</v>
      </c>
      <c r="B531" t="s">
        <v>1367</v>
      </c>
      <c r="C531" t="s">
        <v>1883</v>
      </c>
      <c r="D531" t="s">
        <v>3011</v>
      </c>
      <c r="E531" t="s">
        <v>3671</v>
      </c>
      <c r="F531">
        <v>53</v>
      </c>
      <c r="G531" t="s">
        <v>3673</v>
      </c>
      <c r="H531" t="s">
        <v>3673</v>
      </c>
      <c r="I531" t="s">
        <v>3691</v>
      </c>
      <c r="J531" t="s">
        <v>3693</v>
      </c>
      <c r="K531" t="s">
        <v>3696</v>
      </c>
      <c r="L531">
        <v>4</v>
      </c>
      <c r="M531">
        <v>58000</v>
      </c>
      <c r="N531" t="s">
        <v>3701</v>
      </c>
      <c r="O531" t="s">
        <v>3707</v>
      </c>
      <c r="P531" s="2">
        <f t="shared" si="40"/>
        <v>45713</v>
      </c>
      <c r="Q531" t="str">
        <f t="shared" si="41"/>
        <v>Rania Krishna</v>
      </c>
      <c r="R531" t="str">
        <f t="shared" si="42"/>
        <v>Delhi</v>
      </c>
      <c r="S531" t="str">
        <f t="shared" si="43"/>
        <v>Delhi</v>
      </c>
      <c r="T531">
        <f t="shared" si="44"/>
        <v>232000</v>
      </c>
    </row>
    <row r="532" spans="1:20" x14ac:dyDescent="0.35">
      <c r="A532" t="s">
        <v>545</v>
      </c>
      <c r="B532" t="s">
        <v>1268</v>
      </c>
      <c r="C532" t="s">
        <v>2194</v>
      </c>
      <c r="D532" t="s">
        <v>3012</v>
      </c>
      <c r="E532" t="s">
        <v>3671</v>
      </c>
      <c r="F532">
        <v>28</v>
      </c>
      <c r="G532" t="s">
        <v>3673</v>
      </c>
      <c r="H532" t="s">
        <v>3673</v>
      </c>
      <c r="I532" t="s">
        <v>3685</v>
      </c>
      <c r="J532" t="s">
        <v>3692</v>
      </c>
      <c r="K532" t="s">
        <v>3695</v>
      </c>
      <c r="L532">
        <v>4</v>
      </c>
      <c r="M532">
        <v>12000</v>
      </c>
      <c r="N532" t="s">
        <v>3704</v>
      </c>
      <c r="O532" t="s">
        <v>3707</v>
      </c>
      <c r="P532" s="2">
        <f t="shared" si="40"/>
        <v>45714</v>
      </c>
      <c r="Q532" t="str">
        <f t="shared" si="41"/>
        <v>Ojas Savant</v>
      </c>
      <c r="R532" t="str">
        <f t="shared" si="42"/>
        <v>Delhi</v>
      </c>
      <c r="S532" t="str">
        <f t="shared" si="43"/>
        <v>Delhi</v>
      </c>
      <c r="T532">
        <f t="shared" si="44"/>
        <v>48000</v>
      </c>
    </row>
    <row r="533" spans="1:20" x14ac:dyDescent="0.35">
      <c r="A533" t="s">
        <v>546</v>
      </c>
      <c r="B533" t="s">
        <v>1521</v>
      </c>
      <c r="C533" t="s">
        <v>1924</v>
      </c>
      <c r="D533" t="s">
        <v>3013</v>
      </c>
      <c r="E533" t="s">
        <v>3671</v>
      </c>
      <c r="F533">
        <v>28</v>
      </c>
      <c r="G533" t="s">
        <v>3674</v>
      </c>
      <c r="H533" t="s">
        <v>3680</v>
      </c>
      <c r="I533" t="s">
        <v>3690</v>
      </c>
      <c r="J533" t="s">
        <v>3693</v>
      </c>
      <c r="K533" t="s">
        <v>3700</v>
      </c>
      <c r="L533">
        <v>2</v>
      </c>
      <c r="M533">
        <v>72000</v>
      </c>
      <c r="N533" t="s">
        <v>3701</v>
      </c>
      <c r="O533" t="s">
        <v>3706</v>
      </c>
      <c r="P533" s="2">
        <f t="shared" si="40"/>
        <v>45662</v>
      </c>
      <c r="Q533" t="str">
        <f t="shared" si="41"/>
        <v>Dhruv Gandhi</v>
      </c>
      <c r="R533" t="str">
        <f t="shared" si="42"/>
        <v>Pune</v>
      </c>
      <c r="S533" t="str">
        <f t="shared" si="43"/>
        <v>Maharashtra</v>
      </c>
      <c r="T533">
        <f t="shared" si="44"/>
        <v>144000</v>
      </c>
    </row>
    <row r="534" spans="1:20" x14ac:dyDescent="0.35">
      <c r="A534" t="s">
        <v>547</v>
      </c>
      <c r="B534" t="s">
        <v>1582</v>
      </c>
      <c r="C534" t="s">
        <v>2195</v>
      </c>
      <c r="D534" t="s">
        <v>3014</v>
      </c>
      <c r="E534" t="s">
        <v>3672</v>
      </c>
      <c r="F534">
        <v>40</v>
      </c>
      <c r="G534" t="s">
        <v>3678</v>
      </c>
      <c r="H534" t="s">
        <v>3683</v>
      </c>
      <c r="I534" t="s">
        <v>3689</v>
      </c>
      <c r="J534" t="s">
        <v>3694</v>
      </c>
      <c r="K534" t="s">
        <v>3699</v>
      </c>
      <c r="L534">
        <v>5</v>
      </c>
      <c r="M534">
        <v>1800</v>
      </c>
      <c r="N534" t="s">
        <v>3701</v>
      </c>
      <c r="O534" t="s">
        <v>3707</v>
      </c>
      <c r="P534" s="2">
        <f t="shared" si="40"/>
        <v>45819</v>
      </c>
      <c r="Q534" t="str">
        <f t="shared" si="41"/>
        <v>Jayesh Dave</v>
      </c>
      <c r="R534" t="str">
        <f t="shared" si="42"/>
        <v>Hyderabad</v>
      </c>
      <c r="S534" t="str">
        <f t="shared" si="43"/>
        <v>Telangana</v>
      </c>
      <c r="T534">
        <f t="shared" si="44"/>
        <v>9000</v>
      </c>
    </row>
    <row r="535" spans="1:20" x14ac:dyDescent="0.35">
      <c r="A535" t="s">
        <v>548</v>
      </c>
      <c r="B535" t="s">
        <v>1583</v>
      </c>
      <c r="C535" t="s">
        <v>2196</v>
      </c>
      <c r="D535" t="s">
        <v>3015</v>
      </c>
      <c r="E535" t="s">
        <v>3671</v>
      </c>
      <c r="F535">
        <v>42</v>
      </c>
      <c r="G535" t="s">
        <v>3675</v>
      </c>
      <c r="H535" t="s">
        <v>3681</v>
      </c>
      <c r="I535" t="s">
        <v>3685</v>
      </c>
      <c r="J535" t="s">
        <v>3692</v>
      </c>
      <c r="K535" t="s">
        <v>3695</v>
      </c>
      <c r="L535">
        <v>2</v>
      </c>
      <c r="M535">
        <v>12000</v>
      </c>
      <c r="N535" t="s">
        <v>3703</v>
      </c>
      <c r="O535" t="s">
        <v>3707</v>
      </c>
      <c r="P535" s="2">
        <f t="shared" si="40"/>
        <v>46014</v>
      </c>
      <c r="Q535" t="str">
        <f t="shared" si="41"/>
        <v>Darshit Soni</v>
      </c>
      <c r="R535" t="str">
        <f t="shared" si="42"/>
        <v>Kolkata</v>
      </c>
      <c r="S535" t="str">
        <f t="shared" si="43"/>
        <v>West Bengal</v>
      </c>
      <c r="T535">
        <f t="shared" si="44"/>
        <v>24000</v>
      </c>
    </row>
    <row r="536" spans="1:20" x14ac:dyDescent="0.35">
      <c r="A536" t="s">
        <v>549</v>
      </c>
      <c r="B536" t="s">
        <v>1387</v>
      </c>
      <c r="C536" t="s">
        <v>2197</v>
      </c>
      <c r="D536" t="s">
        <v>3016</v>
      </c>
      <c r="E536" t="s">
        <v>3671</v>
      </c>
      <c r="F536">
        <v>29</v>
      </c>
      <c r="G536" t="s">
        <v>3677</v>
      </c>
      <c r="H536" t="s">
        <v>3680</v>
      </c>
      <c r="I536" t="s">
        <v>3688</v>
      </c>
      <c r="J536" t="s">
        <v>3694</v>
      </c>
      <c r="K536" t="s">
        <v>3698</v>
      </c>
      <c r="L536">
        <v>2</v>
      </c>
      <c r="M536">
        <v>4500</v>
      </c>
      <c r="N536" t="s">
        <v>3701</v>
      </c>
      <c r="O536" t="s">
        <v>3706</v>
      </c>
      <c r="P536" s="2">
        <f t="shared" si="40"/>
        <v>45773</v>
      </c>
      <c r="Q536" t="str">
        <f t="shared" si="41"/>
        <v>Zain Sen</v>
      </c>
      <c r="R536" t="str">
        <f t="shared" si="42"/>
        <v>Mumbai</v>
      </c>
      <c r="S536" t="str">
        <f t="shared" si="43"/>
        <v>Maharashtra</v>
      </c>
      <c r="T536">
        <f t="shared" si="44"/>
        <v>9000</v>
      </c>
    </row>
    <row r="537" spans="1:20" x14ac:dyDescent="0.35">
      <c r="A537" t="s">
        <v>550</v>
      </c>
      <c r="B537" t="s">
        <v>1584</v>
      </c>
      <c r="C537" t="s">
        <v>2198</v>
      </c>
      <c r="D537" t="s">
        <v>3017</v>
      </c>
      <c r="E537" t="s">
        <v>3672</v>
      </c>
      <c r="F537">
        <v>42</v>
      </c>
      <c r="G537" t="s">
        <v>3673</v>
      </c>
      <c r="H537" t="s">
        <v>3673</v>
      </c>
      <c r="I537" t="s">
        <v>3687</v>
      </c>
      <c r="J537" t="s">
        <v>3693</v>
      </c>
      <c r="K537" t="s">
        <v>3697</v>
      </c>
      <c r="L537">
        <v>3</v>
      </c>
      <c r="M537">
        <v>5000</v>
      </c>
      <c r="N537" t="s">
        <v>3701</v>
      </c>
      <c r="O537" t="s">
        <v>3705</v>
      </c>
      <c r="P537" s="2">
        <f t="shared" si="40"/>
        <v>45985</v>
      </c>
      <c r="Q537" t="str">
        <f t="shared" si="41"/>
        <v>Yuvraj Bhalla</v>
      </c>
      <c r="R537" t="str">
        <f t="shared" si="42"/>
        <v>Delhi</v>
      </c>
      <c r="S537" t="str">
        <f t="shared" si="43"/>
        <v>Delhi</v>
      </c>
      <c r="T537">
        <f t="shared" si="44"/>
        <v>15000</v>
      </c>
    </row>
    <row r="538" spans="1:20" x14ac:dyDescent="0.35">
      <c r="A538" t="s">
        <v>551</v>
      </c>
      <c r="B538" t="s">
        <v>1543</v>
      </c>
      <c r="C538" t="s">
        <v>2179</v>
      </c>
      <c r="D538" t="s">
        <v>3018</v>
      </c>
      <c r="E538" t="s">
        <v>3671</v>
      </c>
      <c r="F538">
        <v>42</v>
      </c>
      <c r="G538" t="s">
        <v>3676</v>
      </c>
      <c r="H538" t="s">
        <v>3682</v>
      </c>
      <c r="I538" t="s">
        <v>3689</v>
      </c>
      <c r="J538" t="s">
        <v>3694</v>
      </c>
      <c r="K538" t="s">
        <v>3699</v>
      </c>
      <c r="L538">
        <v>3</v>
      </c>
      <c r="M538">
        <v>1800</v>
      </c>
      <c r="N538" t="s">
        <v>3704</v>
      </c>
      <c r="O538" t="s">
        <v>3706</v>
      </c>
      <c r="P538" s="2">
        <f t="shared" si="40"/>
        <v>45916</v>
      </c>
      <c r="Q538" t="str">
        <f t="shared" si="41"/>
        <v>Tarini Majumdar</v>
      </c>
      <c r="R538" t="str">
        <f t="shared" si="42"/>
        <v>Chennai</v>
      </c>
      <c r="S538" t="str">
        <f t="shared" si="43"/>
        <v>Tamil Nadu</v>
      </c>
      <c r="T538">
        <f t="shared" si="44"/>
        <v>5400</v>
      </c>
    </row>
    <row r="539" spans="1:20" x14ac:dyDescent="0.35">
      <c r="A539" t="s">
        <v>552</v>
      </c>
      <c r="B539" t="s">
        <v>1585</v>
      </c>
      <c r="C539" t="s">
        <v>2091</v>
      </c>
      <c r="D539" t="s">
        <v>3019</v>
      </c>
      <c r="E539" t="s">
        <v>3672</v>
      </c>
      <c r="F539">
        <v>20</v>
      </c>
      <c r="G539" t="s">
        <v>3674</v>
      </c>
      <c r="H539" t="s">
        <v>3680</v>
      </c>
      <c r="I539" t="s">
        <v>3690</v>
      </c>
      <c r="J539" t="s">
        <v>3693</v>
      </c>
      <c r="K539" t="s">
        <v>3700</v>
      </c>
      <c r="L539">
        <v>2</v>
      </c>
      <c r="M539">
        <v>72000</v>
      </c>
      <c r="N539" t="s">
        <v>3704</v>
      </c>
      <c r="O539" t="s">
        <v>3707</v>
      </c>
      <c r="P539" s="2">
        <f t="shared" si="40"/>
        <v>45746</v>
      </c>
      <c r="Q539" t="str">
        <f t="shared" si="41"/>
        <v>Aarush Mander</v>
      </c>
      <c r="R539" t="str">
        <f t="shared" si="42"/>
        <v>Pune</v>
      </c>
      <c r="S539" t="str">
        <f t="shared" si="43"/>
        <v>Maharashtra</v>
      </c>
      <c r="T539">
        <f t="shared" si="44"/>
        <v>144000</v>
      </c>
    </row>
    <row r="540" spans="1:20" x14ac:dyDescent="0.35">
      <c r="A540" t="s">
        <v>553</v>
      </c>
      <c r="B540" t="s">
        <v>1586</v>
      </c>
      <c r="C540" t="s">
        <v>2199</v>
      </c>
      <c r="D540" t="s">
        <v>3020</v>
      </c>
      <c r="E540" t="s">
        <v>3671</v>
      </c>
      <c r="F540">
        <v>19</v>
      </c>
      <c r="G540" t="s">
        <v>3677</v>
      </c>
      <c r="H540" t="s">
        <v>3680</v>
      </c>
      <c r="I540" t="s">
        <v>3685</v>
      </c>
      <c r="J540" t="s">
        <v>3692</v>
      </c>
      <c r="K540" t="s">
        <v>3695</v>
      </c>
      <c r="L540">
        <v>1</v>
      </c>
      <c r="M540">
        <v>12000</v>
      </c>
      <c r="N540" t="s">
        <v>3704</v>
      </c>
      <c r="O540" t="s">
        <v>3705</v>
      </c>
      <c r="P540" s="2">
        <f t="shared" si="40"/>
        <v>46024</v>
      </c>
      <c r="Q540" t="str">
        <f t="shared" si="41"/>
        <v>Tiya Shan</v>
      </c>
      <c r="R540" t="str">
        <f t="shared" si="42"/>
        <v>Mumbai</v>
      </c>
      <c r="S540" t="str">
        <f t="shared" si="43"/>
        <v>Maharashtra</v>
      </c>
      <c r="T540">
        <f t="shared" si="44"/>
        <v>12000</v>
      </c>
    </row>
    <row r="541" spans="1:20" x14ac:dyDescent="0.35">
      <c r="A541" t="s">
        <v>554</v>
      </c>
      <c r="B541" t="s">
        <v>1587</v>
      </c>
      <c r="C541" t="s">
        <v>1926</v>
      </c>
      <c r="D541" t="s">
        <v>3021</v>
      </c>
      <c r="E541" t="s">
        <v>3671</v>
      </c>
      <c r="F541">
        <v>28</v>
      </c>
      <c r="G541" t="s">
        <v>3679</v>
      </c>
      <c r="H541" t="s">
        <v>3684</v>
      </c>
      <c r="I541" t="s">
        <v>3685</v>
      </c>
      <c r="J541" t="s">
        <v>3692</v>
      </c>
      <c r="K541" t="s">
        <v>3695</v>
      </c>
      <c r="L541">
        <v>2</v>
      </c>
      <c r="M541">
        <v>12000</v>
      </c>
      <c r="N541" t="s">
        <v>3702</v>
      </c>
      <c r="O541" t="s">
        <v>3705</v>
      </c>
      <c r="P541" s="2">
        <f t="shared" si="40"/>
        <v>45983</v>
      </c>
      <c r="Q541" t="str">
        <f t="shared" si="41"/>
        <v>Seher Varughese</v>
      </c>
      <c r="R541" t="str">
        <f t="shared" si="42"/>
        <v>Bengaluru</v>
      </c>
      <c r="S541" t="str">
        <f t="shared" si="43"/>
        <v>Karnataka</v>
      </c>
      <c r="T541">
        <f t="shared" si="44"/>
        <v>24000</v>
      </c>
    </row>
    <row r="542" spans="1:20" x14ac:dyDescent="0.35">
      <c r="A542" t="s">
        <v>555</v>
      </c>
      <c r="B542" t="s">
        <v>1588</v>
      </c>
      <c r="C542" t="s">
        <v>1805</v>
      </c>
      <c r="D542" t="s">
        <v>3022</v>
      </c>
      <c r="E542" t="s">
        <v>3672</v>
      </c>
      <c r="F542">
        <v>19</v>
      </c>
      <c r="G542" t="s">
        <v>3675</v>
      </c>
      <c r="H542" t="s">
        <v>3681</v>
      </c>
      <c r="I542" t="s">
        <v>3685</v>
      </c>
      <c r="J542" t="s">
        <v>3692</v>
      </c>
      <c r="K542" t="s">
        <v>3695</v>
      </c>
      <c r="L542">
        <v>5</v>
      </c>
      <c r="M542">
        <v>12000</v>
      </c>
      <c r="N542" t="s">
        <v>3702</v>
      </c>
      <c r="O542" t="s">
        <v>3707</v>
      </c>
      <c r="P542" s="2">
        <f t="shared" si="40"/>
        <v>45973</v>
      </c>
      <c r="Q542" t="str">
        <f t="shared" si="41"/>
        <v>Samaira Chowdhury</v>
      </c>
      <c r="R542" t="str">
        <f t="shared" si="42"/>
        <v>Kolkata</v>
      </c>
      <c r="S542" t="str">
        <f t="shared" si="43"/>
        <v>West Bengal</v>
      </c>
      <c r="T542">
        <f t="shared" si="44"/>
        <v>60000</v>
      </c>
    </row>
    <row r="543" spans="1:20" x14ac:dyDescent="0.35">
      <c r="A543" t="s">
        <v>556</v>
      </c>
      <c r="B543" t="s">
        <v>1589</v>
      </c>
      <c r="C543" t="s">
        <v>2200</v>
      </c>
      <c r="D543" t="s">
        <v>3023</v>
      </c>
      <c r="E543" t="s">
        <v>3672</v>
      </c>
      <c r="F543">
        <v>34</v>
      </c>
      <c r="G543" t="s">
        <v>3678</v>
      </c>
      <c r="H543" t="s">
        <v>3683</v>
      </c>
      <c r="I543" t="s">
        <v>3687</v>
      </c>
      <c r="J543" t="s">
        <v>3693</v>
      </c>
      <c r="K543" t="s">
        <v>3697</v>
      </c>
      <c r="L543">
        <v>5</v>
      </c>
      <c r="M543">
        <v>5000</v>
      </c>
      <c r="N543" t="s">
        <v>3702</v>
      </c>
      <c r="O543" t="s">
        <v>3705</v>
      </c>
      <c r="P543" s="2">
        <f t="shared" si="40"/>
        <v>45842</v>
      </c>
      <c r="Q543" t="str">
        <f t="shared" si="41"/>
        <v>Raunak Dayal</v>
      </c>
      <c r="R543" t="str">
        <f t="shared" si="42"/>
        <v>Hyderabad</v>
      </c>
      <c r="S543" t="str">
        <f t="shared" si="43"/>
        <v>Telangana</v>
      </c>
      <c r="T543">
        <f t="shared" si="44"/>
        <v>25000</v>
      </c>
    </row>
    <row r="544" spans="1:20" x14ac:dyDescent="0.35">
      <c r="A544" t="s">
        <v>557</v>
      </c>
      <c r="B544" t="s">
        <v>1590</v>
      </c>
      <c r="C544" t="s">
        <v>2201</v>
      </c>
      <c r="D544" t="s">
        <v>3024</v>
      </c>
      <c r="E544" t="s">
        <v>3672</v>
      </c>
      <c r="F544">
        <v>24</v>
      </c>
      <c r="G544" t="s">
        <v>3673</v>
      </c>
      <c r="H544" t="s">
        <v>3673</v>
      </c>
      <c r="I544" t="s">
        <v>3690</v>
      </c>
      <c r="J544" t="s">
        <v>3693</v>
      </c>
      <c r="K544" t="s">
        <v>3700</v>
      </c>
      <c r="L544">
        <v>4</v>
      </c>
      <c r="M544">
        <v>72000</v>
      </c>
      <c r="N544" t="s">
        <v>3703</v>
      </c>
      <c r="O544" t="s">
        <v>3705</v>
      </c>
      <c r="P544" s="2">
        <f t="shared" si="40"/>
        <v>45935</v>
      </c>
      <c r="Q544" t="str">
        <f t="shared" si="41"/>
        <v>Madhup Kale</v>
      </c>
      <c r="R544" t="str">
        <f t="shared" si="42"/>
        <v>Delhi</v>
      </c>
      <c r="S544" t="str">
        <f t="shared" si="43"/>
        <v>Delhi</v>
      </c>
      <c r="T544">
        <f t="shared" si="44"/>
        <v>288000</v>
      </c>
    </row>
    <row r="545" spans="1:20" x14ac:dyDescent="0.35">
      <c r="A545" t="s">
        <v>558</v>
      </c>
      <c r="B545" t="s">
        <v>1591</v>
      </c>
      <c r="C545" t="s">
        <v>2202</v>
      </c>
      <c r="D545" t="s">
        <v>3025</v>
      </c>
      <c r="E545" t="s">
        <v>3671</v>
      </c>
      <c r="F545">
        <v>36</v>
      </c>
      <c r="G545" t="s">
        <v>3679</v>
      </c>
      <c r="H545" t="s">
        <v>3684</v>
      </c>
      <c r="I545" t="s">
        <v>3688</v>
      </c>
      <c r="J545" t="s">
        <v>3694</v>
      </c>
      <c r="K545" t="s">
        <v>3698</v>
      </c>
      <c r="L545">
        <v>1</v>
      </c>
      <c r="M545">
        <v>4500</v>
      </c>
      <c r="N545" t="s">
        <v>3701</v>
      </c>
      <c r="O545" t="s">
        <v>3707</v>
      </c>
      <c r="P545" s="2">
        <f t="shared" si="40"/>
        <v>45721</v>
      </c>
      <c r="Q545" t="str">
        <f t="shared" si="41"/>
        <v>Eva Sharaf</v>
      </c>
      <c r="R545" t="str">
        <f t="shared" si="42"/>
        <v>Bengaluru</v>
      </c>
      <c r="S545" t="str">
        <f t="shared" si="43"/>
        <v>Karnataka</v>
      </c>
      <c r="T545">
        <f t="shared" si="44"/>
        <v>4500</v>
      </c>
    </row>
    <row r="546" spans="1:20" x14ac:dyDescent="0.35">
      <c r="A546" t="s">
        <v>559</v>
      </c>
      <c r="B546" t="s">
        <v>1321</v>
      </c>
      <c r="C546" t="s">
        <v>2203</v>
      </c>
      <c r="D546" t="s">
        <v>3026</v>
      </c>
      <c r="E546" t="s">
        <v>3672</v>
      </c>
      <c r="F546">
        <v>32</v>
      </c>
      <c r="G546" t="s">
        <v>3678</v>
      </c>
      <c r="H546" t="s">
        <v>3683</v>
      </c>
      <c r="I546" t="s">
        <v>3688</v>
      </c>
      <c r="J546" t="s">
        <v>3694</v>
      </c>
      <c r="K546" t="s">
        <v>3698</v>
      </c>
      <c r="L546">
        <v>4</v>
      </c>
      <c r="M546">
        <v>4500</v>
      </c>
      <c r="N546" t="s">
        <v>3702</v>
      </c>
      <c r="O546" t="s">
        <v>3706</v>
      </c>
      <c r="P546" s="2">
        <f t="shared" si="40"/>
        <v>45739</v>
      </c>
      <c r="Q546" t="str">
        <f t="shared" si="41"/>
        <v>Samiha Toor</v>
      </c>
      <c r="R546" t="str">
        <f t="shared" si="42"/>
        <v>Hyderabad</v>
      </c>
      <c r="S546" t="str">
        <f t="shared" si="43"/>
        <v>Telangana</v>
      </c>
      <c r="T546">
        <f t="shared" si="44"/>
        <v>18000</v>
      </c>
    </row>
    <row r="547" spans="1:20" x14ac:dyDescent="0.35">
      <c r="A547" t="s">
        <v>560</v>
      </c>
      <c r="B547" t="s">
        <v>1592</v>
      </c>
      <c r="C547" t="s">
        <v>2204</v>
      </c>
      <c r="D547" t="s">
        <v>3027</v>
      </c>
      <c r="E547" t="s">
        <v>3671</v>
      </c>
      <c r="F547">
        <v>54</v>
      </c>
      <c r="G547" t="s">
        <v>3679</v>
      </c>
      <c r="H547" t="s">
        <v>3684</v>
      </c>
      <c r="I547" t="s">
        <v>3686</v>
      </c>
      <c r="J547" t="s">
        <v>3693</v>
      </c>
      <c r="K547" t="s">
        <v>3696</v>
      </c>
      <c r="L547">
        <v>4</v>
      </c>
      <c r="M547">
        <v>65000</v>
      </c>
      <c r="N547" t="s">
        <v>3702</v>
      </c>
      <c r="O547" t="s">
        <v>3706</v>
      </c>
      <c r="P547" s="2">
        <f t="shared" si="40"/>
        <v>45974</v>
      </c>
      <c r="Q547" t="str">
        <f t="shared" si="41"/>
        <v>Stuvan Buch</v>
      </c>
      <c r="R547" t="str">
        <f t="shared" si="42"/>
        <v>Bengaluru</v>
      </c>
      <c r="S547" t="str">
        <f t="shared" si="43"/>
        <v>Karnataka</v>
      </c>
      <c r="T547">
        <f t="shared" si="44"/>
        <v>260000</v>
      </c>
    </row>
    <row r="548" spans="1:20" x14ac:dyDescent="0.35">
      <c r="A548" t="s">
        <v>561</v>
      </c>
      <c r="B548" t="s">
        <v>1564</v>
      </c>
      <c r="C548" t="s">
        <v>2102</v>
      </c>
      <c r="D548" t="s">
        <v>3028</v>
      </c>
      <c r="E548" t="s">
        <v>3672</v>
      </c>
      <c r="F548">
        <v>52</v>
      </c>
      <c r="G548" t="s">
        <v>3676</v>
      </c>
      <c r="H548" t="s">
        <v>3682</v>
      </c>
      <c r="I548" t="s">
        <v>3689</v>
      </c>
      <c r="J548" t="s">
        <v>3694</v>
      </c>
      <c r="K548" t="s">
        <v>3699</v>
      </c>
      <c r="L548">
        <v>5</v>
      </c>
      <c r="M548">
        <v>1800</v>
      </c>
      <c r="N548" t="s">
        <v>3701</v>
      </c>
      <c r="O548" t="s">
        <v>3706</v>
      </c>
      <c r="P548" s="2">
        <f t="shared" si="40"/>
        <v>45670</v>
      </c>
      <c r="Q548" t="str">
        <f t="shared" si="41"/>
        <v>Devansh Deo</v>
      </c>
      <c r="R548" t="str">
        <f t="shared" si="42"/>
        <v>Chennai</v>
      </c>
      <c r="S548" t="str">
        <f t="shared" si="43"/>
        <v>Tamil Nadu</v>
      </c>
      <c r="T548">
        <f t="shared" si="44"/>
        <v>9000</v>
      </c>
    </row>
    <row r="549" spans="1:20" x14ac:dyDescent="0.35">
      <c r="A549" t="s">
        <v>562</v>
      </c>
      <c r="B549" t="s">
        <v>1384</v>
      </c>
      <c r="C549" t="s">
        <v>2067</v>
      </c>
      <c r="D549" t="s">
        <v>3029</v>
      </c>
      <c r="E549" t="s">
        <v>3672</v>
      </c>
      <c r="F549">
        <v>30</v>
      </c>
      <c r="G549" t="s">
        <v>3674</v>
      </c>
      <c r="H549" t="s">
        <v>3680</v>
      </c>
      <c r="I549" t="s">
        <v>3688</v>
      </c>
      <c r="J549" t="s">
        <v>3694</v>
      </c>
      <c r="K549" t="s">
        <v>3698</v>
      </c>
      <c r="L549">
        <v>4</v>
      </c>
      <c r="M549">
        <v>4500</v>
      </c>
      <c r="N549" t="s">
        <v>3702</v>
      </c>
      <c r="O549" t="s">
        <v>3706</v>
      </c>
      <c r="P549" s="2">
        <f t="shared" si="40"/>
        <v>45891</v>
      </c>
      <c r="Q549" t="str">
        <f t="shared" si="41"/>
        <v>Raghav Sankaran</v>
      </c>
      <c r="R549" t="str">
        <f t="shared" si="42"/>
        <v>Pune</v>
      </c>
      <c r="S549" t="str">
        <f t="shared" si="43"/>
        <v>Maharashtra</v>
      </c>
      <c r="T549">
        <f t="shared" si="44"/>
        <v>18000</v>
      </c>
    </row>
    <row r="550" spans="1:20" x14ac:dyDescent="0.35">
      <c r="A550" t="s">
        <v>563</v>
      </c>
      <c r="B550" t="s">
        <v>1593</v>
      </c>
      <c r="C550" t="s">
        <v>2205</v>
      </c>
      <c r="D550" t="s">
        <v>3030</v>
      </c>
      <c r="E550" t="s">
        <v>3671</v>
      </c>
      <c r="F550">
        <v>33</v>
      </c>
      <c r="G550" t="s">
        <v>3674</v>
      </c>
      <c r="H550" t="s">
        <v>3680</v>
      </c>
      <c r="I550" t="s">
        <v>3689</v>
      </c>
      <c r="J550" t="s">
        <v>3694</v>
      </c>
      <c r="K550" t="s">
        <v>3699</v>
      </c>
      <c r="L550">
        <v>2</v>
      </c>
      <c r="M550">
        <v>1800</v>
      </c>
      <c r="N550" t="s">
        <v>3704</v>
      </c>
      <c r="O550" t="s">
        <v>3705</v>
      </c>
      <c r="P550" s="2">
        <f t="shared" si="40"/>
        <v>45733</v>
      </c>
      <c r="Q550" t="str">
        <f t="shared" si="41"/>
        <v>Nehmat Sarin</v>
      </c>
      <c r="R550" t="str">
        <f t="shared" si="42"/>
        <v>Pune</v>
      </c>
      <c r="S550" t="str">
        <f t="shared" si="43"/>
        <v>Maharashtra</v>
      </c>
      <c r="T550">
        <f t="shared" si="44"/>
        <v>3600</v>
      </c>
    </row>
    <row r="551" spans="1:20" x14ac:dyDescent="0.35">
      <c r="A551" t="s">
        <v>564</v>
      </c>
      <c r="B551" t="s">
        <v>1286</v>
      </c>
      <c r="C551" t="s">
        <v>2206</v>
      </c>
      <c r="D551" t="s">
        <v>3031</v>
      </c>
      <c r="E551" t="s">
        <v>3671</v>
      </c>
      <c r="F551">
        <v>47</v>
      </c>
      <c r="G551" t="s">
        <v>3677</v>
      </c>
      <c r="H551" t="s">
        <v>3680</v>
      </c>
      <c r="I551" t="s">
        <v>3687</v>
      </c>
      <c r="J551" t="s">
        <v>3693</v>
      </c>
      <c r="K551" t="s">
        <v>3697</v>
      </c>
      <c r="L551">
        <v>5</v>
      </c>
      <c r="M551">
        <v>5000</v>
      </c>
      <c r="N551" t="s">
        <v>3702</v>
      </c>
      <c r="O551" t="s">
        <v>3706</v>
      </c>
      <c r="P551" s="2">
        <f t="shared" si="40"/>
        <v>45938</v>
      </c>
      <c r="Q551" t="str">
        <f t="shared" si="41"/>
        <v>Ela Kalla</v>
      </c>
      <c r="R551" t="str">
        <f t="shared" si="42"/>
        <v>Mumbai</v>
      </c>
      <c r="S551" t="str">
        <f t="shared" si="43"/>
        <v>Maharashtra</v>
      </c>
      <c r="T551">
        <f t="shared" si="44"/>
        <v>25000</v>
      </c>
    </row>
    <row r="552" spans="1:20" x14ac:dyDescent="0.35">
      <c r="A552" t="s">
        <v>565</v>
      </c>
      <c r="B552" t="s">
        <v>1240</v>
      </c>
      <c r="C552" t="s">
        <v>2207</v>
      </c>
      <c r="D552" t="s">
        <v>3032</v>
      </c>
      <c r="E552" t="s">
        <v>3671</v>
      </c>
      <c r="F552">
        <v>48</v>
      </c>
      <c r="G552" t="s">
        <v>3675</v>
      </c>
      <c r="H552" t="s">
        <v>3681</v>
      </c>
      <c r="I552" t="s">
        <v>3688</v>
      </c>
      <c r="J552" t="s">
        <v>3694</v>
      </c>
      <c r="K552" t="s">
        <v>3698</v>
      </c>
      <c r="L552">
        <v>5</v>
      </c>
      <c r="M552">
        <v>4500</v>
      </c>
      <c r="N552" t="s">
        <v>3702</v>
      </c>
      <c r="O552" t="s">
        <v>3705</v>
      </c>
      <c r="P552" s="2">
        <f t="shared" si="40"/>
        <v>45853</v>
      </c>
      <c r="Q552" t="str">
        <f t="shared" si="41"/>
        <v>Reyansh Banerjee</v>
      </c>
      <c r="R552" t="str">
        <f t="shared" si="42"/>
        <v>Kolkata</v>
      </c>
      <c r="S552" t="str">
        <f t="shared" si="43"/>
        <v>West Bengal</v>
      </c>
      <c r="T552">
        <f t="shared" si="44"/>
        <v>22500</v>
      </c>
    </row>
    <row r="553" spans="1:20" x14ac:dyDescent="0.35">
      <c r="A553" t="s">
        <v>566</v>
      </c>
      <c r="B553" t="s">
        <v>1503</v>
      </c>
      <c r="C553" t="s">
        <v>1962</v>
      </c>
      <c r="D553" t="s">
        <v>3033</v>
      </c>
      <c r="E553" t="s">
        <v>3672</v>
      </c>
      <c r="F553">
        <v>60</v>
      </c>
      <c r="G553" t="s">
        <v>3676</v>
      </c>
      <c r="H553" t="s">
        <v>3682</v>
      </c>
      <c r="I553" t="s">
        <v>3689</v>
      </c>
      <c r="J553" t="s">
        <v>3694</v>
      </c>
      <c r="K553" t="s">
        <v>3699</v>
      </c>
      <c r="L553">
        <v>4</v>
      </c>
      <c r="M553">
        <v>1800</v>
      </c>
      <c r="N553" t="s">
        <v>3704</v>
      </c>
      <c r="O553" t="s">
        <v>3706</v>
      </c>
      <c r="P553" s="2">
        <f t="shared" si="40"/>
        <v>45804</v>
      </c>
      <c r="Q553" t="str">
        <f t="shared" si="41"/>
        <v>Abram Talwar</v>
      </c>
      <c r="R553" t="str">
        <f t="shared" si="42"/>
        <v>Chennai</v>
      </c>
      <c r="S553" t="str">
        <f t="shared" si="43"/>
        <v>Tamil Nadu</v>
      </c>
      <c r="T553">
        <f t="shared" si="44"/>
        <v>7200</v>
      </c>
    </row>
    <row r="554" spans="1:20" x14ac:dyDescent="0.35">
      <c r="A554" t="s">
        <v>567</v>
      </c>
      <c r="B554" t="s">
        <v>1376</v>
      </c>
      <c r="C554" t="s">
        <v>2208</v>
      </c>
      <c r="D554" t="s">
        <v>3034</v>
      </c>
      <c r="E554" t="s">
        <v>3672</v>
      </c>
      <c r="F554">
        <v>20</v>
      </c>
      <c r="G554" t="s">
        <v>3674</v>
      </c>
      <c r="H554" t="s">
        <v>3680</v>
      </c>
      <c r="I554" t="s">
        <v>3690</v>
      </c>
      <c r="J554" t="s">
        <v>3693</v>
      </c>
      <c r="K554" t="s">
        <v>3700</v>
      </c>
      <c r="L554">
        <v>5</v>
      </c>
      <c r="M554">
        <v>72000</v>
      </c>
      <c r="N554" t="s">
        <v>3704</v>
      </c>
      <c r="O554" t="s">
        <v>3706</v>
      </c>
      <c r="P554" s="2">
        <f t="shared" si="40"/>
        <v>45995</v>
      </c>
      <c r="Q554" t="str">
        <f t="shared" si="41"/>
        <v>Amani Sem</v>
      </c>
      <c r="R554" t="str">
        <f t="shared" si="42"/>
        <v>Pune</v>
      </c>
      <c r="S554" t="str">
        <f t="shared" si="43"/>
        <v>Maharashtra</v>
      </c>
      <c r="T554">
        <f t="shared" si="44"/>
        <v>360000</v>
      </c>
    </row>
    <row r="555" spans="1:20" x14ac:dyDescent="0.35">
      <c r="A555" t="s">
        <v>568</v>
      </c>
      <c r="B555" t="s">
        <v>1594</v>
      </c>
      <c r="C555" t="s">
        <v>2209</v>
      </c>
      <c r="D555" t="s">
        <v>3035</v>
      </c>
      <c r="E555" t="s">
        <v>3672</v>
      </c>
      <c r="F555">
        <v>59</v>
      </c>
      <c r="G555" t="s">
        <v>3677</v>
      </c>
      <c r="H555" t="s">
        <v>3680</v>
      </c>
      <c r="I555" t="s">
        <v>3689</v>
      </c>
      <c r="J555" t="s">
        <v>3694</v>
      </c>
      <c r="K555" t="s">
        <v>3699</v>
      </c>
      <c r="L555">
        <v>2</v>
      </c>
      <c r="M555">
        <v>1800</v>
      </c>
      <c r="N555" t="s">
        <v>3701</v>
      </c>
      <c r="O555" t="s">
        <v>3707</v>
      </c>
      <c r="P555" s="2">
        <f t="shared" si="40"/>
        <v>45968</v>
      </c>
      <c r="Q555" t="str">
        <f t="shared" si="41"/>
        <v>Aarna Kibe</v>
      </c>
      <c r="R555" t="str">
        <f t="shared" si="42"/>
        <v>Mumbai</v>
      </c>
      <c r="S555" t="str">
        <f t="shared" si="43"/>
        <v>Maharashtra</v>
      </c>
      <c r="T555">
        <f t="shared" si="44"/>
        <v>3600</v>
      </c>
    </row>
    <row r="556" spans="1:20" x14ac:dyDescent="0.35">
      <c r="A556" t="s">
        <v>569</v>
      </c>
      <c r="B556" t="s">
        <v>1391</v>
      </c>
      <c r="C556" t="s">
        <v>2210</v>
      </c>
      <c r="D556" t="s">
        <v>3036</v>
      </c>
      <c r="E556" t="s">
        <v>3671</v>
      </c>
      <c r="F556">
        <v>24</v>
      </c>
      <c r="G556" t="s">
        <v>3674</v>
      </c>
      <c r="H556" t="s">
        <v>3680</v>
      </c>
      <c r="I556" t="s">
        <v>3691</v>
      </c>
      <c r="J556" t="s">
        <v>3693</v>
      </c>
      <c r="K556" t="s">
        <v>3696</v>
      </c>
      <c r="L556">
        <v>5</v>
      </c>
      <c r="M556">
        <v>58000</v>
      </c>
      <c r="N556" t="s">
        <v>3703</v>
      </c>
      <c r="O556" t="s">
        <v>3707</v>
      </c>
      <c r="P556" s="2">
        <f t="shared" si="40"/>
        <v>45705</v>
      </c>
      <c r="Q556" t="str">
        <f t="shared" si="41"/>
        <v>Purab Walla</v>
      </c>
      <c r="R556" t="str">
        <f t="shared" si="42"/>
        <v>Pune</v>
      </c>
      <c r="S556" t="str">
        <f t="shared" si="43"/>
        <v>Maharashtra</v>
      </c>
      <c r="T556">
        <f t="shared" si="44"/>
        <v>290000</v>
      </c>
    </row>
    <row r="557" spans="1:20" x14ac:dyDescent="0.35">
      <c r="A557" t="s">
        <v>570</v>
      </c>
      <c r="B557" t="s">
        <v>1595</v>
      </c>
      <c r="C557" t="s">
        <v>2211</v>
      </c>
      <c r="D557" t="s">
        <v>3037</v>
      </c>
      <c r="E557" t="s">
        <v>3671</v>
      </c>
      <c r="F557">
        <v>32</v>
      </c>
      <c r="G557" t="s">
        <v>3679</v>
      </c>
      <c r="H557" t="s">
        <v>3684</v>
      </c>
      <c r="I557" t="s">
        <v>3688</v>
      </c>
      <c r="J557" t="s">
        <v>3694</v>
      </c>
      <c r="K557" t="s">
        <v>3698</v>
      </c>
      <c r="L557">
        <v>1</v>
      </c>
      <c r="M557">
        <v>4500</v>
      </c>
      <c r="N557" t="s">
        <v>3701</v>
      </c>
      <c r="O557" t="s">
        <v>3706</v>
      </c>
      <c r="P557" s="2">
        <f t="shared" si="40"/>
        <v>45792</v>
      </c>
      <c r="Q557" t="str">
        <f t="shared" si="41"/>
        <v>Heer Lala</v>
      </c>
      <c r="R557" t="str">
        <f t="shared" si="42"/>
        <v>Bengaluru</v>
      </c>
      <c r="S557" t="str">
        <f t="shared" si="43"/>
        <v>Karnataka</v>
      </c>
      <c r="T557">
        <f t="shared" si="44"/>
        <v>4500</v>
      </c>
    </row>
    <row r="558" spans="1:20" x14ac:dyDescent="0.35">
      <c r="A558" t="s">
        <v>571</v>
      </c>
      <c r="B558" t="s">
        <v>1596</v>
      </c>
      <c r="C558" t="s">
        <v>2212</v>
      </c>
      <c r="D558" t="s">
        <v>3038</v>
      </c>
      <c r="E558" t="s">
        <v>3672</v>
      </c>
      <c r="F558">
        <v>27</v>
      </c>
      <c r="G558" t="s">
        <v>3676</v>
      </c>
      <c r="H558" t="s">
        <v>3682</v>
      </c>
      <c r="I558" t="s">
        <v>3686</v>
      </c>
      <c r="J558" t="s">
        <v>3693</v>
      </c>
      <c r="K558" t="s">
        <v>3696</v>
      </c>
      <c r="L558">
        <v>3</v>
      </c>
      <c r="M558">
        <v>65000</v>
      </c>
      <c r="N558" t="s">
        <v>3704</v>
      </c>
      <c r="O558" t="s">
        <v>3706</v>
      </c>
      <c r="P558" s="2">
        <f t="shared" si="40"/>
        <v>45911</v>
      </c>
      <c r="Q558" t="str">
        <f t="shared" si="41"/>
        <v>Indrajit Madan</v>
      </c>
      <c r="R558" t="str">
        <f t="shared" si="42"/>
        <v>Chennai</v>
      </c>
      <c r="S558" t="str">
        <f t="shared" si="43"/>
        <v>Tamil Nadu</v>
      </c>
      <c r="T558">
        <f t="shared" si="44"/>
        <v>195000</v>
      </c>
    </row>
    <row r="559" spans="1:20" x14ac:dyDescent="0.35">
      <c r="A559" t="s">
        <v>572</v>
      </c>
      <c r="B559" t="s">
        <v>1535</v>
      </c>
      <c r="C559" t="s">
        <v>2213</v>
      </c>
      <c r="D559" t="s">
        <v>3039</v>
      </c>
      <c r="E559" t="s">
        <v>3672</v>
      </c>
      <c r="F559">
        <v>43</v>
      </c>
      <c r="G559" t="s">
        <v>3675</v>
      </c>
      <c r="H559" t="s">
        <v>3681</v>
      </c>
      <c r="I559" t="s">
        <v>3689</v>
      </c>
      <c r="J559" t="s">
        <v>3694</v>
      </c>
      <c r="K559" t="s">
        <v>3699</v>
      </c>
      <c r="L559">
        <v>2</v>
      </c>
      <c r="M559">
        <v>1800</v>
      </c>
      <c r="N559" t="s">
        <v>3702</v>
      </c>
      <c r="O559" t="s">
        <v>3705</v>
      </c>
      <c r="P559" s="2">
        <f t="shared" si="40"/>
        <v>45904</v>
      </c>
      <c r="Q559" t="str">
        <f t="shared" si="41"/>
        <v>Alia Sundaram</v>
      </c>
      <c r="R559" t="str">
        <f t="shared" si="42"/>
        <v>Kolkata</v>
      </c>
      <c r="S559" t="str">
        <f t="shared" si="43"/>
        <v>West Bengal</v>
      </c>
      <c r="T559">
        <f t="shared" si="44"/>
        <v>3600</v>
      </c>
    </row>
    <row r="560" spans="1:20" x14ac:dyDescent="0.35">
      <c r="A560" t="s">
        <v>573</v>
      </c>
      <c r="B560" t="s">
        <v>1597</v>
      </c>
      <c r="C560" t="s">
        <v>1939</v>
      </c>
      <c r="D560" t="s">
        <v>3040</v>
      </c>
      <c r="E560" t="s">
        <v>3672</v>
      </c>
      <c r="F560">
        <v>54</v>
      </c>
      <c r="G560" t="s">
        <v>3678</v>
      </c>
      <c r="H560" t="s">
        <v>3683</v>
      </c>
      <c r="I560" t="s">
        <v>3688</v>
      </c>
      <c r="J560" t="s">
        <v>3694</v>
      </c>
      <c r="K560" t="s">
        <v>3698</v>
      </c>
      <c r="L560">
        <v>2</v>
      </c>
      <c r="M560">
        <v>4500</v>
      </c>
      <c r="N560" t="s">
        <v>3703</v>
      </c>
      <c r="O560" t="s">
        <v>3705</v>
      </c>
      <c r="P560" s="2">
        <f t="shared" si="40"/>
        <v>45783</v>
      </c>
      <c r="Q560" t="str">
        <f t="shared" si="41"/>
        <v>Bhamini Bali</v>
      </c>
      <c r="R560" t="str">
        <f t="shared" si="42"/>
        <v>Hyderabad</v>
      </c>
      <c r="S560" t="str">
        <f t="shared" si="43"/>
        <v>Telangana</v>
      </c>
      <c r="T560">
        <f t="shared" si="44"/>
        <v>9000</v>
      </c>
    </row>
    <row r="561" spans="1:20" x14ac:dyDescent="0.35">
      <c r="A561" t="s">
        <v>574</v>
      </c>
      <c r="B561" t="s">
        <v>1525</v>
      </c>
      <c r="C561" t="s">
        <v>1813</v>
      </c>
      <c r="D561" t="s">
        <v>3041</v>
      </c>
      <c r="E561" t="s">
        <v>3671</v>
      </c>
      <c r="F561">
        <v>27</v>
      </c>
      <c r="G561" t="s">
        <v>3673</v>
      </c>
      <c r="H561" t="s">
        <v>3673</v>
      </c>
      <c r="I561" t="s">
        <v>3688</v>
      </c>
      <c r="J561" t="s">
        <v>3694</v>
      </c>
      <c r="K561" t="s">
        <v>3698</v>
      </c>
      <c r="L561">
        <v>2</v>
      </c>
      <c r="M561">
        <v>4500</v>
      </c>
      <c r="N561" t="s">
        <v>3702</v>
      </c>
      <c r="O561" t="s">
        <v>3705</v>
      </c>
      <c r="P561" s="2">
        <f t="shared" si="40"/>
        <v>45803</v>
      </c>
      <c r="Q561" t="str">
        <f t="shared" si="41"/>
        <v>Neelofar Deep</v>
      </c>
      <c r="R561" t="str">
        <f t="shared" si="42"/>
        <v>Delhi</v>
      </c>
      <c r="S561" t="str">
        <f t="shared" si="43"/>
        <v>Delhi</v>
      </c>
      <c r="T561">
        <f t="shared" si="44"/>
        <v>9000</v>
      </c>
    </row>
    <row r="562" spans="1:20" x14ac:dyDescent="0.35">
      <c r="A562" t="s">
        <v>575</v>
      </c>
      <c r="B562" t="s">
        <v>1311</v>
      </c>
      <c r="C562" t="s">
        <v>2214</v>
      </c>
      <c r="D562" t="s">
        <v>3042</v>
      </c>
      <c r="E562" t="s">
        <v>3672</v>
      </c>
      <c r="F562">
        <v>39</v>
      </c>
      <c r="G562" t="s">
        <v>3676</v>
      </c>
      <c r="H562" t="s">
        <v>3682</v>
      </c>
      <c r="I562" t="s">
        <v>3689</v>
      </c>
      <c r="J562" t="s">
        <v>3694</v>
      </c>
      <c r="K562" t="s">
        <v>3699</v>
      </c>
      <c r="L562">
        <v>3</v>
      </c>
      <c r="M562">
        <v>1800</v>
      </c>
      <c r="N562" t="s">
        <v>3704</v>
      </c>
      <c r="O562" t="s">
        <v>3707</v>
      </c>
      <c r="P562" s="2">
        <f t="shared" si="40"/>
        <v>46026</v>
      </c>
      <c r="Q562" t="str">
        <f t="shared" si="41"/>
        <v>Sahil Dewan</v>
      </c>
      <c r="R562" t="str">
        <f t="shared" si="42"/>
        <v>Chennai</v>
      </c>
      <c r="S562" t="str">
        <f t="shared" si="43"/>
        <v>Tamil Nadu</v>
      </c>
      <c r="T562">
        <f t="shared" si="44"/>
        <v>5400</v>
      </c>
    </row>
    <row r="563" spans="1:20" x14ac:dyDescent="0.35">
      <c r="A563" t="s">
        <v>576</v>
      </c>
      <c r="B563" t="s">
        <v>1598</v>
      </c>
      <c r="C563" t="s">
        <v>2215</v>
      </c>
      <c r="D563" t="s">
        <v>3043</v>
      </c>
      <c r="E563" t="s">
        <v>3671</v>
      </c>
      <c r="F563">
        <v>53</v>
      </c>
      <c r="G563" t="s">
        <v>3677</v>
      </c>
      <c r="H563" t="s">
        <v>3680</v>
      </c>
      <c r="I563" t="s">
        <v>3686</v>
      </c>
      <c r="J563" t="s">
        <v>3693</v>
      </c>
      <c r="K563" t="s">
        <v>3696</v>
      </c>
      <c r="L563">
        <v>5</v>
      </c>
      <c r="M563">
        <v>65000</v>
      </c>
      <c r="N563" t="s">
        <v>3703</v>
      </c>
      <c r="O563" t="s">
        <v>3707</v>
      </c>
      <c r="P563" s="2">
        <f t="shared" si="40"/>
        <v>45748</v>
      </c>
      <c r="Q563" t="str">
        <f t="shared" si="41"/>
        <v>Zaina Bhardwaj</v>
      </c>
      <c r="R563" t="str">
        <f t="shared" si="42"/>
        <v>Mumbai</v>
      </c>
      <c r="S563" t="str">
        <f t="shared" si="43"/>
        <v>Maharashtra</v>
      </c>
      <c r="T563">
        <f t="shared" si="44"/>
        <v>325000</v>
      </c>
    </row>
    <row r="564" spans="1:20" x14ac:dyDescent="0.35">
      <c r="A564" t="s">
        <v>577</v>
      </c>
      <c r="B564" t="s">
        <v>1599</v>
      </c>
      <c r="C564" t="s">
        <v>2216</v>
      </c>
      <c r="D564" t="s">
        <v>3044</v>
      </c>
      <c r="E564" t="s">
        <v>3672</v>
      </c>
      <c r="F564">
        <v>21</v>
      </c>
      <c r="G564" t="s">
        <v>3676</v>
      </c>
      <c r="H564" t="s">
        <v>3682</v>
      </c>
      <c r="I564" t="s">
        <v>3686</v>
      </c>
      <c r="J564" t="s">
        <v>3693</v>
      </c>
      <c r="K564" t="s">
        <v>3696</v>
      </c>
      <c r="L564">
        <v>3</v>
      </c>
      <c r="M564">
        <v>65000</v>
      </c>
      <c r="N564" t="s">
        <v>3704</v>
      </c>
      <c r="O564" t="s">
        <v>3705</v>
      </c>
      <c r="P564" s="2">
        <f t="shared" si="40"/>
        <v>45701</v>
      </c>
      <c r="Q564" t="str">
        <f t="shared" si="41"/>
        <v>Adah Raja</v>
      </c>
      <c r="R564" t="str">
        <f t="shared" si="42"/>
        <v>Chennai</v>
      </c>
      <c r="S564" t="str">
        <f t="shared" si="43"/>
        <v>Tamil Nadu</v>
      </c>
      <c r="T564">
        <f t="shared" si="44"/>
        <v>195000</v>
      </c>
    </row>
    <row r="565" spans="1:20" x14ac:dyDescent="0.35">
      <c r="A565" t="s">
        <v>578</v>
      </c>
      <c r="B565" t="s">
        <v>1580</v>
      </c>
      <c r="C565" t="s">
        <v>1838</v>
      </c>
      <c r="D565" t="s">
        <v>3045</v>
      </c>
      <c r="E565" t="s">
        <v>3671</v>
      </c>
      <c r="F565">
        <v>44</v>
      </c>
      <c r="G565" t="s">
        <v>3673</v>
      </c>
      <c r="H565" t="s">
        <v>3673</v>
      </c>
      <c r="I565" t="s">
        <v>3686</v>
      </c>
      <c r="J565" t="s">
        <v>3693</v>
      </c>
      <c r="K565" t="s">
        <v>3696</v>
      </c>
      <c r="L565">
        <v>5</v>
      </c>
      <c r="M565">
        <v>65000</v>
      </c>
      <c r="N565" t="s">
        <v>3704</v>
      </c>
      <c r="O565" t="s">
        <v>3706</v>
      </c>
      <c r="P565" s="2">
        <f t="shared" si="40"/>
        <v>45739</v>
      </c>
      <c r="Q565" t="str">
        <f t="shared" si="41"/>
        <v>Bhamini Bhakta</v>
      </c>
      <c r="R565" t="str">
        <f t="shared" si="42"/>
        <v>Delhi</v>
      </c>
      <c r="S565" t="str">
        <f t="shared" si="43"/>
        <v>Delhi</v>
      </c>
      <c r="T565">
        <f t="shared" si="44"/>
        <v>325000</v>
      </c>
    </row>
    <row r="566" spans="1:20" x14ac:dyDescent="0.35">
      <c r="A566" t="s">
        <v>579</v>
      </c>
      <c r="B566" t="s">
        <v>1574</v>
      </c>
      <c r="C566" t="s">
        <v>1921</v>
      </c>
      <c r="D566" t="s">
        <v>3046</v>
      </c>
      <c r="E566" t="s">
        <v>3672</v>
      </c>
      <c r="F566">
        <v>20</v>
      </c>
      <c r="G566" t="s">
        <v>3674</v>
      </c>
      <c r="H566" t="s">
        <v>3680</v>
      </c>
      <c r="I566" t="s">
        <v>3686</v>
      </c>
      <c r="J566" t="s">
        <v>3693</v>
      </c>
      <c r="K566" t="s">
        <v>3696</v>
      </c>
      <c r="L566">
        <v>2</v>
      </c>
      <c r="M566">
        <v>65000</v>
      </c>
      <c r="N566" t="s">
        <v>3701</v>
      </c>
      <c r="O566" t="s">
        <v>3706</v>
      </c>
      <c r="P566" s="2">
        <f t="shared" si="40"/>
        <v>45928</v>
      </c>
      <c r="Q566" t="str">
        <f t="shared" si="41"/>
        <v>Mohanlal Rout</v>
      </c>
      <c r="R566" t="str">
        <f t="shared" si="42"/>
        <v>Pune</v>
      </c>
      <c r="S566" t="str">
        <f t="shared" si="43"/>
        <v>Maharashtra</v>
      </c>
      <c r="T566">
        <f t="shared" si="44"/>
        <v>130000</v>
      </c>
    </row>
    <row r="567" spans="1:20" x14ac:dyDescent="0.35">
      <c r="A567" t="s">
        <v>580</v>
      </c>
      <c r="B567" t="s">
        <v>1334</v>
      </c>
      <c r="C567" t="s">
        <v>2217</v>
      </c>
      <c r="D567" t="s">
        <v>3047</v>
      </c>
      <c r="E567" t="s">
        <v>3672</v>
      </c>
      <c r="F567">
        <v>58</v>
      </c>
      <c r="G567" t="s">
        <v>3678</v>
      </c>
      <c r="H567" t="s">
        <v>3683</v>
      </c>
      <c r="I567" t="s">
        <v>3687</v>
      </c>
      <c r="J567" t="s">
        <v>3693</v>
      </c>
      <c r="K567" t="s">
        <v>3697</v>
      </c>
      <c r="L567">
        <v>4</v>
      </c>
      <c r="M567">
        <v>5000</v>
      </c>
      <c r="N567" t="s">
        <v>3702</v>
      </c>
      <c r="O567" t="s">
        <v>3707</v>
      </c>
      <c r="P567" s="2">
        <f t="shared" si="40"/>
        <v>45767</v>
      </c>
      <c r="Q567" t="str">
        <f t="shared" si="41"/>
        <v>Anay Dada</v>
      </c>
      <c r="R567" t="str">
        <f t="shared" si="42"/>
        <v>Hyderabad</v>
      </c>
      <c r="S567" t="str">
        <f t="shared" si="43"/>
        <v>Telangana</v>
      </c>
      <c r="T567">
        <f t="shared" si="44"/>
        <v>20000</v>
      </c>
    </row>
    <row r="568" spans="1:20" x14ac:dyDescent="0.35">
      <c r="A568" t="s">
        <v>581</v>
      </c>
      <c r="B568" t="s">
        <v>1600</v>
      </c>
      <c r="C568" t="s">
        <v>1946</v>
      </c>
      <c r="D568" t="s">
        <v>3048</v>
      </c>
      <c r="E568" t="s">
        <v>3672</v>
      </c>
      <c r="F568">
        <v>29</v>
      </c>
      <c r="G568" t="s">
        <v>3674</v>
      </c>
      <c r="H568" t="s">
        <v>3680</v>
      </c>
      <c r="I568" t="s">
        <v>3690</v>
      </c>
      <c r="J568" t="s">
        <v>3693</v>
      </c>
      <c r="K568" t="s">
        <v>3700</v>
      </c>
      <c r="L568">
        <v>1</v>
      </c>
      <c r="M568">
        <v>72000</v>
      </c>
      <c r="N568" t="s">
        <v>3702</v>
      </c>
      <c r="O568" t="s">
        <v>3706</v>
      </c>
      <c r="P568" s="2">
        <f t="shared" si="40"/>
        <v>46026</v>
      </c>
      <c r="Q568" t="str">
        <f t="shared" si="41"/>
        <v>Vaibhav Sundaram</v>
      </c>
      <c r="R568" t="str">
        <f t="shared" si="42"/>
        <v>Pune</v>
      </c>
      <c r="S568" t="str">
        <f t="shared" si="43"/>
        <v>Maharashtra</v>
      </c>
      <c r="T568">
        <f t="shared" si="44"/>
        <v>72000</v>
      </c>
    </row>
    <row r="569" spans="1:20" x14ac:dyDescent="0.35">
      <c r="A569" t="s">
        <v>582</v>
      </c>
      <c r="B569" t="s">
        <v>1601</v>
      </c>
      <c r="C569" t="s">
        <v>2218</v>
      </c>
      <c r="D569" t="s">
        <v>3049</v>
      </c>
      <c r="E569" t="s">
        <v>3672</v>
      </c>
      <c r="F569">
        <v>45</v>
      </c>
      <c r="G569" t="s">
        <v>3678</v>
      </c>
      <c r="H569" t="s">
        <v>3683</v>
      </c>
      <c r="I569" t="s">
        <v>3688</v>
      </c>
      <c r="J569" t="s">
        <v>3694</v>
      </c>
      <c r="K569" t="s">
        <v>3698</v>
      </c>
      <c r="L569">
        <v>2</v>
      </c>
      <c r="M569">
        <v>4500</v>
      </c>
      <c r="N569" t="s">
        <v>3703</v>
      </c>
      <c r="O569" t="s">
        <v>3707</v>
      </c>
      <c r="P569" s="2">
        <f t="shared" si="40"/>
        <v>45725</v>
      </c>
      <c r="Q569" t="str">
        <f t="shared" si="41"/>
        <v>Aarna Sachdev</v>
      </c>
      <c r="R569" t="str">
        <f t="shared" si="42"/>
        <v>Hyderabad</v>
      </c>
      <c r="S569" t="str">
        <f t="shared" si="43"/>
        <v>Telangana</v>
      </c>
      <c r="T569">
        <f t="shared" si="44"/>
        <v>9000</v>
      </c>
    </row>
    <row r="570" spans="1:20" x14ac:dyDescent="0.35">
      <c r="A570" t="s">
        <v>583</v>
      </c>
      <c r="B570" t="s">
        <v>1602</v>
      </c>
      <c r="C570" t="s">
        <v>1811</v>
      </c>
      <c r="D570" t="s">
        <v>3050</v>
      </c>
      <c r="E570" t="s">
        <v>3672</v>
      </c>
      <c r="F570">
        <v>38</v>
      </c>
      <c r="G570" t="s">
        <v>3674</v>
      </c>
      <c r="H570" t="s">
        <v>3680</v>
      </c>
      <c r="I570" t="s">
        <v>3691</v>
      </c>
      <c r="J570" t="s">
        <v>3693</v>
      </c>
      <c r="K570" t="s">
        <v>3696</v>
      </c>
      <c r="L570">
        <v>5</v>
      </c>
      <c r="M570">
        <v>58000</v>
      </c>
      <c r="N570" t="s">
        <v>3704</v>
      </c>
      <c r="O570" t="s">
        <v>3707</v>
      </c>
      <c r="P570" s="2">
        <f t="shared" si="40"/>
        <v>45932</v>
      </c>
      <c r="Q570" t="str">
        <f t="shared" si="41"/>
        <v>Divyansh Behl</v>
      </c>
      <c r="R570" t="str">
        <f t="shared" si="42"/>
        <v>Pune</v>
      </c>
      <c r="S570" t="str">
        <f t="shared" si="43"/>
        <v>Maharashtra</v>
      </c>
      <c r="T570">
        <f t="shared" si="44"/>
        <v>290000</v>
      </c>
    </row>
    <row r="571" spans="1:20" x14ac:dyDescent="0.35">
      <c r="A571" t="s">
        <v>584</v>
      </c>
      <c r="B571" t="s">
        <v>1603</v>
      </c>
      <c r="C571" t="s">
        <v>2219</v>
      </c>
      <c r="D571" t="s">
        <v>3051</v>
      </c>
      <c r="E571" t="s">
        <v>3672</v>
      </c>
      <c r="F571">
        <v>31</v>
      </c>
      <c r="G571" t="s">
        <v>3679</v>
      </c>
      <c r="H571" t="s">
        <v>3684</v>
      </c>
      <c r="I571" t="s">
        <v>3691</v>
      </c>
      <c r="J571" t="s">
        <v>3693</v>
      </c>
      <c r="K571" t="s">
        <v>3696</v>
      </c>
      <c r="L571">
        <v>5</v>
      </c>
      <c r="M571">
        <v>58000</v>
      </c>
      <c r="N571" t="s">
        <v>3704</v>
      </c>
      <c r="O571" t="s">
        <v>3707</v>
      </c>
      <c r="P571" s="2">
        <f t="shared" si="40"/>
        <v>45800</v>
      </c>
      <c r="Q571" t="str">
        <f t="shared" si="41"/>
        <v>Nakul Wagle</v>
      </c>
      <c r="R571" t="str">
        <f t="shared" si="42"/>
        <v>Bengaluru</v>
      </c>
      <c r="S571" t="str">
        <f t="shared" si="43"/>
        <v>Karnataka</v>
      </c>
      <c r="T571">
        <f t="shared" si="44"/>
        <v>290000</v>
      </c>
    </row>
    <row r="572" spans="1:20" x14ac:dyDescent="0.35">
      <c r="A572" t="s">
        <v>585</v>
      </c>
      <c r="B572" t="s">
        <v>1604</v>
      </c>
      <c r="C572" t="s">
        <v>2132</v>
      </c>
      <c r="D572" t="s">
        <v>3052</v>
      </c>
      <c r="E572" t="s">
        <v>3672</v>
      </c>
      <c r="F572">
        <v>22</v>
      </c>
      <c r="G572" t="s">
        <v>3676</v>
      </c>
      <c r="H572" t="s">
        <v>3682</v>
      </c>
      <c r="I572" t="s">
        <v>3691</v>
      </c>
      <c r="J572" t="s">
        <v>3693</v>
      </c>
      <c r="K572" t="s">
        <v>3696</v>
      </c>
      <c r="L572">
        <v>1</v>
      </c>
      <c r="M572">
        <v>58000</v>
      </c>
      <c r="N572" t="s">
        <v>3703</v>
      </c>
      <c r="O572" t="s">
        <v>3705</v>
      </c>
      <c r="P572" s="2">
        <f t="shared" si="40"/>
        <v>45724</v>
      </c>
      <c r="Q572" t="str">
        <f t="shared" si="41"/>
        <v>Dhanuk Wagle</v>
      </c>
      <c r="R572" t="str">
        <f t="shared" si="42"/>
        <v>Chennai</v>
      </c>
      <c r="S572" t="str">
        <f t="shared" si="43"/>
        <v>Tamil Nadu</v>
      </c>
      <c r="T572">
        <f t="shared" si="44"/>
        <v>58000</v>
      </c>
    </row>
    <row r="573" spans="1:20" x14ac:dyDescent="0.35">
      <c r="A573" t="s">
        <v>586</v>
      </c>
      <c r="B573" t="s">
        <v>1549</v>
      </c>
      <c r="C573" t="s">
        <v>2220</v>
      </c>
      <c r="D573" t="s">
        <v>3053</v>
      </c>
      <c r="E573" t="s">
        <v>3672</v>
      </c>
      <c r="F573">
        <v>53</v>
      </c>
      <c r="G573" t="s">
        <v>3678</v>
      </c>
      <c r="H573" t="s">
        <v>3683</v>
      </c>
      <c r="I573" t="s">
        <v>3685</v>
      </c>
      <c r="J573" t="s">
        <v>3692</v>
      </c>
      <c r="K573" t="s">
        <v>3695</v>
      </c>
      <c r="L573">
        <v>4</v>
      </c>
      <c r="M573">
        <v>12000</v>
      </c>
      <c r="N573" t="s">
        <v>3704</v>
      </c>
      <c r="O573" t="s">
        <v>3705</v>
      </c>
      <c r="P573" s="2">
        <f t="shared" si="40"/>
        <v>45947</v>
      </c>
      <c r="Q573" t="str">
        <f t="shared" si="41"/>
        <v>Ritvik Iyer</v>
      </c>
      <c r="R573" t="str">
        <f t="shared" si="42"/>
        <v>Hyderabad</v>
      </c>
      <c r="S573" t="str">
        <f t="shared" si="43"/>
        <v>Telangana</v>
      </c>
      <c r="T573">
        <f t="shared" si="44"/>
        <v>48000</v>
      </c>
    </row>
    <row r="574" spans="1:20" x14ac:dyDescent="0.35">
      <c r="A574" t="s">
        <v>587</v>
      </c>
      <c r="B574" t="s">
        <v>1605</v>
      </c>
      <c r="C574" t="s">
        <v>1813</v>
      </c>
      <c r="D574" t="s">
        <v>3054</v>
      </c>
      <c r="E574" t="s">
        <v>3672</v>
      </c>
      <c r="F574">
        <v>30</v>
      </c>
      <c r="G574" t="s">
        <v>3676</v>
      </c>
      <c r="H574" t="s">
        <v>3682</v>
      </c>
      <c r="I574" t="s">
        <v>3686</v>
      </c>
      <c r="J574" t="s">
        <v>3693</v>
      </c>
      <c r="K574" t="s">
        <v>3696</v>
      </c>
      <c r="L574">
        <v>5</v>
      </c>
      <c r="M574">
        <v>65000</v>
      </c>
      <c r="N574" t="s">
        <v>3701</v>
      </c>
      <c r="O574" t="s">
        <v>3706</v>
      </c>
      <c r="P574" s="2">
        <f t="shared" si="40"/>
        <v>45986</v>
      </c>
      <c r="Q574" t="str">
        <f t="shared" si="41"/>
        <v>Riaan Venkataraman</v>
      </c>
      <c r="R574" t="str">
        <f t="shared" si="42"/>
        <v>Chennai</v>
      </c>
      <c r="S574" t="str">
        <f t="shared" si="43"/>
        <v>Tamil Nadu</v>
      </c>
      <c r="T574">
        <f t="shared" si="44"/>
        <v>325000</v>
      </c>
    </row>
    <row r="575" spans="1:20" x14ac:dyDescent="0.35">
      <c r="A575" t="s">
        <v>588</v>
      </c>
      <c r="B575" t="s">
        <v>1412</v>
      </c>
      <c r="C575" t="s">
        <v>2221</v>
      </c>
      <c r="D575" t="s">
        <v>3055</v>
      </c>
      <c r="E575" t="s">
        <v>3671</v>
      </c>
      <c r="F575">
        <v>25</v>
      </c>
      <c r="G575" t="s">
        <v>3679</v>
      </c>
      <c r="H575" t="s">
        <v>3684</v>
      </c>
      <c r="I575" t="s">
        <v>3689</v>
      </c>
      <c r="J575" t="s">
        <v>3694</v>
      </c>
      <c r="K575" t="s">
        <v>3699</v>
      </c>
      <c r="L575">
        <v>5</v>
      </c>
      <c r="M575">
        <v>1800</v>
      </c>
      <c r="N575" t="s">
        <v>3703</v>
      </c>
      <c r="O575" t="s">
        <v>3707</v>
      </c>
      <c r="P575" s="2">
        <f t="shared" si="40"/>
        <v>45979</v>
      </c>
      <c r="Q575" t="str">
        <f t="shared" si="41"/>
        <v>Amira Bains</v>
      </c>
      <c r="R575" t="str">
        <f t="shared" si="42"/>
        <v>Bengaluru</v>
      </c>
      <c r="S575" t="str">
        <f t="shared" si="43"/>
        <v>Karnataka</v>
      </c>
      <c r="T575">
        <f t="shared" si="44"/>
        <v>9000</v>
      </c>
    </row>
    <row r="576" spans="1:20" x14ac:dyDescent="0.35">
      <c r="A576" t="s">
        <v>589</v>
      </c>
      <c r="B576" t="s">
        <v>1475</v>
      </c>
      <c r="C576" t="s">
        <v>1875</v>
      </c>
      <c r="D576" t="s">
        <v>3056</v>
      </c>
      <c r="E576" t="s">
        <v>3672</v>
      </c>
      <c r="F576">
        <v>35</v>
      </c>
      <c r="G576" t="s">
        <v>3675</v>
      </c>
      <c r="H576" t="s">
        <v>3681</v>
      </c>
      <c r="I576" t="s">
        <v>3686</v>
      </c>
      <c r="J576" t="s">
        <v>3693</v>
      </c>
      <c r="K576" t="s">
        <v>3696</v>
      </c>
      <c r="L576">
        <v>1</v>
      </c>
      <c r="M576">
        <v>65000</v>
      </c>
      <c r="N576" t="s">
        <v>3703</v>
      </c>
      <c r="O576" t="s">
        <v>3706</v>
      </c>
      <c r="P576" s="2">
        <f t="shared" si="40"/>
        <v>45848</v>
      </c>
      <c r="Q576" t="str">
        <f t="shared" si="41"/>
        <v>Kimaya Ganesh</v>
      </c>
      <c r="R576" t="str">
        <f t="shared" si="42"/>
        <v>Kolkata</v>
      </c>
      <c r="S576" t="str">
        <f t="shared" si="43"/>
        <v>West Bengal</v>
      </c>
      <c r="T576">
        <f t="shared" si="44"/>
        <v>65000</v>
      </c>
    </row>
    <row r="577" spans="1:20" x14ac:dyDescent="0.35">
      <c r="A577" t="s">
        <v>590</v>
      </c>
      <c r="B577" t="s">
        <v>1263</v>
      </c>
      <c r="C577" t="s">
        <v>2222</v>
      </c>
      <c r="D577" t="s">
        <v>3057</v>
      </c>
      <c r="E577" t="s">
        <v>3671</v>
      </c>
      <c r="F577">
        <v>24</v>
      </c>
      <c r="G577" t="s">
        <v>3676</v>
      </c>
      <c r="H577" t="s">
        <v>3682</v>
      </c>
      <c r="I577" t="s">
        <v>3685</v>
      </c>
      <c r="J577" t="s">
        <v>3692</v>
      </c>
      <c r="K577" t="s">
        <v>3695</v>
      </c>
      <c r="L577">
        <v>3</v>
      </c>
      <c r="M577">
        <v>12000</v>
      </c>
      <c r="N577" t="s">
        <v>3704</v>
      </c>
      <c r="O577" t="s">
        <v>3707</v>
      </c>
      <c r="P577" s="2">
        <f t="shared" si="40"/>
        <v>45757</v>
      </c>
      <c r="Q577" t="str">
        <f t="shared" si="41"/>
        <v>Mishti Dugar</v>
      </c>
      <c r="R577" t="str">
        <f t="shared" si="42"/>
        <v>Chennai</v>
      </c>
      <c r="S577" t="str">
        <f t="shared" si="43"/>
        <v>Tamil Nadu</v>
      </c>
      <c r="T577">
        <f t="shared" si="44"/>
        <v>36000</v>
      </c>
    </row>
    <row r="578" spans="1:20" x14ac:dyDescent="0.35">
      <c r="A578" t="s">
        <v>591</v>
      </c>
      <c r="B578" t="s">
        <v>1295</v>
      </c>
      <c r="C578" t="s">
        <v>2223</v>
      </c>
      <c r="D578" t="s">
        <v>3058</v>
      </c>
      <c r="E578" t="s">
        <v>3672</v>
      </c>
      <c r="F578">
        <v>56</v>
      </c>
      <c r="G578" t="s">
        <v>3678</v>
      </c>
      <c r="H578" t="s">
        <v>3683</v>
      </c>
      <c r="I578" t="s">
        <v>3687</v>
      </c>
      <c r="J578" t="s">
        <v>3693</v>
      </c>
      <c r="K578" t="s">
        <v>3697</v>
      </c>
      <c r="L578">
        <v>3</v>
      </c>
      <c r="M578">
        <v>5000</v>
      </c>
      <c r="N578" t="s">
        <v>3704</v>
      </c>
      <c r="O578" t="s">
        <v>3705</v>
      </c>
      <c r="P578" s="2">
        <f t="shared" si="40"/>
        <v>45989</v>
      </c>
      <c r="Q578" t="str">
        <f t="shared" si="41"/>
        <v>Shamik Viswanathan</v>
      </c>
      <c r="R578" t="str">
        <f t="shared" si="42"/>
        <v>Hyderabad</v>
      </c>
      <c r="S578" t="str">
        <f t="shared" si="43"/>
        <v>Telangana</v>
      </c>
      <c r="T578">
        <f t="shared" si="44"/>
        <v>15000</v>
      </c>
    </row>
    <row r="579" spans="1:20" x14ac:dyDescent="0.35">
      <c r="A579" t="s">
        <v>592</v>
      </c>
      <c r="B579" t="s">
        <v>1334</v>
      </c>
      <c r="C579" t="s">
        <v>1799</v>
      </c>
      <c r="D579" t="s">
        <v>3059</v>
      </c>
      <c r="E579" t="s">
        <v>3671</v>
      </c>
      <c r="F579">
        <v>58</v>
      </c>
      <c r="G579" t="s">
        <v>3677</v>
      </c>
      <c r="H579" t="s">
        <v>3680</v>
      </c>
      <c r="I579" t="s">
        <v>3688</v>
      </c>
      <c r="J579" t="s">
        <v>3694</v>
      </c>
      <c r="K579" t="s">
        <v>3698</v>
      </c>
      <c r="L579">
        <v>5</v>
      </c>
      <c r="M579">
        <v>4500</v>
      </c>
      <c r="N579" t="s">
        <v>3702</v>
      </c>
      <c r="O579" t="s">
        <v>3707</v>
      </c>
      <c r="P579" s="2">
        <f t="shared" ref="P579:P642" si="45">DATEVALUE(SUBSTITUTE(B579,"/","-"))</f>
        <v>45767</v>
      </c>
      <c r="Q579" t="str">
        <f t="shared" ref="Q579:Q642" si="46">TRIM(CLEAN(D579))</f>
        <v>Amira Mandal</v>
      </c>
      <c r="R579" t="str">
        <f t="shared" ref="R579:R642" si="47">IF(G579="","Unknown",G579)</f>
        <v>Mumbai</v>
      </c>
      <c r="S579" t="str">
        <f t="shared" ref="S579:S642" si="48">IF(H579="","Unknown",H579)</f>
        <v>Maharashtra</v>
      </c>
      <c r="T579">
        <f t="shared" ref="T579:T642" si="49">L579*M579</f>
        <v>22500</v>
      </c>
    </row>
    <row r="580" spans="1:20" x14ac:dyDescent="0.35">
      <c r="A580" t="s">
        <v>593</v>
      </c>
      <c r="B580" t="s">
        <v>1411</v>
      </c>
      <c r="C580" t="s">
        <v>2224</v>
      </c>
      <c r="D580" t="s">
        <v>3060</v>
      </c>
      <c r="E580" t="s">
        <v>3672</v>
      </c>
      <c r="F580">
        <v>48</v>
      </c>
      <c r="G580" t="s">
        <v>3673</v>
      </c>
      <c r="H580" t="s">
        <v>3673</v>
      </c>
      <c r="I580" t="s">
        <v>3688</v>
      </c>
      <c r="J580" t="s">
        <v>3694</v>
      </c>
      <c r="K580" t="s">
        <v>3698</v>
      </c>
      <c r="L580">
        <v>2</v>
      </c>
      <c r="M580">
        <v>4500</v>
      </c>
      <c r="N580" t="s">
        <v>3702</v>
      </c>
      <c r="O580" t="s">
        <v>3705</v>
      </c>
      <c r="P580" s="2">
        <f t="shared" si="45"/>
        <v>45857</v>
      </c>
      <c r="Q580" t="str">
        <f t="shared" si="46"/>
        <v>Nirvaan Chada</v>
      </c>
      <c r="R580" t="str">
        <f t="shared" si="47"/>
        <v>Delhi</v>
      </c>
      <c r="S580" t="str">
        <f t="shared" si="48"/>
        <v>Delhi</v>
      </c>
      <c r="T580">
        <f t="shared" si="49"/>
        <v>9000</v>
      </c>
    </row>
    <row r="581" spans="1:20" x14ac:dyDescent="0.35">
      <c r="A581" t="s">
        <v>594</v>
      </c>
      <c r="B581" t="s">
        <v>1459</v>
      </c>
      <c r="C581" t="s">
        <v>2225</v>
      </c>
      <c r="D581" t="s">
        <v>3061</v>
      </c>
      <c r="E581" t="s">
        <v>3672</v>
      </c>
      <c r="F581">
        <v>25</v>
      </c>
      <c r="G581" t="s">
        <v>3679</v>
      </c>
      <c r="H581" t="s">
        <v>3684</v>
      </c>
      <c r="I581" t="s">
        <v>3686</v>
      </c>
      <c r="J581" t="s">
        <v>3693</v>
      </c>
      <c r="K581" t="s">
        <v>3696</v>
      </c>
      <c r="L581">
        <v>3</v>
      </c>
      <c r="M581">
        <v>65000</v>
      </c>
      <c r="N581" t="s">
        <v>3703</v>
      </c>
      <c r="O581" t="s">
        <v>3706</v>
      </c>
      <c r="P581" s="2">
        <f t="shared" si="45"/>
        <v>45873</v>
      </c>
      <c r="Q581" t="str">
        <f t="shared" si="46"/>
        <v>Adah Behl</v>
      </c>
      <c r="R581" t="str">
        <f t="shared" si="47"/>
        <v>Bengaluru</v>
      </c>
      <c r="S581" t="str">
        <f t="shared" si="48"/>
        <v>Karnataka</v>
      </c>
      <c r="T581">
        <f t="shared" si="49"/>
        <v>195000</v>
      </c>
    </row>
    <row r="582" spans="1:20" x14ac:dyDescent="0.35">
      <c r="A582" t="s">
        <v>595</v>
      </c>
      <c r="B582" t="s">
        <v>1583</v>
      </c>
      <c r="C582" t="s">
        <v>2097</v>
      </c>
      <c r="D582" t="s">
        <v>3062</v>
      </c>
      <c r="E582" t="s">
        <v>3671</v>
      </c>
      <c r="F582">
        <v>54</v>
      </c>
      <c r="G582" t="s">
        <v>3676</v>
      </c>
      <c r="H582" t="s">
        <v>3682</v>
      </c>
      <c r="I582" t="s">
        <v>3689</v>
      </c>
      <c r="J582" t="s">
        <v>3694</v>
      </c>
      <c r="K582" t="s">
        <v>3699</v>
      </c>
      <c r="L582">
        <v>4</v>
      </c>
      <c r="M582">
        <v>1800</v>
      </c>
      <c r="N582" t="s">
        <v>3704</v>
      </c>
      <c r="O582" t="s">
        <v>3705</v>
      </c>
      <c r="P582" s="2">
        <f t="shared" si="45"/>
        <v>46014</v>
      </c>
      <c r="Q582" t="str">
        <f t="shared" si="46"/>
        <v>Rasha Agrawal</v>
      </c>
      <c r="R582" t="str">
        <f t="shared" si="47"/>
        <v>Chennai</v>
      </c>
      <c r="S582" t="str">
        <f t="shared" si="48"/>
        <v>Tamil Nadu</v>
      </c>
      <c r="T582">
        <f t="shared" si="49"/>
        <v>7200</v>
      </c>
    </row>
    <row r="583" spans="1:20" x14ac:dyDescent="0.35">
      <c r="A583" t="s">
        <v>596</v>
      </c>
      <c r="B583" t="s">
        <v>1606</v>
      </c>
      <c r="C583" t="s">
        <v>2226</v>
      </c>
      <c r="D583" t="s">
        <v>3063</v>
      </c>
      <c r="E583" t="s">
        <v>3671</v>
      </c>
      <c r="F583">
        <v>50</v>
      </c>
      <c r="G583" t="s">
        <v>3674</v>
      </c>
      <c r="H583" t="s">
        <v>3680</v>
      </c>
      <c r="I583" t="s">
        <v>3685</v>
      </c>
      <c r="J583" t="s">
        <v>3692</v>
      </c>
      <c r="K583" t="s">
        <v>3695</v>
      </c>
      <c r="L583">
        <v>4</v>
      </c>
      <c r="M583">
        <v>12000</v>
      </c>
      <c r="N583" t="s">
        <v>3701</v>
      </c>
      <c r="O583" t="s">
        <v>3707</v>
      </c>
      <c r="P583" s="2">
        <f t="shared" si="45"/>
        <v>45953</v>
      </c>
      <c r="Q583" t="str">
        <f t="shared" si="46"/>
        <v>Purab Goswami</v>
      </c>
      <c r="R583" t="str">
        <f t="shared" si="47"/>
        <v>Pune</v>
      </c>
      <c r="S583" t="str">
        <f t="shared" si="48"/>
        <v>Maharashtra</v>
      </c>
      <c r="T583">
        <f t="shared" si="49"/>
        <v>48000</v>
      </c>
    </row>
    <row r="584" spans="1:20" x14ac:dyDescent="0.35">
      <c r="A584" t="s">
        <v>597</v>
      </c>
      <c r="B584" t="s">
        <v>1607</v>
      </c>
      <c r="C584" t="s">
        <v>2227</v>
      </c>
      <c r="D584" t="s">
        <v>3064</v>
      </c>
      <c r="E584" t="s">
        <v>3672</v>
      </c>
      <c r="F584">
        <v>28</v>
      </c>
      <c r="G584" t="s">
        <v>3676</v>
      </c>
      <c r="H584" t="s">
        <v>3682</v>
      </c>
      <c r="I584" t="s">
        <v>3685</v>
      </c>
      <c r="J584" t="s">
        <v>3692</v>
      </c>
      <c r="K584" t="s">
        <v>3695</v>
      </c>
      <c r="L584">
        <v>5</v>
      </c>
      <c r="M584">
        <v>12000</v>
      </c>
      <c r="N584" t="s">
        <v>3701</v>
      </c>
      <c r="O584" t="s">
        <v>3706</v>
      </c>
      <c r="P584" s="2">
        <f t="shared" si="45"/>
        <v>45947</v>
      </c>
      <c r="Q584" t="str">
        <f t="shared" si="46"/>
        <v>Ryan Dixit</v>
      </c>
      <c r="R584" t="str">
        <f t="shared" si="47"/>
        <v>Chennai</v>
      </c>
      <c r="S584" t="str">
        <f t="shared" si="48"/>
        <v>Tamil Nadu</v>
      </c>
      <c r="T584">
        <f t="shared" si="49"/>
        <v>60000</v>
      </c>
    </row>
    <row r="585" spans="1:20" x14ac:dyDescent="0.35">
      <c r="A585" t="s">
        <v>598</v>
      </c>
      <c r="B585" t="s">
        <v>1539</v>
      </c>
      <c r="C585" t="s">
        <v>2181</v>
      </c>
      <c r="D585" t="s">
        <v>3065</v>
      </c>
      <c r="E585" t="s">
        <v>3672</v>
      </c>
      <c r="F585">
        <v>34</v>
      </c>
      <c r="G585" t="s">
        <v>3674</v>
      </c>
      <c r="H585" t="s">
        <v>3680</v>
      </c>
      <c r="I585" t="s">
        <v>3687</v>
      </c>
      <c r="J585" t="s">
        <v>3693</v>
      </c>
      <c r="K585" t="s">
        <v>3697</v>
      </c>
      <c r="L585">
        <v>1</v>
      </c>
      <c r="M585">
        <v>5000</v>
      </c>
      <c r="N585" t="s">
        <v>3703</v>
      </c>
      <c r="O585" t="s">
        <v>3705</v>
      </c>
      <c r="P585" s="2">
        <f t="shared" si="45"/>
        <v>45673</v>
      </c>
      <c r="Q585" t="str">
        <f t="shared" si="46"/>
        <v>Aarav Sridhar</v>
      </c>
      <c r="R585" t="str">
        <f t="shared" si="47"/>
        <v>Pune</v>
      </c>
      <c r="S585" t="str">
        <f t="shared" si="48"/>
        <v>Maharashtra</v>
      </c>
      <c r="T585">
        <f t="shared" si="49"/>
        <v>5000</v>
      </c>
    </row>
    <row r="586" spans="1:20" x14ac:dyDescent="0.35">
      <c r="A586" t="s">
        <v>599</v>
      </c>
      <c r="B586" t="s">
        <v>1526</v>
      </c>
      <c r="C586" t="s">
        <v>2228</v>
      </c>
      <c r="D586" t="s">
        <v>3066</v>
      </c>
      <c r="E586" t="s">
        <v>3671</v>
      </c>
      <c r="F586">
        <v>58</v>
      </c>
      <c r="G586" t="s">
        <v>3679</v>
      </c>
      <c r="H586" t="s">
        <v>3684</v>
      </c>
      <c r="I586" t="s">
        <v>3685</v>
      </c>
      <c r="J586" t="s">
        <v>3692</v>
      </c>
      <c r="K586" t="s">
        <v>3695</v>
      </c>
      <c r="L586">
        <v>4</v>
      </c>
      <c r="M586">
        <v>12000</v>
      </c>
      <c r="N586" t="s">
        <v>3703</v>
      </c>
      <c r="O586" t="s">
        <v>3705</v>
      </c>
      <c r="P586" s="2">
        <f t="shared" si="45"/>
        <v>45731</v>
      </c>
      <c r="Q586" t="str">
        <f t="shared" si="46"/>
        <v>Hridaan Andra</v>
      </c>
      <c r="R586" t="str">
        <f t="shared" si="47"/>
        <v>Bengaluru</v>
      </c>
      <c r="S586" t="str">
        <f t="shared" si="48"/>
        <v>Karnataka</v>
      </c>
      <c r="T586">
        <f t="shared" si="49"/>
        <v>48000</v>
      </c>
    </row>
    <row r="587" spans="1:20" x14ac:dyDescent="0.35">
      <c r="A587" t="s">
        <v>600</v>
      </c>
      <c r="B587" t="s">
        <v>1608</v>
      </c>
      <c r="C587" t="s">
        <v>2229</v>
      </c>
      <c r="D587" t="s">
        <v>3067</v>
      </c>
      <c r="E587" t="s">
        <v>3671</v>
      </c>
      <c r="F587">
        <v>33</v>
      </c>
      <c r="G587" t="s">
        <v>3676</v>
      </c>
      <c r="H587" t="s">
        <v>3682</v>
      </c>
      <c r="I587" t="s">
        <v>3690</v>
      </c>
      <c r="J587" t="s">
        <v>3693</v>
      </c>
      <c r="K587" t="s">
        <v>3700</v>
      </c>
      <c r="L587">
        <v>4</v>
      </c>
      <c r="M587">
        <v>72000</v>
      </c>
      <c r="N587" t="s">
        <v>3704</v>
      </c>
      <c r="O587" t="s">
        <v>3705</v>
      </c>
      <c r="P587" s="2">
        <f t="shared" si="45"/>
        <v>46000</v>
      </c>
      <c r="Q587" t="str">
        <f t="shared" si="46"/>
        <v>Riaan Trivedi</v>
      </c>
      <c r="R587" t="str">
        <f t="shared" si="47"/>
        <v>Chennai</v>
      </c>
      <c r="S587" t="str">
        <f t="shared" si="48"/>
        <v>Tamil Nadu</v>
      </c>
      <c r="T587">
        <f t="shared" si="49"/>
        <v>288000</v>
      </c>
    </row>
    <row r="588" spans="1:20" x14ac:dyDescent="0.35">
      <c r="A588" t="s">
        <v>601</v>
      </c>
      <c r="B588" t="s">
        <v>1586</v>
      </c>
      <c r="C588" t="s">
        <v>2217</v>
      </c>
      <c r="D588" t="s">
        <v>3068</v>
      </c>
      <c r="E588" t="s">
        <v>3671</v>
      </c>
      <c r="F588">
        <v>56</v>
      </c>
      <c r="G588" t="s">
        <v>3677</v>
      </c>
      <c r="H588" t="s">
        <v>3680</v>
      </c>
      <c r="I588" t="s">
        <v>3685</v>
      </c>
      <c r="J588" t="s">
        <v>3692</v>
      </c>
      <c r="K588" t="s">
        <v>3695</v>
      </c>
      <c r="L588">
        <v>4</v>
      </c>
      <c r="M588">
        <v>12000</v>
      </c>
      <c r="N588" t="s">
        <v>3701</v>
      </c>
      <c r="O588" t="s">
        <v>3707</v>
      </c>
      <c r="P588" s="2">
        <f t="shared" si="45"/>
        <v>46024</v>
      </c>
      <c r="Q588" t="str">
        <f t="shared" si="46"/>
        <v>Heer Sant</v>
      </c>
      <c r="R588" t="str">
        <f t="shared" si="47"/>
        <v>Mumbai</v>
      </c>
      <c r="S588" t="str">
        <f t="shared" si="48"/>
        <v>Maharashtra</v>
      </c>
      <c r="T588">
        <f t="shared" si="49"/>
        <v>48000</v>
      </c>
    </row>
    <row r="589" spans="1:20" x14ac:dyDescent="0.35">
      <c r="A589" t="s">
        <v>602</v>
      </c>
      <c r="B589" t="s">
        <v>1599</v>
      </c>
      <c r="C589" t="s">
        <v>2230</v>
      </c>
      <c r="D589" t="s">
        <v>3069</v>
      </c>
      <c r="E589" t="s">
        <v>3672</v>
      </c>
      <c r="F589">
        <v>40</v>
      </c>
      <c r="G589" t="s">
        <v>3673</v>
      </c>
      <c r="H589" t="s">
        <v>3673</v>
      </c>
      <c r="I589" t="s">
        <v>3686</v>
      </c>
      <c r="J589" t="s">
        <v>3693</v>
      </c>
      <c r="K589" t="s">
        <v>3696</v>
      </c>
      <c r="L589">
        <v>2</v>
      </c>
      <c r="M589">
        <v>65000</v>
      </c>
      <c r="N589" t="s">
        <v>3701</v>
      </c>
      <c r="O589" t="s">
        <v>3706</v>
      </c>
      <c r="P589" s="2">
        <f t="shared" si="45"/>
        <v>45701</v>
      </c>
      <c r="Q589" t="str">
        <f t="shared" si="46"/>
        <v>Eva Varghese</v>
      </c>
      <c r="R589" t="str">
        <f t="shared" si="47"/>
        <v>Delhi</v>
      </c>
      <c r="S589" t="str">
        <f t="shared" si="48"/>
        <v>Delhi</v>
      </c>
      <c r="T589">
        <f t="shared" si="49"/>
        <v>130000</v>
      </c>
    </row>
    <row r="590" spans="1:20" x14ac:dyDescent="0.35">
      <c r="A590" t="s">
        <v>603</v>
      </c>
      <c r="B590" t="s">
        <v>1609</v>
      </c>
      <c r="C590" t="s">
        <v>2231</v>
      </c>
      <c r="D590" t="s">
        <v>3070</v>
      </c>
      <c r="E590" t="s">
        <v>3671</v>
      </c>
      <c r="F590">
        <v>28</v>
      </c>
      <c r="G590" t="s">
        <v>3676</v>
      </c>
      <c r="H590" t="s">
        <v>3682</v>
      </c>
      <c r="I590" t="s">
        <v>3687</v>
      </c>
      <c r="J590" t="s">
        <v>3693</v>
      </c>
      <c r="K590" t="s">
        <v>3697</v>
      </c>
      <c r="L590">
        <v>5</v>
      </c>
      <c r="M590">
        <v>5000</v>
      </c>
      <c r="N590" t="s">
        <v>3702</v>
      </c>
      <c r="O590" t="s">
        <v>3707</v>
      </c>
      <c r="P590" s="2">
        <f t="shared" si="45"/>
        <v>45756</v>
      </c>
      <c r="Q590" t="str">
        <f t="shared" si="46"/>
        <v>Kiaan Basak</v>
      </c>
      <c r="R590" t="str">
        <f t="shared" si="47"/>
        <v>Chennai</v>
      </c>
      <c r="S590" t="str">
        <f t="shared" si="48"/>
        <v>Tamil Nadu</v>
      </c>
      <c r="T590">
        <f t="shared" si="49"/>
        <v>25000</v>
      </c>
    </row>
    <row r="591" spans="1:20" x14ac:dyDescent="0.35">
      <c r="A591" t="s">
        <v>604</v>
      </c>
      <c r="B591" t="s">
        <v>1610</v>
      </c>
      <c r="C591" t="s">
        <v>2232</v>
      </c>
      <c r="D591" t="s">
        <v>3071</v>
      </c>
      <c r="E591" t="s">
        <v>3672</v>
      </c>
      <c r="F591">
        <v>52</v>
      </c>
      <c r="G591" t="s">
        <v>3679</v>
      </c>
      <c r="H591" t="s">
        <v>3684</v>
      </c>
      <c r="I591" t="s">
        <v>3688</v>
      </c>
      <c r="J591" t="s">
        <v>3694</v>
      </c>
      <c r="K591" t="s">
        <v>3698</v>
      </c>
      <c r="L591">
        <v>3</v>
      </c>
      <c r="M591">
        <v>4500</v>
      </c>
      <c r="N591" t="s">
        <v>3702</v>
      </c>
      <c r="O591" t="s">
        <v>3706</v>
      </c>
      <c r="P591" s="2">
        <f t="shared" si="45"/>
        <v>45832</v>
      </c>
      <c r="Q591" t="str">
        <f t="shared" si="46"/>
        <v>Amani Saha</v>
      </c>
      <c r="R591" t="str">
        <f t="shared" si="47"/>
        <v>Bengaluru</v>
      </c>
      <c r="S591" t="str">
        <f t="shared" si="48"/>
        <v>Karnataka</v>
      </c>
      <c r="T591">
        <f t="shared" si="49"/>
        <v>13500</v>
      </c>
    </row>
    <row r="592" spans="1:20" x14ac:dyDescent="0.35">
      <c r="A592" t="s">
        <v>605</v>
      </c>
      <c r="B592" t="s">
        <v>1509</v>
      </c>
      <c r="C592" t="s">
        <v>2066</v>
      </c>
      <c r="D592" t="s">
        <v>3072</v>
      </c>
      <c r="E592" t="s">
        <v>3671</v>
      </c>
      <c r="F592">
        <v>38</v>
      </c>
      <c r="G592" t="s">
        <v>3677</v>
      </c>
      <c r="H592" t="s">
        <v>3680</v>
      </c>
      <c r="I592" t="s">
        <v>3687</v>
      </c>
      <c r="J592" t="s">
        <v>3693</v>
      </c>
      <c r="K592" t="s">
        <v>3697</v>
      </c>
      <c r="L592">
        <v>2</v>
      </c>
      <c r="M592">
        <v>5000</v>
      </c>
      <c r="N592" t="s">
        <v>3703</v>
      </c>
      <c r="O592" t="s">
        <v>3706</v>
      </c>
      <c r="P592" s="2">
        <f t="shared" si="45"/>
        <v>45976</v>
      </c>
      <c r="Q592" t="str">
        <f t="shared" si="46"/>
        <v>Faiyaz Bains</v>
      </c>
      <c r="R592" t="str">
        <f t="shared" si="47"/>
        <v>Mumbai</v>
      </c>
      <c r="S592" t="str">
        <f t="shared" si="48"/>
        <v>Maharashtra</v>
      </c>
      <c r="T592">
        <f t="shared" si="49"/>
        <v>10000</v>
      </c>
    </row>
    <row r="593" spans="1:20" x14ac:dyDescent="0.35">
      <c r="A593" t="s">
        <v>606</v>
      </c>
      <c r="B593" t="s">
        <v>1482</v>
      </c>
      <c r="C593" t="s">
        <v>1839</v>
      </c>
      <c r="D593" t="s">
        <v>3073</v>
      </c>
      <c r="E593" t="s">
        <v>3672</v>
      </c>
      <c r="F593">
        <v>48</v>
      </c>
      <c r="G593" t="s">
        <v>3677</v>
      </c>
      <c r="H593" t="s">
        <v>3680</v>
      </c>
      <c r="I593" t="s">
        <v>3690</v>
      </c>
      <c r="J593" t="s">
        <v>3693</v>
      </c>
      <c r="K593" t="s">
        <v>3700</v>
      </c>
      <c r="L593">
        <v>4</v>
      </c>
      <c r="M593">
        <v>72000</v>
      </c>
      <c r="N593" t="s">
        <v>3701</v>
      </c>
      <c r="O593" t="s">
        <v>3706</v>
      </c>
      <c r="P593" s="2">
        <f t="shared" si="45"/>
        <v>45745</v>
      </c>
      <c r="Q593" t="str">
        <f t="shared" si="46"/>
        <v>Tiya Koshy</v>
      </c>
      <c r="R593" t="str">
        <f t="shared" si="47"/>
        <v>Mumbai</v>
      </c>
      <c r="S593" t="str">
        <f t="shared" si="48"/>
        <v>Maharashtra</v>
      </c>
      <c r="T593">
        <f t="shared" si="49"/>
        <v>288000</v>
      </c>
    </row>
    <row r="594" spans="1:20" x14ac:dyDescent="0.35">
      <c r="A594" t="s">
        <v>607</v>
      </c>
      <c r="B594" t="s">
        <v>1611</v>
      </c>
      <c r="C594" t="s">
        <v>2233</v>
      </c>
      <c r="D594" t="s">
        <v>3074</v>
      </c>
      <c r="E594" t="s">
        <v>3672</v>
      </c>
      <c r="F594">
        <v>51</v>
      </c>
      <c r="G594" t="s">
        <v>3675</v>
      </c>
      <c r="H594" t="s">
        <v>3681</v>
      </c>
      <c r="I594" t="s">
        <v>3685</v>
      </c>
      <c r="J594" t="s">
        <v>3692</v>
      </c>
      <c r="K594" t="s">
        <v>3695</v>
      </c>
      <c r="L594">
        <v>2</v>
      </c>
      <c r="M594">
        <v>12000</v>
      </c>
      <c r="N594" t="s">
        <v>3703</v>
      </c>
      <c r="O594" t="s">
        <v>3705</v>
      </c>
      <c r="P594" s="2">
        <f t="shared" si="45"/>
        <v>45853</v>
      </c>
      <c r="Q594" t="str">
        <f t="shared" si="46"/>
        <v>Stuvan Joshi</v>
      </c>
      <c r="R594" t="str">
        <f t="shared" si="47"/>
        <v>Kolkata</v>
      </c>
      <c r="S594" t="str">
        <f t="shared" si="48"/>
        <v>West Bengal</v>
      </c>
      <c r="T594">
        <f t="shared" si="49"/>
        <v>24000</v>
      </c>
    </row>
    <row r="595" spans="1:20" x14ac:dyDescent="0.35">
      <c r="A595" t="s">
        <v>608</v>
      </c>
      <c r="B595" t="s">
        <v>1612</v>
      </c>
      <c r="C595" t="s">
        <v>2225</v>
      </c>
      <c r="D595" t="s">
        <v>3075</v>
      </c>
      <c r="E595" t="s">
        <v>3672</v>
      </c>
      <c r="F595">
        <v>47</v>
      </c>
      <c r="G595" t="s">
        <v>3678</v>
      </c>
      <c r="H595" t="s">
        <v>3683</v>
      </c>
      <c r="I595" t="s">
        <v>3689</v>
      </c>
      <c r="J595" t="s">
        <v>3694</v>
      </c>
      <c r="K595" t="s">
        <v>3699</v>
      </c>
      <c r="L595">
        <v>3</v>
      </c>
      <c r="M595">
        <v>1800</v>
      </c>
      <c r="N595" t="s">
        <v>3701</v>
      </c>
      <c r="O595" t="s">
        <v>3706</v>
      </c>
      <c r="P595" s="2">
        <f t="shared" si="45"/>
        <v>45781</v>
      </c>
      <c r="Q595" t="str">
        <f t="shared" si="46"/>
        <v>Eshani Bal</v>
      </c>
      <c r="R595" t="str">
        <f t="shared" si="47"/>
        <v>Hyderabad</v>
      </c>
      <c r="S595" t="str">
        <f t="shared" si="48"/>
        <v>Telangana</v>
      </c>
      <c r="T595">
        <f t="shared" si="49"/>
        <v>5400</v>
      </c>
    </row>
    <row r="596" spans="1:20" x14ac:dyDescent="0.35">
      <c r="A596" t="s">
        <v>609</v>
      </c>
      <c r="B596" t="s">
        <v>1283</v>
      </c>
      <c r="C596" t="s">
        <v>2234</v>
      </c>
      <c r="D596" t="s">
        <v>3076</v>
      </c>
      <c r="E596" t="s">
        <v>3671</v>
      </c>
      <c r="F596">
        <v>36</v>
      </c>
      <c r="G596" t="s">
        <v>3674</v>
      </c>
      <c r="H596" t="s">
        <v>3680</v>
      </c>
      <c r="I596" t="s">
        <v>3686</v>
      </c>
      <c r="J596" t="s">
        <v>3693</v>
      </c>
      <c r="K596" t="s">
        <v>3696</v>
      </c>
      <c r="L596">
        <v>2</v>
      </c>
      <c r="M596">
        <v>65000</v>
      </c>
      <c r="N596" t="s">
        <v>3701</v>
      </c>
      <c r="O596" t="s">
        <v>3705</v>
      </c>
      <c r="P596" s="2">
        <f t="shared" si="45"/>
        <v>45683</v>
      </c>
      <c r="Q596" t="str">
        <f t="shared" si="46"/>
        <v>Kavya Bajaj</v>
      </c>
      <c r="R596" t="str">
        <f t="shared" si="47"/>
        <v>Pune</v>
      </c>
      <c r="S596" t="str">
        <f t="shared" si="48"/>
        <v>Maharashtra</v>
      </c>
      <c r="T596">
        <f t="shared" si="49"/>
        <v>130000</v>
      </c>
    </row>
    <row r="597" spans="1:20" x14ac:dyDescent="0.35">
      <c r="A597" t="s">
        <v>610</v>
      </c>
      <c r="B597" t="s">
        <v>1393</v>
      </c>
      <c r="C597" t="s">
        <v>1984</v>
      </c>
      <c r="D597" t="s">
        <v>3077</v>
      </c>
      <c r="E597" t="s">
        <v>3671</v>
      </c>
      <c r="F597">
        <v>42</v>
      </c>
      <c r="G597" t="s">
        <v>3677</v>
      </c>
      <c r="H597" t="s">
        <v>3680</v>
      </c>
      <c r="I597" t="s">
        <v>3690</v>
      </c>
      <c r="J597" t="s">
        <v>3693</v>
      </c>
      <c r="K597" t="s">
        <v>3700</v>
      </c>
      <c r="L597">
        <v>5</v>
      </c>
      <c r="M597">
        <v>72000</v>
      </c>
      <c r="N597" t="s">
        <v>3702</v>
      </c>
      <c r="O597" t="s">
        <v>3706</v>
      </c>
      <c r="P597" s="2">
        <f t="shared" si="45"/>
        <v>45972</v>
      </c>
      <c r="Q597" t="str">
        <f t="shared" si="46"/>
        <v>Sumer Bava</v>
      </c>
      <c r="R597" t="str">
        <f t="shared" si="47"/>
        <v>Mumbai</v>
      </c>
      <c r="S597" t="str">
        <f t="shared" si="48"/>
        <v>Maharashtra</v>
      </c>
      <c r="T597">
        <f t="shared" si="49"/>
        <v>360000</v>
      </c>
    </row>
    <row r="598" spans="1:20" x14ac:dyDescent="0.35">
      <c r="A598" t="s">
        <v>611</v>
      </c>
      <c r="B598" t="s">
        <v>1457</v>
      </c>
      <c r="C598" t="s">
        <v>2175</v>
      </c>
      <c r="D598" t="s">
        <v>3078</v>
      </c>
      <c r="E598" t="s">
        <v>3672</v>
      </c>
      <c r="F598">
        <v>32</v>
      </c>
      <c r="G598" t="s">
        <v>3675</v>
      </c>
      <c r="H598" t="s">
        <v>3681</v>
      </c>
      <c r="I598" t="s">
        <v>3685</v>
      </c>
      <c r="J598" t="s">
        <v>3692</v>
      </c>
      <c r="K598" t="s">
        <v>3695</v>
      </c>
      <c r="L598">
        <v>1</v>
      </c>
      <c r="M598">
        <v>12000</v>
      </c>
      <c r="N598" t="s">
        <v>3701</v>
      </c>
      <c r="O598" t="s">
        <v>3706</v>
      </c>
      <c r="P598" s="2">
        <f t="shared" si="45"/>
        <v>45939</v>
      </c>
      <c r="Q598" t="str">
        <f t="shared" si="46"/>
        <v>Riaan Kade</v>
      </c>
      <c r="R598" t="str">
        <f t="shared" si="47"/>
        <v>Kolkata</v>
      </c>
      <c r="S598" t="str">
        <f t="shared" si="48"/>
        <v>West Bengal</v>
      </c>
      <c r="T598">
        <f t="shared" si="49"/>
        <v>12000</v>
      </c>
    </row>
    <row r="599" spans="1:20" x14ac:dyDescent="0.35">
      <c r="A599" t="s">
        <v>612</v>
      </c>
      <c r="B599" t="s">
        <v>1613</v>
      </c>
      <c r="C599" t="s">
        <v>2235</v>
      </c>
      <c r="D599" t="s">
        <v>3079</v>
      </c>
      <c r="E599" t="s">
        <v>3671</v>
      </c>
      <c r="F599">
        <v>18</v>
      </c>
      <c r="G599" t="s">
        <v>3677</v>
      </c>
      <c r="H599" t="s">
        <v>3680</v>
      </c>
      <c r="I599" t="s">
        <v>3686</v>
      </c>
      <c r="J599" t="s">
        <v>3693</v>
      </c>
      <c r="K599" t="s">
        <v>3696</v>
      </c>
      <c r="L599">
        <v>3</v>
      </c>
      <c r="M599">
        <v>65000</v>
      </c>
      <c r="N599" t="s">
        <v>3704</v>
      </c>
      <c r="O599" t="s">
        <v>3705</v>
      </c>
      <c r="P599" s="2">
        <f t="shared" si="45"/>
        <v>45771</v>
      </c>
      <c r="Q599" t="str">
        <f t="shared" si="46"/>
        <v>Hansh Batra</v>
      </c>
      <c r="R599" t="str">
        <f t="shared" si="47"/>
        <v>Mumbai</v>
      </c>
      <c r="S599" t="str">
        <f t="shared" si="48"/>
        <v>Maharashtra</v>
      </c>
      <c r="T599">
        <f t="shared" si="49"/>
        <v>195000</v>
      </c>
    </row>
    <row r="600" spans="1:20" x14ac:dyDescent="0.35">
      <c r="A600" t="s">
        <v>613</v>
      </c>
      <c r="B600" t="s">
        <v>1435</v>
      </c>
      <c r="C600" t="s">
        <v>2236</v>
      </c>
      <c r="D600" t="s">
        <v>3080</v>
      </c>
      <c r="E600" t="s">
        <v>3671</v>
      </c>
      <c r="F600">
        <v>29</v>
      </c>
      <c r="G600" t="s">
        <v>3675</v>
      </c>
      <c r="H600" t="s">
        <v>3681</v>
      </c>
      <c r="I600" t="s">
        <v>3690</v>
      </c>
      <c r="J600" t="s">
        <v>3693</v>
      </c>
      <c r="K600" t="s">
        <v>3700</v>
      </c>
      <c r="L600">
        <v>1</v>
      </c>
      <c r="M600">
        <v>72000</v>
      </c>
      <c r="N600" t="s">
        <v>3703</v>
      </c>
      <c r="O600" t="s">
        <v>3707</v>
      </c>
      <c r="P600" s="2">
        <f t="shared" si="45"/>
        <v>45962</v>
      </c>
      <c r="Q600" t="str">
        <f t="shared" si="46"/>
        <v>Amani Kurian</v>
      </c>
      <c r="R600" t="str">
        <f t="shared" si="47"/>
        <v>Kolkata</v>
      </c>
      <c r="S600" t="str">
        <f t="shared" si="48"/>
        <v>West Bengal</v>
      </c>
      <c r="T600">
        <f t="shared" si="49"/>
        <v>72000</v>
      </c>
    </row>
    <row r="601" spans="1:20" x14ac:dyDescent="0.35">
      <c r="A601" t="s">
        <v>614</v>
      </c>
      <c r="B601" t="s">
        <v>1536</v>
      </c>
      <c r="C601" t="s">
        <v>2237</v>
      </c>
      <c r="D601" t="s">
        <v>3081</v>
      </c>
      <c r="E601" t="s">
        <v>3672</v>
      </c>
      <c r="F601">
        <v>47</v>
      </c>
      <c r="G601" t="s">
        <v>3678</v>
      </c>
      <c r="H601" t="s">
        <v>3683</v>
      </c>
      <c r="I601" t="s">
        <v>3685</v>
      </c>
      <c r="J601" t="s">
        <v>3692</v>
      </c>
      <c r="K601" t="s">
        <v>3695</v>
      </c>
      <c r="L601">
        <v>5</v>
      </c>
      <c r="M601">
        <v>12000</v>
      </c>
      <c r="N601" t="s">
        <v>3702</v>
      </c>
      <c r="O601" t="s">
        <v>3706</v>
      </c>
      <c r="P601" s="2">
        <f t="shared" si="45"/>
        <v>45854</v>
      </c>
      <c r="Q601" t="str">
        <f t="shared" si="46"/>
        <v>Veer Kashyap</v>
      </c>
      <c r="R601" t="str">
        <f t="shared" si="47"/>
        <v>Hyderabad</v>
      </c>
      <c r="S601" t="str">
        <f t="shared" si="48"/>
        <v>Telangana</v>
      </c>
      <c r="T601">
        <f t="shared" si="49"/>
        <v>60000</v>
      </c>
    </row>
    <row r="602" spans="1:20" x14ac:dyDescent="0.35">
      <c r="A602" t="s">
        <v>615</v>
      </c>
      <c r="B602" t="s">
        <v>1562</v>
      </c>
      <c r="C602" t="s">
        <v>2238</v>
      </c>
      <c r="D602" t="s">
        <v>3082</v>
      </c>
      <c r="E602" t="s">
        <v>3671</v>
      </c>
      <c r="F602">
        <v>45</v>
      </c>
      <c r="G602" t="s">
        <v>3674</v>
      </c>
      <c r="H602" t="s">
        <v>3680</v>
      </c>
      <c r="I602" t="s">
        <v>3691</v>
      </c>
      <c r="J602" t="s">
        <v>3693</v>
      </c>
      <c r="K602" t="s">
        <v>3696</v>
      </c>
      <c r="L602">
        <v>5</v>
      </c>
      <c r="M602">
        <v>58000</v>
      </c>
      <c r="N602" t="s">
        <v>3703</v>
      </c>
      <c r="O602" t="s">
        <v>3707</v>
      </c>
      <c r="P602" s="2">
        <f t="shared" si="45"/>
        <v>45665</v>
      </c>
      <c r="Q602" t="str">
        <f t="shared" si="46"/>
        <v>Lavanya Kakar</v>
      </c>
      <c r="R602" t="str">
        <f t="shared" si="47"/>
        <v>Pune</v>
      </c>
      <c r="S602" t="str">
        <f t="shared" si="48"/>
        <v>Maharashtra</v>
      </c>
      <c r="T602">
        <f t="shared" si="49"/>
        <v>290000</v>
      </c>
    </row>
    <row r="603" spans="1:20" x14ac:dyDescent="0.35">
      <c r="A603" t="s">
        <v>616</v>
      </c>
      <c r="B603" t="s">
        <v>1307</v>
      </c>
      <c r="C603" t="s">
        <v>2239</v>
      </c>
      <c r="D603" t="s">
        <v>3083</v>
      </c>
      <c r="E603" t="s">
        <v>3671</v>
      </c>
      <c r="F603">
        <v>52</v>
      </c>
      <c r="G603" t="s">
        <v>3676</v>
      </c>
      <c r="H603" t="s">
        <v>3682</v>
      </c>
      <c r="I603" t="s">
        <v>3689</v>
      </c>
      <c r="J603" t="s">
        <v>3694</v>
      </c>
      <c r="K603" t="s">
        <v>3699</v>
      </c>
      <c r="L603">
        <v>1</v>
      </c>
      <c r="M603">
        <v>1800</v>
      </c>
      <c r="N603" t="s">
        <v>3701</v>
      </c>
      <c r="O603" t="s">
        <v>3707</v>
      </c>
      <c r="P603" s="2">
        <f t="shared" si="45"/>
        <v>45965</v>
      </c>
      <c r="Q603" t="str">
        <f t="shared" si="46"/>
        <v>Tushar Dixit</v>
      </c>
      <c r="R603" t="str">
        <f t="shared" si="47"/>
        <v>Chennai</v>
      </c>
      <c r="S603" t="str">
        <f t="shared" si="48"/>
        <v>Tamil Nadu</v>
      </c>
      <c r="T603">
        <f t="shared" si="49"/>
        <v>1800</v>
      </c>
    </row>
    <row r="604" spans="1:20" x14ac:dyDescent="0.35">
      <c r="A604" t="s">
        <v>617</v>
      </c>
      <c r="B604" t="s">
        <v>1270</v>
      </c>
      <c r="C604" t="s">
        <v>2240</v>
      </c>
      <c r="D604" t="s">
        <v>3084</v>
      </c>
      <c r="E604" t="s">
        <v>3671</v>
      </c>
      <c r="F604">
        <v>32</v>
      </c>
      <c r="G604" t="s">
        <v>3678</v>
      </c>
      <c r="H604" t="s">
        <v>3683</v>
      </c>
      <c r="I604" t="s">
        <v>3690</v>
      </c>
      <c r="J604" t="s">
        <v>3693</v>
      </c>
      <c r="K604" t="s">
        <v>3700</v>
      </c>
      <c r="L604">
        <v>1</v>
      </c>
      <c r="M604">
        <v>72000</v>
      </c>
      <c r="N604" t="s">
        <v>3701</v>
      </c>
      <c r="O604" t="s">
        <v>3707</v>
      </c>
      <c r="P604" s="2">
        <f t="shared" si="45"/>
        <v>45848</v>
      </c>
      <c r="Q604" t="str">
        <f t="shared" si="46"/>
        <v>Yasmin Garde</v>
      </c>
      <c r="R604" t="str">
        <f t="shared" si="47"/>
        <v>Hyderabad</v>
      </c>
      <c r="S604" t="str">
        <f t="shared" si="48"/>
        <v>Telangana</v>
      </c>
      <c r="T604">
        <f t="shared" si="49"/>
        <v>72000</v>
      </c>
    </row>
    <row r="605" spans="1:20" x14ac:dyDescent="0.35">
      <c r="A605" t="s">
        <v>618</v>
      </c>
      <c r="B605" t="s">
        <v>1614</v>
      </c>
      <c r="C605" t="s">
        <v>1947</v>
      </c>
      <c r="D605" t="s">
        <v>3085</v>
      </c>
      <c r="E605" t="s">
        <v>3671</v>
      </c>
      <c r="F605">
        <v>56</v>
      </c>
      <c r="G605" t="s">
        <v>3674</v>
      </c>
      <c r="H605" t="s">
        <v>3680</v>
      </c>
      <c r="I605" t="s">
        <v>3687</v>
      </c>
      <c r="J605" t="s">
        <v>3693</v>
      </c>
      <c r="K605" t="s">
        <v>3697</v>
      </c>
      <c r="L605">
        <v>1</v>
      </c>
      <c r="M605">
        <v>5000</v>
      </c>
      <c r="N605" t="s">
        <v>3701</v>
      </c>
      <c r="O605" t="s">
        <v>3706</v>
      </c>
      <c r="P605" s="2">
        <f t="shared" si="45"/>
        <v>45929</v>
      </c>
      <c r="Q605" t="str">
        <f t="shared" si="46"/>
        <v>Devansh Choudhury</v>
      </c>
      <c r="R605" t="str">
        <f t="shared" si="47"/>
        <v>Pune</v>
      </c>
      <c r="S605" t="str">
        <f t="shared" si="48"/>
        <v>Maharashtra</v>
      </c>
      <c r="T605">
        <f t="shared" si="49"/>
        <v>5000</v>
      </c>
    </row>
    <row r="606" spans="1:20" x14ac:dyDescent="0.35">
      <c r="A606" t="s">
        <v>619</v>
      </c>
      <c r="B606" t="s">
        <v>1612</v>
      </c>
      <c r="C606" t="s">
        <v>2095</v>
      </c>
      <c r="D606" t="s">
        <v>3086</v>
      </c>
      <c r="E606" t="s">
        <v>3672</v>
      </c>
      <c r="F606">
        <v>47</v>
      </c>
      <c r="G606" t="s">
        <v>3676</v>
      </c>
      <c r="H606" t="s">
        <v>3682</v>
      </c>
      <c r="I606" t="s">
        <v>3688</v>
      </c>
      <c r="J606" t="s">
        <v>3694</v>
      </c>
      <c r="K606" t="s">
        <v>3698</v>
      </c>
      <c r="L606">
        <v>3</v>
      </c>
      <c r="M606">
        <v>4500</v>
      </c>
      <c r="N606" t="s">
        <v>3701</v>
      </c>
      <c r="O606" t="s">
        <v>3705</v>
      </c>
      <c r="P606" s="2">
        <f t="shared" si="45"/>
        <v>45781</v>
      </c>
      <c r="Q606" t="str">
        <f t="shared" si="46"/>
        <v>Trisha Dada</v>
      </c>
      <c r="R606" t="str">
        <f t="shared" si="47"/>
        <v>Chennai</v>
      </c>
      <c r="S606" t="str">
        <f t="shared" si="48"/>
        <v>Tamil Nadu</v>
      </c>
      <c r="T606">
        <f t="shared" si="49"/>
        <v>13500</v>
      </c>
    </row>
    <row r="607" spans="1:20" x14ac:dyDescent="0.35">
      <c r="A607" t="s">
        <v>620</v>
      </c>
      <c r="B607" t="s">
        <v>1315</v>
      </c>
      <c r="C607" t="s">
        <v>2241</v>
      </c>
      <c r="D607" t="s">
        <v>3087</v>
      </c>
      <c r="E607" t="s">
        <v>3671</v>
      </c>
      <c r="F607">
        <v>25</v>
      </c>
      <c r="G607" t="s">
        <v>3674</v>
      </c>
      <c r="H607" t="s">
        <v>3680</v>
      </c>
      <c r="I607" t="s">
        <v>3691</v>
      </c>
      <c r="J607" t="s">
        <v>3693</v>
      </c>
      <c r="K607" t="s">
        <v>3696</v>
      </c>
      <c r="L607">
        <v>1</v>
      </c>
      <c r="M607">
        <v>58000</v>
      </c>
      <c r="N607" t="s">
        <v>3703</v>
      </c>
      <c r="O607" t="s">
        <v>3705</v>
      </c>
      <c r="P607" s="2">
        <f t="shared" si="45"/>
        <v>46004</v>
      </c>
      <c r="Q607" t="str">
        <f t="shared" si="46"/>
        <v>Jayan Dass</v>
      </c>
      <c r="R607" t="str">
        <f t="shared" si="47"/>
        <v>Pune</v>
      </c>
      <c r="S607" t="str">
        <f t="shared" si="48"/>
        <v>Maharashtra</v>
      </c>
      <c r="T607">
        <f t="shared" si="49"/>
        <v>58000</v>
      </c>
    </row>
    <row r="608" spans="1:20" x14ac:dyDescent="0.35">
      <c r="A608" t="s">
        <v>621</v>
      </c>
      <c r="B608" t="s">
        <v>1615</v>
      </c>
      <c r="C608" t="s">
        <v>2242</v>
      </c>
      <c r="D608" t="s">
        <v>3088</v>
      </c>
      <c r="E608" t="s">
        <v>3671</v>
      </c>
      <c r="F608">
        <v>39</v>
      </c>
      <c r="G608" t="s">
        <v>3673</v>
      </c>
      <c r="H608" t="s">
        <v>3673</v>
      </c>
      <c r="I608" t="s">
        <v>3685</v>
      </c>
      <c r="J608" t="s">
        <v>3692</v>
      </c>
      <c r="K608" t="s">
        <v>3695</v>
      </c>
      <c r="L608">
        <v>3</v>
      </c>
      <c r="M608">
        <v>12000</v>
      </c>
      <c r="N608" t="s">
        <v>3703</v>
      </c>
      <c r="O608" t="s">
        <v>3707</v>
      </c>
      <c r="P608" s="2">
        <f t="shared" si="45"/>
        <v>45918</v>
      </c>
      <c r="Q608" t="str">
        <f t="shared" si="46"/>
        <v>Drishya Butala</v>
      </c>
      <c r="R608" t="str">
        <f t="shared" si="47"/>
        <v>Delhi</v>
      </c>
      <c r="S608" t="str">
        <f t="shared" si="48"/>
        <v>Delhi</v>
      </c>
      <c r="T608">
        <f t="shared" si="49"/>
        <v>36000</v>
      </c>
    </row>
    <row r="609" spans="1:20" x14ac:dyDescent="0.35">
      <c r="A609" t="s">
        <v>622</v>
      </c>
      <c r="B609" t="s">
        <v>1616</v>
      </c>
      <c r="C609" t="s">
        <v>2243</v>
      </c>
      <c r="D609" t="s">
        <v>3089</v>
      </c>
      <c r="E609" t="s">
        <v>3672</v>
      </c>
      <c r="F609">
        <v>48</v>
      </c>
      <c r="G609" t="s">
        <v>3677</v>
      </c>
      <c r="H609" t="s">
        <v>3680</v>
      </c>
      <c r="I609" t="s">
        <v>3689</v>
      </c>
      <c r="J609" t="s">
        <v>3694</v>
      </c>
      <c r="K609" t="s">
        <v>3699</v>
      </c>
      <c r="L609">
        <v>1</v>
      </c>
      <c r="M609">
        <v>1800</v>
      </c>
      <c r="N609" t="s">
        <v>3703</v>
      </c>
      <c r="O609" t="s">
        <v>3707</v>
      </c>
      <c r="P609" s="2">
        <f t="shared" si="45"/>
        <v>45922</v>
      </c>
      <c r="Q609" t="str">
        <f t="shared" si="46"/>
        <v>Dhanuk Garde</v>
      </c>
      <c r="R609" t="str">
        <f t="shared" si="47"/>
        <v>Mumbai</v>
      </c>
      <c r="S609" t="str">
        <f t="shared" si="48"/>
        <v>Maharashtra</v>
      </c>
      <c r="T609">
        <f t="shared" si="49"/>
        <v>1800</v>
      </c>
    </row>
    <row r="610" spans="1:20" x14ac:dyDescent="0.35">
      <c r="A610" t="s">
        <v>623</v>
      </c>
      <c r="B610" t="s">
        <v>1617</v>
      </c>
      <c r="C610" t="s">
        <v>2244</v>
      </c>
      <c r="D610" t="s">
        <v>3090</v>
      </c>
      <c r="E610" t="s">
        <v>3672</v>
      </c>
      <c r="F610">
        <v>22</v>
      </c>
      <c r="G610" t="s">
        <v>3676</v>
      </c>
      <c r="H610" t="s">
        <v>3682</v>
      </c>
      <c r="I610" t="s">
        <v>3686</v>
      </c>
      <c r="J610" t="s">
        <v>3693</v>
      </c>
      <c r="K610" t="s">
        <v>3696</v>
      </c>
      <c r="L610">
        <v>5</v>
      </c>
      <c r="M610">
        <v>65000</v>
      </c>
      <c r="N610" t="s">
        <v>3701</v>
      </c>
      <c r="O610" t="s">
        <v>3705</v>
      </c>
      <c r="P610" s="2">
        <f t="shared" si="45"/>
        <v>45899</v>
      </c>
      <c r="Q610" t="str">
        <f t="shared" si="46"/>
        <v>Sahil Kala</v>
      </c>
      <c r="R610" t="str">
        <f t="shared" si="47"/>
        <v>Chennai</v>
      </c>
      <c r="S610" t="str">
        <f t="shared" si="48"/>
        <v>Tamil Nadu</v>
      </c>
      <c r="T610">
        <f t="shared" si="49"/>
        <v>325000</v>
      </c>
    </row>
    <row r="611" spans="1:20" x14ac:dyDescent="0.35">
      <c r="A611" t="s">
        <v>624</v>
      </c>
      <c r="B611" t="s">
        <v>1509</v>
      </c>
      <c r="C611" t="s">
        <v>2245</v>
      </c>
      <c r="D611" t="s">
        <v>3091</v>
      </c>
      <c r="E611" t="s">
        <v>3671</v>
      </c>
      <c r="F611">
        <v>27</v>
      </c>
      <c r="G611" t="s">
        <v>3678</v>
      </c>
      <c r="H611" t="s">
        <v>3683</v>
      </c>
      <c r="I611" t="s">
        <v>3691</v>
      </c>
      <c r="J611" t="s">
        <v>3693</v>
      </c>
      <c r="K611" t="s">
        <v>3696</v>
      </c>
      <c r="L611">
        <v>1</v>
      </c>
      <c r="M611">
        <v>58000</v>
      </c>
      <c r="N611" t="s">
        <v>3702</v>
      </c>
      <c r="O611" t="s">
        <v>3707</v>
      </c>
      <c r="P611" s="2">
        <f t="shared" si="45"/>
        <v>45976</v>
      </c>
      <c r="Q611" t="str">
        <f t="shared" si="46"/>
        <v>Mahika Srinivas</v>
      </c>
      <c r="R611" t="str">
        <f t="shared" si="47"/>
        <v>Hyderabad</v>
      </c>
      <c r="S611" t="str">
        <f t="shared" si="48"/>
        <v>Telangana</v>
      </c>
      <c r="T611">
        <f t="shared" si="49"/>
        <v>58000</v>
      </c>
    </row>
    <row r="612" spans="1:20" x14ac:dyDescent="0.35">
      <c r="A612" t="s">
        <v>625</v>
      </c>
      <c r="B612" t="s">
        <v>1618</v>
      </c>
      <c r="C612" t="s">
        <v>2246</v>
      </c>
      <c r="D612" t="s">
        <v>3092</v>
      </c>
      <c r="E612" t="s">
        <v>3672</v>
      </c>
      <c r="F612">
        <v>18</v>
      </c>
      <c r="G612" t="s">
        <v>3676</v>
      </c>
      <c r="H612" t="s">
        <v>3682</v>
      </c>
      <c r="I612" t="s">
        <v>3687</v>
      </c>
      <c r="J612" t="s">
        <v>3693</v>
      </c>
      <c r="K612" t="s">
        <v>3697</v>
      </c>
      <c r="L612">
        <v>2</v>
      </c>
      <c r="M612">
        <v>5000</v>
      </c>
      <c r="N612" t="s">
        <v>3701</v>
      </c>
      <c r="O612" t="s">
        <v>3707</v>
      </c>
      <c r="P612" s="2">
        <f t="shared" si="45"/>
        <v>45664</v>
      </c>
      <c r="Q612" t="str">
        <f t="shared" si="46"/>
        <v>Onkar Rama</v>
      </c>
      <c r="R612" t="str">
        <f t="shared" si="47"/>
        <v>Chennai</v>
      </c>
      <c r="S612" t="str">
        <f t="shared" si="48"/>
        <v>Tamil Nadu</v>
      </c>
      <c r="T612">
        <f t="shared" si="49"/>
        <v>10000</v>
      </c>
    </row>
    <row r="613" spans="1:20" x14ac:dyDescent="0.35">
      <c r="A613" t="s">
        <v>626</v>
      </c>
      <c r="B613" t="s">
        <v>1571</v>
      </c>
      <c r="C613" t="s">
        <v>2247</v>
      </c>
      <c r="D613" t="s">
        <v>3093</v>
      </c>
      <c r="E613" t="s">
        <v>3671</v>
      </c>
      <c r="F613">
        <v>55</v>
      </c>
      <c r="G613" t="s">
        <v>3674</v>
      </c>
      <c r="H613" t="s">
        <v>3680</v>
      </c>
      <c r="I613" t="s">
        <v>3687</v>
      </c>
      <c r="J613" t="s">
        <v>3693</v>
      </c>
      <c r="K613" t="s">
        <v>3697</v>
      </c>
      <c r="L613">
        <v>2</v>
      </c>
      <c r="M613">
        <v>5000</v>
      </c>
      <c r="N613" t="s">
        <v>3703</v>
      </c>
      <c r="O613" t="s">
        <v>3706</v>
      </c>
      <c r="P613" s="2">
        <f t="shared" si="45"/>
        <v>45766</v>
      </c>
      <c r="Q613" t="str">
        <f t="shared" si="46"/>
        <v>Aaina Amble</v>
      </c>
      <c r="R613" t="str">
        <f t="shared" si="47"/>
        <v>Pune</v>
      </c>
      <c r="S613" t="str">
        <f t="shared" si="48"/>
        <v>Maharashtra</v>
      </c>
      <c r="T613">
        <f t="shared" si="49"/>
        <v>10000</v>
      </c>
    </row>
    <row r="614" spans="1:20" x14ac:dyDescent="0.35">
      <c r="A614" t="s">
        <v>627</v>
      </c>
      <c r="B614" t="s">
        <v>1619</v>
      </c>
      <c r="C614" t="s">
        <v>2072</v>
      </c>
      <c r="D614" t="s">
        <v>3094</v>
      </c>
      <c r="E614" t="s">
        <v>3671</v>
      </c>
      <c r="F614">
        <v>54</v>
      </c>
      <c r="G614" t="s">
        <v>3675</v>
      </c>
      <c r="H614" t="s">
        <v>3681</v>
      </c>
      <c r="I614" t="s">
        <v>3686</v>
      </c>
      <c r="J614" t="s">
        <v>3693</v>
      </c>
      <c r="K614" t="s">
        <v>3696</v>
      </c>
      <c r="L614">
        <v>3</v>
      </c>
      <c r="M614">
        <v>65000</v>
      </c>
      <c r="N614" t="s">
        <v>3701</v>
      </c>
      <c r="O614" t="s">
        <v>3707</v>
      </c>
      <c r="P614" s="2">
        <f t="shared" si="45"/>
        <v>45741</v>
      </c>
      <c r="Q614" t="str">
        <f t="shared" si="46"/>
        <v>Ehsaan Uppal</v>
      </c>
      <c r="R614" t="str">
        <f t="shared" si="47"/>
        <v>Kolkata</v>
      </c>
      <c r="S614" t="str">
        <f t="shared" si="48"/>
        <v>West Bengal</v>
      </c>
      <c r="T614">
        <f t="shared" si="49"/>
        <v>195000</v>
      </c>
    </row>
    <row r="615" spans="1:20" x14ac:dyDescent="0.35">
      <c r="A615" t="s">
        <v>628</v>
      </c>
      <c r="B615" t="s">
        <v>1620</v>
      </c>
      <c r="C615" t="s">
        <v>2248</v>
      </c>
      <c r="D615" t="s">
        <v>3095</v>
      </c>
      <c r="E615" t="s">
        <v>3671</v>
      </c>
      <c r="F615">
        <v>32</v>
      </c>
      <c r="G615" t="s">
        <v>3675</v>
      </c>
      <c r="H615" t="s">
        <v>3681</v>
      </c>
      <c r="I615" t="s">
        <v>3689</v>
      </c>
      <c r="J615" t="s">
        <v>3694</v>
      </c>
      <c r="K615" t="s">
        <v>3699</v>
      </c>
      <c r="L615">
        <v>2</v>
      </c>
      <c r="M615">
        <v>1800</v>
      </c>
      <c r="N615" t="s">
        <v>3704</v>
      </c>
      <c r="O615" t="s">
        <v>3706</v>
      </c>
      <c r="P615" s="2">
        <f t="shared" si="45"/>
        <v>45932</v>
      </c>
      <c r="Q615" t="str">
        <f t="shared" si="46"/>
        <v>Kashvi Chakraborty</v>
      </c>
      <c r="R615" t="str">
        <f t="shared" si="47"/>
        <v>Kolkata</v>
      </c>
      <c r="S615" t="str">
        <f t="shared" si="48"/>
        <v>West Bengal</v>
      </c>
      <c r="T615">
        <f t="shared" si="49"/>
        <v>3600</v>
      </c>
    </row>
    <row r="616" spans="1:20" x14ac:dyDescent="0.35">
      <c r="A616" t="s">
        <v>629</v>
      </c>
      <c r="B616" t="s">
        <v>1621</v>
      </c>
      <c r="C616" t="s">
        <v>2249</v>
      </c>
      <c r="D616" t="s">
        <v>3096</v>
      </c>
      <c r="E616" t="s">
        <v>3671</v>
      </c>
      <c r="F616">
        <v>18</v>
      </c>
      <c r="G616" t="s">
        <v>3675</v>
      </c>
      <c r="H616" t="s">
        <v>3681</v>
      </c>
      <c r="I616" t="s">
        <v>3690</v>
      </c>
      <c r="J616" t="s">
        <v>3693</v>
      </c>
      <c r="K616" t="s">
        <v>3700</v>
      </c>
      <c r="L616">
        <v>3</v>
      </c>
      <c r="M616">
        <v>72000</v>
      </c>
      <c r="N616" t="s">
        <v>3704</v>
      </c>
      <c r="O616" t="s">
        <v>3707</v>
      </c>
      <c r="P616" s="2">
        <f t="shared" si="45"/>
        <v>46018</v>
      </c>
      <c r="Q616" t="str">
        <f t="shared" si="46"/>
        <v>Samar Subramaniam</v>
      </c>
      <c r="R616" t="str">
        <f t="shared" si="47"/>
        <v>Kolkata</v>
      </c>
      <c r="S616" t="str">
        <f t="shared" si="48"/>
        <v>West Bengal</v>
      </c>
      <c r="T616">
        <f t="shared" si="49"/>
        <v>216000</v>
      </c>
    </row>
    <row r="617" spans="1:20" x14ac:dyDescent="0.35">
      <c r="A617" t="s">
        <v>630</v>
      </c>
      <c r="B617" t="s">
        <v>1368</v>
      </c>
      <c r="C617" t="s">
        <v>2250</v>
      </c>
      <c r="D617" t="s">
        <v>3097</v>
      </c>
      <c r="E617" t="s">
        <v>3672</v>
      </c>
      <c r="F617">
        <v>47</v>
      </c>
      <c r="G617" t="s">
        <v>3676</v>
      </c>
      <c r="H617" t="s">
        <v>3682</v>
      </c>
      <c r="I617" t="s">
        <v>3685</v>
      </c>
      <c r="J617" t="s">
        <v>3692</v>
      </c>
      <c r="K617" t="s">
        <v>3695</v>
      </c>
      <c r="L617">
        <v>5</v>
      </c>
      <c r="M617">
        <v>12000</v>
      </c>
      <c r="N617" t="s">
        <v>3701</v>
      </c>
      <c r="O617" t="s">
        <v>3705</v>
      </c>
      <c r="P617" s="2">
        <f t="shared" si="45"/>
        <v>45803</v>
      </c>
      <c r="Q617" t="str">
        <f t="shared" si="46"/>
        <v>Drishya Dyal</v>
      </c>
      <c r="R617" t="str">
        <f t="shared" si="47"/>
        <v>Chennai</v>
      </c>
      <c r="S617" t="str">
        <f t="shared" si="48"/>
        <v>Tamil Nadu</v>
      </c>
      <c r="T617">
        <f t="shared" si="49"/>
        <v>60000</v>
      </c>
    </row>
    <row r="618" spans="1:20" x14ac:dyDescent="0.35">
      <c r="A618" t="s">
        <v>631</v>
      </c>
      <c r="B618" t="s">
        <v>1229</v>
      </c>
      <c r="C618" t="s">
        <v>2251</v>
      </c>
      <c r="D618" t="s">
        <v>3098</v>
      </c>
      <c r="E618" t="s">
        <v>3672</v>
      </c>
      <c r="F618">
        <v>44</v>
      </c>
      <c r="G618" t="s">
        <v>3673</v>
      </c>
      <c r="H618" t="s">
        <v>3673</v>
      </c>
      <c r="I618" t="s">
        <v>3691</v>
      </c>
      <c r="J618" t="s">
        <v>3693</v>
      </c>
      <c r="K618" t="s">
        <v>3696</v>
      </c>
      <c r="L618">
        <v>3</v>
      </c>
      <c r="M618">
        <v>58000</v>
      </c>
      <c r="N618" t="s">
        <v>3702</v>
      </c>
      <c r="O618" t="s">
        <v>3707</v>
      </c>
      <c r="P618" s="2">
        <f t="shared" si="45"/>
        <v>45732</v>
      </c>
      <c r="Q618" t="str">
        <f t="shared" si="46"/>
        <v>Siya Ahluwalia</v>
      </c>
      <c r="R618" t="str">
        <f t="shared" si="47"/>
        <v>Delhi</v>
      </c>
      <c r="S618" t="str">
        <f t="shared" si="48"/>
        <v>Delhi</v>
      </c>
      <c r="T618">
        <f t="shared" si="49"/>
        <v>174000</v>
      </c>
    </row>
    <row r="619" spans="1:20" x14ac:dyDescent="0.35">
      <c r="A619" t="s">
        <v>632</v>
      </c>
      <c r="B619" t="s">
        <v>1312</v>
      </c>
      <c r="C619" t="s">
        <v>2184</v>
      </c>
      <c r="D619" t="s">
        <v>3099</v>
      </c>
      <c r="E619" t="s">
        <v>3671</v>
      </c>
      <c r="F619">
        <v>37</v>
      </c>
      <c r="G619" t="s">
        <v>3676</v>
      </c>
      <c r="H619" t="s">
        <v>3682</v>
      </c>
      <c r="I619" t="s">
        <v>3689</v>
      </c>
      <c r="J619" t="s">
        <v>3694</v>
      </c>
      <c r="K619" t="s">
        <v>3699</v>
      </c>
      <c r="L619">
        <v>2</v>
      </c>
      <c r="M619">
        <v>1800</v>
      </c>
      <c r="N619" t="s">
        <v>3703</v>
      </c>
      <c r="O619" t="s">
        <v>3706</v>
      </c>
      <c r="P619" s="2">
        <f t="shared" si="45"/>
        <v>45903</v>
      </c>
      <c r="Q619" t="str">
        <f t="shared" si="46"/>
        <v>Elakshi Tripathi</v>
      </c>
      <c r="R619" t="str">
        <f t="shared" si="47"/>
        <v>Chennai</v>
      </c>
      <c r="S619" t="str">
        <f t="shared" si="48"/>
        <v>Tamil Nadu</v>
      </c>
      <c r="T619">
        <f t="shared" si="49"/>
        <v>3600</v>
      </c>
    </row>
    <row r="620" spans="1:20" x14ac:dyDescent="0.35">
      <c r="A620" t="s">
        <v>633</v>
      </c>
      <c r="B620" t="s">
        <v>1473</v>
      </c>
      <c r="C620" t="s">
        <v>2252</v>
      </c>
      <c r="D620" t="s">
        <v>3100</v>
      </c>
      <c r="E620" t="s">
        <v>3672</v>
      </c>
      <c r="F620">
        <v>60</v>
      </c>
      <c r="G620" t="s">
        <v>3675</v>
      </c>
      <c r="H620" t="s">
        <v>3681</v>
      </c>
      <c r="I620" t="s">
        <v>3690</v>
      </c>
      <c r="J620" t="s">
        <v>3693</v>
      </c>
      <c r="K620" t="s">
        <v>3700</v>
      </c>
      <c r="L620">
        <v>3</v>
      </c>
      <c r="M620">
        <v>72000</v>
      </c>
      <c r="N620" t="s">
        <v>3703</v>
      </c>
      <c r="O620" t="s">
        <v>3706</v>
      </c>
      <c r="P620" s="2">
        <f t="shared" si="45"/>
        <v>45960</v>
      </c>
      <c r="Q620" t="str">
        <f t="shared" si="46"/>
        <v>Inaaya Bains</v>
      </c>
      <c r="R620" t="str">
        <f t="shared" si="47"/>
        <v>Kolkata</v>
      </c>
      <c r="S620" t="str">
        <f t="shared" si="48"/>
        <v>West Bengal</v>
      </c>
      <c r="T620">
        <f t="shared" si="49"/>
        <v>216000</v>
      </c>
    </row>
    <row r="621" spans="1:20" x14ac:dyDescent="0.35">
      <c r="A621" t="s">
        <v>634</v>
      </c>
      <c r="B621" t="s">
        <v>1587</v>
      </c>
      <c r="C621" t="s">
        <v>2253</v>
      </c>
      <c r="D621" t="s">
        <v>3101</v>
      </c>
      <c r="E621" t="s">
        <v>3671</v>
      </c>
      <c r="F621">
        <v>34</v>
      </c>
      <c r="G621" t="s">
        <v>3677</v>
      </c>
      <c r="H621" t="s">
        <v>3680</v>
      </c>
      <c r="I621" t="s">
        <v>3691</v>
      </c>
      <c r="J621" t="s">
        <v>3693</v>
      </c>
      <c r="K621" t="s">
        <v>3696</v>
      </c>
      <c r="L621">
        <v>3</v>
      </c>
      <c r="M621">
        <v>58000</v>
      </c>
      <c r="N621" t="s">
        <v>3703</v>
      </c>
      <c r="O621" t="s">
        <v>3706</v>
      </c>
      <c r="P621" s="2">
        <f t="shared" si="45"/>
        <v>45983</v>
      </c>
      <c r="Q621" t="str">
        <f t="shared" si="46"/>
        <v>Heer Batta</v>
      </c>
      <c r="R621" t="str">
        <f t="shared" si="47"/>
        <v>Mumbai</v>
      </c>
      <c r="S621" t="str">
        <f t="shared" si="48"/>
        <v>Maharashtra</v>
      </c>
      <c r="T621">
        <f t="shared" si="49"/>
        <v>174000</v>
      </c>
    </row>
    <row r="622" spans="1:20" x14ac:dyDescent="0.35">
      <c r="A622" t="s">
        <v>635</v>
      </c>
      <c r="B622" t="s">
        <v>1244</v>
      </c>
      <c r="C622" t="s">
        <v>2254</v>
      </c>
      <c r="D622" t="s">
        <v>3102</v>
      </c>
      <c r="E622" t="s">
        <v>3672</v>
      </c>
      <c r="F622">
        <v>56</v>
      </c>
      <c r="G622" t="s">
        <v>3678</v>
      </c>
      <c r="H622" t="s">
        <v>3683</v>
      </c>
      <c r="I622" t="s">
        <v>3690</v>
      </c>
      <c r="J622" t="s">
        <v>3693</v>
      </c>
      <c r="K622" t="s">
        <v>3700</v>
      </c>
      <c r="L622">
        <v>5</v>
      </c>
      <c r="M622">
        <v>72000</v>
      </c>
      <c r="N622" t="s">
        <v>3704</v>
      </c>
      <c r="O622" t="s">
        <v>3705</v>
      </c>
      <c r="P622" s="2">
        <f t="shared" si="45"/>
        <v>45678</v>
      </c>
      <c r="Q622" t="str">
        <f t="shared" si="46"/>
        <v>Tejas Solanki</v>
      </c>
      <c r="R622" t="str">
        <f t="shared" si="47"/>
        <v>Hyderabad</v>
      </c>
      <c r="S622" t="str">
        <f t="shared" si="48"/>
        <v>Telangana</v>
      </c>
      <c r="T622">
        <f t="shared" si="49"/>
        <v>360000</v>
      </c>
    </row>
    <row r="623" spans="1:20" x14ac:dyDescent="0.35">
      <c r="A623" t="s">
        <v>636</v>
      </c>
      <c r="B623" t="s">
        <v>1622</v>
      </c>
      <c r="C623" t="s">
        <v>2255</v>
      </c>
      <c r="D623" t="s">
        <v>3103</v>
      </c>
      <c r="E623" t="s">
        <v>3671</v>
      </c>
      <c r="F623">
        <v>60</v>
      </c>
      <c r="G623" t="s">
        <v>3674</v>
      </c>
      <c r="H623" t="s">
        <v>3680</v>
      </c>
      <c r="I623" t="s">
        <v>3691</v>
      </c>
      <c r="J623" t="s">
        <v>3693</v>
      </c>
      <c r="K623" t="s">
        <v>3696</v>
      </c>
      <c r="L623">
        <v>5</v>
      </c>
      <c r="M623">
        <v>58000</v>
      </c>
      <c r="N623" t="s">
        <v>3701</v>
      </c>
      <c r="O623" t="s">
        <v>3707</v>
      </c>
      <c r="P623" s="2">
        <f t="shared" si="45"/>
        <v>45777</v>
      </c>
      <c r="Q623" t="str">
        <f t="shared" si="46"/>
        <v>Yuvraj Tak</v>
      </c>
      <c r="R623" t="str">
        <f t="shared" si="47"/>
        <v>Pune</v>
      </c>
      <c r="S623" t="str">
        <f t="shared" si="48"/>
        <v>Maharashtra</v>
      </c>
      <c r="T623">
        <f t="shared" si="49"/>
        <v>290000</v>
      </c>
    </row>
    <row r="624" spans="1:20" x14ac:dyDescent="0.35">
      <c r="A624" t="s">
        <v>637</v>
      </c>
      <c r="B624" t="s">
        <v>1472</v>
      </c>
      <c r="C624" t="s">
        <v>2256</v>
      </c>
      <c r="D624" t="s">
        <v>3104</v>
      </c>
      <c r="E624" t="s">
        <v>3672</v>
      </c>
      <c r="F624">
        <v>47</v>
      </c>
      <c r="G624" t="s">
        <v>3675</v>
      </c>
      <c r="H624" t="s">
        <v>3681</v>
      </c>
      <c r="I624" t="s">
        <v>3690</v>
      </c>
      <c r="J624" t="s">
        <v>3693</v>
      </c>
      <c r="K624" t="s">
        <v>3700</v>
      </c>
      <c r="L624">
        <v>4</v>
      </c>
      <c r="M624">
        <v>72000</v>
      </c>
      <c r="N624" t="s">
        <v>3704</v>
      </c>
      <c r="O624" t="s">
        <v>3705</v>
      </c>
      <c r="P624" s="2">
        <f t="shared" si="45"/>
        <v>45740</v>
      </c>
      <c r="Q624" t="str">
        <f t="shared" si="46"/>
        <v>Trisha Chacko</v>
      </c>
      <c r="R624" t="str">
        <f t="shared" si="47"/>
        <v>Kolkata</v>
      </c>
      <c r="S624" t="str">
        <f t="shared" si="48"/>
        <v>West Bengal</v>
      </c>
      <c r="T624">
        <f t="shared" si="49"/>
        <v>288000</v>
      </c>
    </row>
    <row r="625" spans="1:20" x14ac:dyDescent="0.35">
      <c r="A625" t="s">
        <v>638</v>
      </c>
      <c r="B625" t="s">
        <v>1427</v>
      </c>
      <c r="C625" t="s">
        <v>2221</v>
      </c>
      <c r="D625" t="s">
        <v>3105</v>
      </c>
      <c r="E625" t="s">
        <v>3671</v>
      </c>
      <c r="F625">
        <v>28</v>
      </c>
      <c r="G625" t="s">
        <v>3673</v>
      </c>
      <c r="H625" t="s">
        <v>3673</v>
      </c>
      <c r="I625" t="s">
        <v>3689</v>
      </c>
      <c r="J625" t="s">
        <v>3694</v>
      </c>
      <c r="K625" t="s">
        <v>3699</v>
      </c>
      <c r="L625">
        <v>4</v>
      </c>
      <c r="M625">
        <v>1800</v>
      </c>
      <c r="N625" t="s">
        <v>3702</v>
      </c>
      <c r="O625" t="s">
        <v>3707</v>
      </c>
      <c r="P625" s="2">
        <f t="shared" si="45"/>
        <v>45888</v>
      </c>
      <c r="Q625" t="str">
        <f t="shared" si="46"/>
        <v>Nehmat Banik</v>
      </c>
      <c r="R625" t="str">
        <f t="shared" si="47"/>
        <v>Delhi</v>
      </c>
      <c r="S625" t="str">
        <f t="shared" si="48"/>
        <v>Delhi</v>
      </c>
      <c r="T625">
        <f t="shared" si="49"/>
        <v>7200</v>
      </c>
    </row>
    <row r="626" spans="1:20" x14ac:dyDescent="0.35">
      <c r="A626" t="s">
        <v>639</v>
      </c>
      <c r="B626" t="s">
        <v>1388</v>
      </c>
      <c r="C626" t="s">
        <v>2257</v>
      </c>
      <c r="D626" t="s">
        <v>3106</v>
      </c>
      <c r="E626" t="s">
        <v>3672</v>
      </c>
      <c r="F626">
        <v>52</v>
      </c>
      <c r="G626" t="s">
        <v>3679</v>
      </c>
      <c r="H626" t="s">
        <v>3684</v>
      </c>
      <c r="I626" t="s">
        <v>3688</v>
      </c>
      <c r="J626" t="s">
        <v>3694</v>
      </c>
      <c r="K626" t="s">
        <v>3698</v>
      </c>
      <c r="L626">
        <v>2</v>
      </c>
      <c r="M626">
        <v>4500</v>
      </c>
      <c r="N626" t="s">
        <v>3703</v>
      </c>
      <c r="O626" t="s">
        <v>3706</v>
      </c>
      <c r="P626" s="2">
        <f t="shared" si="45"/>
        <v>45800</v>
      </c>
      <c r="Q626" t="str">
        <f t="shared" si="46"/>
        <v>Advik Lall</v>
      </c>
      <c r="R626" t="str">
        <f t="shared" si="47"/>
        <v>Bengaluru</v>
      </c>
      <c r="S626" t="str">
        <f t="shared" si="48"/>
        <v>Karnataka</v>
      </c>
      <c r="T626">
        <f t="shared" si="49"/>
        <v>9000</v>
      </c>
    </row>
    <row r="627" spans="1:20" x14ac:dyDescent="0.35">
      <c r="A627" t="s">
        <v>640</v>
      </c>
      <c r="B627" t="s">
        <v>1623</v>
      </c>
      <c r="C627" t="s">
        <v>1820</v>
      </c>
      <c r="D627" t="s">
        <v>3107</v>
      </c>
      <c r="E627" t="s">
        <v>3671</v>
      </c>
      <c r="F627">
        <v>34</v>
      </c>
      <c r="G627" t="s">
        <v>3676</v>
      </c>
      <c r="H627" t="s">
        <v>3682</v>
      </c>
      <c r="I627" t="s">
        <v>3689</v>
      </c>
      <c r="J627" t="s">
        <v>3694</v>
      </c>
      <c r="K627" t="s">
        <v>3699</v>
      </c>
      <c r="L627">
        <v>5</v>
      </c>
      <c r="M627">
        <v>1800</v>
      </c>
      <c r="N627" t="s">
        <v>3701</v>
      </c>
      <c r="O627" t="s">
        <v>3707</v>
      </c>
      <c r="P627" s="2">
        <f t="shared" si="45"/>
        <v>45668</v>
      </c>
      <c r="Q627" t="str">
        <f t="shared" si="46"/>
        <v>Vihaan Sidhu</v>
      </c>
      <c r="R627" t="str">
        <f t="shared" si="47"/>
        <v>Chennai</v>
      </c>
      <c r="S627" t="str">
        <f t="shared" si="48"/>
        <v>Tamil Nadu</v>
      </c>
      <c r="T627">
        <f t="shared" si="49"/>
        <v>9000</v>
      </c>
    </row>
    <row r="628" spans="1:20" x14ac:dyDescent="0.35">
      <c r="A628" t="s">
        <v>641</v>
      </c>
      <c r="B628" t="s">
        <v>1624</v>
      </c>
      <c r="C628" t="s">
        <v>1834</v>
      </c>
      <c r="D628" t="s">
        <v>3108</v>
      </c>
      <c r="E628" t="s">
        <v>3671</v>
      </c>
      <c r="F628">
        <v>35</v>
      </c>
      <c r="G628" t="s">
        <v>3678</v>
      </c>
      <c r="H628" t="s">
        <v>3683</v>
      </c>
      <c r="I628" t="s">
        <v>3690</v>
      </c>
      <c r="J628" t="s">
        <v>3693</v>
      </c>
      <c r="K628" t="s">
        <v>3700</v>
      </c>
      <c r="L628">
        <v>4</v>
      </c>
      <c r="M628">
        <v>72000</v>
      </c>
      <c r="N628" t="s">
        <v>3701</v>
      </c>
      <c r="O628" t="s">
        <v>3705</v>
      </c>
      <c r="P628" s="2">
        <f t="shared" si="45"/>
        <v>45712</v>
      </c>
      <c r="Q628" t="str">
        <f t="shared" si="46"/>
        <v>Kismat Amble</v>
      </c>
      <c r="R628" t="str">
        <f t="shared" si="47"/>
        <v>Hyderabad</v>
      </c>
      <c r="S628" t="str">
        <f t="shared" si="48"/>
        <v>Telangana</v>
      </c>
      <c r="T628">
        <f t="shared" si="49"/>
        <v>288000</v>
      </c>
    </row>
    <row r="629" spans="1:20" x14ac:dyDescent="0.35">
      <c r="A629" t="s">
        <v>642</v>
      </c>
      <c r="B629" t="s">
        <v>1625</v>
      </c>
      <c r="C629" t="s">
        <v>1903</v>
      </c>
      <c r="D629" t="s">
        <v>3109</v>
      </c>
      <c r="E629" t="s">
        <v>3672</v>
      </c>
      <c r="F629">
        <v>52</v>
      </c>
      <c r="G629" t="s">
        <v>3677</v>
      </c>
      <c r="H629" t="s">
        <v>3680</v>
      </c>
      <c r="I629" t="s">
        <v>3686</v>
      </c>
      <c r="J629" t="s">
        <v>3693</v>
      </c>
      <c r="K629" t="s">
        <v>3696</v>
      </c>
      <c r="L629">
        <v>2</v>
      </c>
      <c r="M629">
        <v>65000</v>
      </c>
      <c r="N629" t="s">
        <v>3704</v>
      </c>
      <c r="O629" t="s">
        <v>3706</v>
      </c>
      <c r="P629" s="2">
        <f t="shared" si="45"/>
        <v>45690</v>
      </c>
      <c r="Q629" t="str">
        <f t="shared" si="46"/>
        <v>Ryan Mander</v>
      </c>
      <c r="R629" t="str">
        <f t="shared" si="47"/>
        <v>Mumbai</v>
      </c>
      <c r="S629" t="str">
        <f t="shared" si="48"/>
        <v>Maharashtra</v>
      </c>
      <c r="T629">
        <f t="shared" si="49"/>
        <v>130000</v>
      </c>
    </row>
    <row r="630" spans="1:20" x14ac:dyDescent="0.35">
      <c r="A630" t="s">
        <v>643</v>
      </c>
      <c r="B630" t="s">
        <v>1500</v>
      </c>
      <c r="C630" t="s">
        <v>2258</v>
      </c>
      <c r="D630" t="s">
        <v>3110</v>
      </c>
      <c r="E630" t="s">
        <v>3672</v>
      </c>
      <c r="F630">
        <v>29</v>
      </c>
      <c r="G630" t="s">
        <v>3677</v>
      </c>
      <c r="H630" t="s">
        <v>3680</v>
      </c>
      <c r="I630" t="s">
        <v>3689</v>
      </c>
      <c r="J630" t="s">
        <v>3694</v>
      </c>
      <c r="K630" t="s">
        <v>3699</v>
      </c>
      <c r="L630">
        <v>4</v>
      </c>
      <c r="M630">
        <v>1800</v>
      </c>
      <c r="N630" t="s">
        <v>3701</v>
      </c>
      <c r="O630" t="s">
        <v>3705</v>
      </c>
      <c r="P630" s="2">
        <f t="shared" si="45"/>
        <v>45840</v>
      </c>
      <c r="Q630" t="str">
        <f t="shared" si="46"/>
        <v>Aarav Char</v>
      </c>
      <c r="R630" t="str">
        <f t="shared" si="47"/>
        <v>Mumbai</v>
      </c>
      <c r="S630" t="str">
        <f t="shared" si="48"/>
        <v>Maharashtra</v>
      </c>
      <c r="T630">
        <f t="shared" si="49"/>
        <v>7200</v>
      </c>
    </row>
    <row r="631" spans="1:20" x14ac:dyDescent="0.35">
      <c r="A631" t="s">
        <v>644</v>
      </c>
      <c r="B631" t="s">
        <v>1626</v>
      </c>
      <c r="C631" t="s">
        <v>1976</v>
      </c>
      <c r="D631" t="s">
        <v>3111</v>
      </c>
      <c r="E631" t="s">
        <v>3672</v>
      </c>
      <c r="F631">
        <v>54</v>
      </c>
      <c r="G631" t="s">
        <v>3678</v>
      </c>
      <c r="H631" t="s">
        <v>3683</v>
      </c>
      <c r="I631" t="s">
        <v>3689</v>
      </c>
      <c r="J631" t="s">
        <v>3694</v>
      </c>
      <c r="K631" t="s">
        <v>3699</v>
      </c>
      <c r="L631">
        <v>3</v>
      </c>
      <c r="M631">
        <v>1800</v>
      </c>
      <c r="N631" t="s">
        <v>3703</v>
      </c>
      <c r="O631" t="s">
        <v>3705</v>
      </c>
      <c r="P631" s="2">
        <f t="shared" si="45"/>
        <v>45868</v>
      </c>
      <c r="Q631" t="str">
        <f t="shared" si="46"/>
        <v>Gatik Singhal</v>
      </c>
      <c r="R631" t="str">
        <f t="shared" si="47"/>
        <v>Hyderabad</v>
      </c>
      <c r="S631" t="str">
        <f t="shared" si="48"/>
        <v>Telangana</v>
      </c>
      <c r="T631">
        <f t="shared" si="49"/>
        <v>5400</v>
      </c>
    </row>
    <row r="632" spans="1:20" x14ac:dyDescent="0.35">
      <c r="A632" t="s">
        <v>645</v>
      </c>
      <c r="B632" t="s">
        <v>1627</v>
      </c>
      <c r="C632" t="s">
        <v>2259</v>
      </c>
      <c r="D632" t="s">
        <v>3112</v>
      </c>
      <c r="E632" t="s">
        <v>3672</v>
      </c>
      <c r="F632">
        <v>41</v>
      </c>
      <c r="G632" t="s">
        <v>3678</v>
      </c>
      <c r="H632" t="s">
        <v>3683</v>
      </c>
      <c r="I632" t="s">
        <v>3686</v>
      </c>
      <c r="J632" t="s">
        <v>3693</v>
      </c>
      <c r="K632" t="s">
        <v>3696</v>
      </c>
      <c r="L632">
        <v>4</v>
      </c>
      <c r="M632">
        <v>65000</v>
      </c>
      <c r="N632" t="s">
        <v>3704</v>
      </c>
      <c r="O632" t="s">
        <v>3706</v>
      </c>
      <c r="P632" s="2">
        <f t="shared" si="45"/>
        <v>45990</v>
      </c>
      <c r="Q632" t="str">
        <f t="shared" si="46"/>
        <v>Mamooty Gala</v>
      </c>
      <c r="R632" t="str">
        <f t="shared" si="47"/>
        <v>Hyderabad</v>
      </c>
      <c r="S632" t="str">
        <f t="shared" si="48"/>
        <v>Telangana</v>
      </c>
      <c r="T632">
        <f t="shared" si="49"/>
        <v>260000</v>
      </c>
    </row>
    <row r="633" spans="1:20" x14ac:dyDescent="0.35">
      <c r="A633" t="s">
        <v>646</v>
      </c>
      <c r="B633" t="s">
        <v>1322</v>
      </c>
      <c r="C633" t="s">
        <v>2260</v>
      </c>
      <c r="D633" t="s">
        <v>3113</v>
      </c>
      <c r="E633" t="s">
        <v>3672</v>
      </c>
      <c r="F633">
        <v>23</v>
      </c>
      <c r="G633" t="s">
        <v>3677</v>
      </c>
      <c r="H633" t="s">
        <v>3680</v>
      </c>
      <c r="I633" t="s">
        <v>3686</v>
      </c>
      <c r="J633" t="s">
        <v>3693</v>
      </c>
      <c r="K633" t="s">
        <v>3696</v>
      </c>
      <c r="L633">
        <v>1</v>
      </c>
      <c r="M633">
        <v>65000</v>
      </c>
      <c r="N633" t="s">
        <v>3704</v>
      </c>
      <c r="O633" t="s">
        <v>3707</v>
      </c>
      <c r="P633" s="2">
        <f t="shared" si="45"/>
        <v>45819</v>
      </c>
      <c r="Q633" t="str">
        <f t="shared" si="46"/>
        <v>Vritika Sathe</v>
      </c>
      <c r="R633" t="str">
        <f t="shared" si="47"/>
        <v>Mumbai</v>
      </c>
      <c r="S633" t="str">
        <f t="shared" si="48"/>
        <v>Maharashtra</v>
      </c>
      <c r="T633">
        <f t="shared" si="49"/>
        <v>65000</v>
      </c>
    </row>
    <row r="634" spans="1:20" x14ac:dyDescent="0.35">
      <c r="A634" t="s">
        <v>647</v>
      </c>
      <c r="B634" t="s">
        <v>1628</v>
      </c>
      <c r="C634" t="s">
        <v>2261</v>
      </c>
      <c r="D634" t="s">
        <v>3114</v>
      </c>
      <c r="E634" t="s">
        <v>3672</v>
      </c>
      <c r="F634">
        <v>31</v>
      </c>
      <c r="G634" t="s">
        <v>3674</v>
      </c>
      <c r="H634" t="s">
        <v>3680</v>
      </c>
      <c r="I634" t="s">
        <v>3685</v>
      </c>
      <c r="J634" t="s">
        <v>3692</v>
      </c>
      <c r="K634" t="s">
        <v>3695</v>
      </c>
      <c r="L634">
        <v>1</v>
      </c>
      <c r="M634">
        <v>12000</v>
      </c>
      <c r="N634" t="s">
        <v>3701</v>
      </c>
      <c r="O634" t="s">
        <v>3707</v>
      </c>
      <c r="P634" s="2">
        <f t="shared" si="45"/>
        <v>45673</v>
      </c>
      <c r="Q634" t="str">
        <f t="shared" si="46"/>
        <v>Sahil Hayre</v>
      </c>
      <c r="R634" t="str">
        <f t="shared" si="47"/>
        <v>Pune</v>
      </c>
      <c r="S634" t="str">
        <f t="shared" si="48"/>
        <v>Maharashtra</v>
      </c>
      <c r="T634">
        <f t="shared" si="49"/>
        <v>12000</v>
      </c>
    </row>
    <row r="635" spans="1:20" x14ac:dyDescent="0.35">
      <c r="A635" t="s">
        <v>648</v>
      </c>
      <c r="B635" t="s">
        <v>1263</v>
      </c>
      <c r="C635" t="s">
        <v>1909</v>
      </c>
      <c r="D635" t="s">
        <v>3115</v>
      </c>
      <c r="E635" t="s">
        <v>3671</v>
      </c>
      <c r="F635">
        <v>53</v>
      </c>
      <c r="G635" t="s">
        <v>3678</v>
      </c>
      <c r="H635" t="s">
        <v>3683</v>
      </c>
      <c r="I635" t="s">
        <v>3685</v>
      </c>
      <c r="J635" t="s">
        <v>3692</v>
      </c>
      <c r="K635" t="s">
        <v>3695</v>
      </c>
      <c r="L635">
        <v>2</v>
      </c>
      <c r="M635">
        <v>12000</v>
      </c>
      <c r="N635" t="s">
        <v>3701</v>
      </c>
      <c r="O635" t="s">
        <v>3706</v>
      </c>
      <c r="P635" s="2">
        <f t="shared" si="45"/>
        <v>45757</v>
      </c>
      <c r="Q635" t="str">
        <f t="shared" si="46"/>
        <v>Ela Dhar</v>
      </c>
      <c r="R635" t="str">
        <f t="shared" si="47"/>
        <v>Hyderabad</v>
      </c>
      <c r="S635" t="str">
        <f t="shared" si="48"/>
        <v>Telangana</v>
      </c>
      <c r="T635">
        <f t="shared" si="49"/>
        <v>24000</v>
      </c>
    </row>
    <row r="636" spans="1:20" x14ac:dyDescent="0.35">
      <c r="A636" t="s">
        <v>649</v>
      </c>
      <c r="B636" t="s">
        <v>1466</v>
      </c>
      <c r="C636" t="s">
        <v>2262</v>
      </c>
      <c r="D636" t="s">
        <v>3116</v>
      </c>
      <c r="E636" t="s">
        <v>3672</v>
      </c>
      <c r="F636">
        <v>38</v>
      </c>
      <c r="G636" t="s">
        <v>3677</v>
      </c>
      <c r="H636" t="s">
        <v>3680</v>
      </c>
      <c r="I636" t="s">
        <v>3685</v>
      </c>
      <c r="J636" t="s">
        <v>3692</v>
      </c>
      <c r="K636" t="s">
        <v>3695</v>
      </c>
      <c r="L636">
        <v>1</v>
      </c>
      <c r="M636">
        <v>12000</v>
      </c>
      <c r="N636" t="s">
        <v>3701</v>
      </c>
      <c r="O636" t="s">
        <v>3707</v>
      </c>
      <c r="P636" s="2">
        <f t="shared" si="45"/>
        <v>45988</v>
      </c>
      <c r="Q636" t="str">
        <f t="shared" si="46"/>
        <v>Lakshit Ahluwalia</v>
      </c>
      <c r="R636" t="str">
        <f t="shared" si="47"/>
        <v>Mumbai</v>
      </c>
      <c r="S636" t="str">
        <f t="shared" si="48"/>
        <v>Maharashtra</v>
      </c>
      <c r="T636">
        <f t="shared" si="49"/>
        <v>12000</v>
      </c>
    </row>
    <row r="637" spans="1:20" x14ac:dyDescent="0.35">
      <c r="A637" t="s">
        <v>650</v>
      </c>
      <c r="B637" t="s">
        <v>1507</v>
      </c>
      <c r="C637" t="s">
        <v>2263</v>
      </c>
      <c r="D637" t="s">
        <v>3117</v>
      </c>
      <c r="E637" t="s">
        <v>3672</v>
      </c>
      <c r="F637">
        <v>26</v>
      </c>
      <c r="G637" t="s">
        <v>3677</v>
      </c>
      <c r="H637" t="s">
        <v>3680</v>
      </c>
      <c r="I637" t="s">
        <v>3685</v>
      </c>
      <c r="J637" t="s">
        <v>3692</v>
      </c>
      <c r="K637" t="s">
        <v>3695</v>
      </c>
      <c r="L637">
        <v>5</v>
      </c>
      <c r="M637">
        <v>12000</v>
      </c>
      <c r="N637" t="s">
        <v>3704</v>
      </c>
      <c r="O637" t="s">
        <v>3706</v>
      </c>
      <c r="P637" s="2">
        <f t="shared" si="45"/>
        <v>45722</v>
      </c>
      <c r="Q637" t="str">
        <f t="shared" si="46"/>
        <v>Shalv Dayal</v>
      </c>
      <c r="R637" t="str">
        <f t="shared" si="47"/>
        <v>Mumbai</v>
      </c>
      <c r="S637" t="str">
        <f t="shared" si="48"/>
        <v>Maharashtra</v>
      </c>
      <c r="T637">
        <f t="shared" si="49"/>
        <v>60000</v>
      </c>
    </row>
    <row r="638" spans="1:20" x14ac:dyDescent="0.35">
      <c r="A638" t="s">
        <v>651</v>
      </c>
      <c r="B638" t="s">
        <v>1629</v>
      </c>
      <c r="C638" t="s">
        <v>2222</v>
      </c>
      <c r="D638" t="s">
        <v>3118</v>
      </c>
      <c r="E638" t="s">
        <v>3671</v>
      </c>
      <c r="F638">
        <v>35</v>
      </c>
      <c r="G638" t="s">
        <v>3676</v>
      </c>
      <c r="H638" t="s">
        <v>3682</v>
      </c>
      <c r="I638" t="s">
        <v>3685</v>
      </c>
      <c r="J638" t="s">
        <v>3692</v>
      </c>
      <c r="K638" t="s">
        <v>3695</v>
      </c>
      <c r="L638">
        <v>5</v>
      </c>
      <c r="M638">
        <v>12000</v>
      </c>
      <c r="N638" t="s">
        <v>3701</v>
      </c>
      <c r="O638" t="s">
        <v>3705</v>
      </c>
      <c r="P638" s="2">
        <f t="shared" si="45"/>
        <v>45912</v>
      </c>
      <c r="Q638" t="str">
        <f t="shared" si="46"/>
        <v>Azad Ganesan</v>
      </c>
      <c r="R638" t="str">
        <f t="shared" si="47"/>
        <v>Chennai</v>
      </c>
      <c r="S638" t="str">
        <f t="shared" si="48"/>
        <v>Tamil Nadu</v>
      </c>
      <c r="T638">
        <f t="shared" si="49"/>
        <v>60000</v>
      </c>
    </row>
    <row r="639" spans="1:20" x14ac:dyDescent="0.35">
      <c r="A639" t="s">
        <v>652</v>
      </c>
      <c r="B639" t="s">
        <v>1402</v>
      </c>
      <c r="C639" t="s">
        <v>2264</v>
      </c>
      <c r="D639" t="s">
        <v>3119</v>
      </c>
      <c r="E639" t="s">
        <v>3671</v>
      </c>
      <c r="F639">
        <v>31</v>
      </c>
      <c r="G639" t="s">
        <v>3677</v>
      </c>
      <c r="H639" t="s">
        <v>3680</v>
      </c>
      <c r="I639" t="s">
        <v>3685</v>
      </c>
      <c r="J639" t="s">
        <v>3692</v>
      </c>
      <c r="K639" t="s">
        <v>3695</v>
      </c>
      <c r="L639">
        <v>1</v>
      </c>
      <c r="M639">
        <v>12000</v>
      </c>
      <c r="N639" t="s">
        <v>3703</v>
      </c>
      <c r="O639" t="s">
        <v>3705</v>
      </c>
      <c r="P639" s="2">
        <f t="shared" si="45"/>
        <v>45770</v>
      </c>
      <c r="Q639" t="str">
        <f t="shared" si="46"/>
        <v>Himmat Shanker</v>
      </c>
      <c r="R639" t="str">
        <f t="shared" si="47"/>
        <v>Mumbai</v>
      </c>
      <c r="S639" t="str">
        <f t="shared" si="48"/>
        <v>Maharashtra</v>
      </c>
      <c r="T639">
        <f t="shared" si="49"/>
        <v>12000</v>
      </c>
    </row>
    <row r="640" spans="1:20" x14ac:dyDescent="0.35">
      <c r="A640" t="s">
        <v>653</v>
      </c>
      <c r="B640" t="s">
        <v>1368</v>
      </c>
      <c r="C640" t="s">
        <v>2265</v>
      </c>
      <c r="D640" t="s">
        <v>3120</v>
      </c>
      <c r="E640" t="s">
        <v>3672</v>
      </c>
      <c r="F640">
        <v>53</v>
      </c>
      <c r="G640" t="s">
        <v>3679</v>
      </c>
      <c r="H640" t="s">
        <v>3684</v>
      </c>
      <c r="I640" t="s">
        <v>3688</v>
      </c>
      <c r="J640" t="s">
        <v>3694</v>
      </c>
      <c r="K640" t="s">
        <v>3698</v>
      </c>
      <c r="L640">
        <v>1</v>
      </c>
      <c r="M640">
        <v>4500</v>
      </c>
      <c r="N640" t="s">
        <v>3702</v>
      </c>
      <c r="O640" t="s">
        <v>3707</v>
      </c>
      <c r="P640" s="2">
        <f t="shared" si="45"/>
        <v>45803</v>
      </c>
      <c r="Q640" t="str">
        <f t="shared" si="46"/>
        <v>Arhaan Saha</v>
      </c>
      <c r="R640" t="str">
        <f t="shared" si="47"/>
        <v>Bengaluru</v>
      </c>
      <c r="S640" t="str">
        <f t="shared" si="48"/>
        <v>Karnataka</v>
      </c>
      <c r="T640">
        <f t="shared" si="49"/>
        <v>4500</v>
      </c>
    </row>
    <row r="641" spans="1:20" x14ac:dyDescent="0.35">
      <c r="A641" t="s">
        <v>654</v>
      </c>
      <c r="B641" t="s">
        <v>1630</v>
      </c>
      <c r="C641" t="s">
        <v>2266</v>
      </c>
      <c r="D641" t="s">
        <v>3121</v>
      </c>
      <c r="E641" t="s">
        <v>3671</v>
      </c>
      <c r="F641">
        <v>43</v>
      </c>
      <c r="G641" t="s">
        <v>3675</v>
      </c>
      <c r="H641" t="s">
        <v>3681</v>
      </c>
      <c r="I641" t="s">
        <v>3690</v>
      </c>
      <c r="J641" t="s">
        <v>3693</v>
      </c>
      <c r="K641" t="s">
        <v>3700</v>
      </c>
      <c r="L641">
        <v>5</v>
      </c>
      <c r="M641">
        <v>72000</v>
      </c>
      <c r="N641" t="s">
        <v>3702</v>
      </c>
      <c r="O641" t="s">
        <v>3707</v>
      </c>
      <c r="P641" s="2">
        <f t="shared" si="45"/>
        <v>45897</v>
      </c>
      <c r="Q641" t="str">
        <f t="shared" si="46"/>
        <v>Jayant Saraf</v>
      </c>
      <c r="R641" t="str">
        <f t="shared" si="47"/>
        <v>Kolkata</v>
      </c>
      <c r="S641" t="str">
        <f t="shared" si="48"/>
        <v>West Bengal</v>
      </c>
      <c r="T641">
        <f t="shared" si="49"/>
        <v>360000</v>
      </c>
    </row>
    <row r="642" spans="1:20" x14ac:dyDescent="0.35">
      <c r="A642" t="s">
        <v>655</v>
      </c>
      <c r="B642" t="s">
        <v>1379</v>
      </c>
      <c r="C642" t="s">
        <v>2124</v>
      </c>
      <c r="D642" t="s">
        <v>3122</v>
      </c>
      <c r="E642" t="s">
        <v>3672</v>
      </c>
      <c r="F642">
        <v>27</v>
      </c>
      <c r="G642" t="s">
        <v>3677</v>
      </c>
      <c r="H642" t="s">
        <v>3680</v>
      </c>
      <c r="I642" t="s">
        <v>3687</v>
      </c>
      <c r="J642" t="s">
        <v>3693</v>
      </c>
      <c r="K642" t="s">
        <v>3697</v>
      </c>
      <c r="L642">
        <v>4</v>
      </c>
      <c r="M642">
        <v>5000</v>
      </c>
      <c r="N642" t="s">
        <v>3703</v>
      </c>
      <c r="O642" t="s">
        <v>3705</v>
      </c>
      <c r="P642" s="2">
        <f t="shared" si="45"/>
        <v>45873</v>
      </c>
      <c r="Q642" t="str">
        <f t="shared" si="46"/>
        <v>Ela Garg</v>
      </c>
      <c r="R642" t="str">
        <f t="shared" si="47"/>
        <v>Mumbai</v>
      </c>
      <c r="S642" t="str">
        <f t="shared" si="48"/>
        <v>Maharashtra</v>
      </c>
      <c r="T642">
        <f t="shared" si="49"/>
        <v>20000</v>
      </c>
    </row>
    <row r="643" spans="1:20" x14ac:dyDescent="0.35">
      <c r="A643" t="s">
        <v>656</v>
      </c>
      <c r="B643" t="s">
        <v>1280</v>
      </c>
      <c r="C643" t="s">
        <v>2267</v>
      </c>
      <c r="D643" t="s">
        <v>3123</v>
      </c>
      <c r="E643" t="s">
        <v>3671</v>
      </c>
      <c r="F643">
        <v>50</v>
      </c>
      <c r="G643" t="s">
        <v>3677</v>
      </c>
      <c r="H643" t="s">
        <v>3680</v>
      </c>
      <c r="I643" t="s">
        <v>3690</v>
      </c>
      <c r="J643" t="s">
        <v>3693</v>
      </c>
      <c r="K643" t="s">
        <v>3700</v>
      </c>
      <c r="L643">
        <v>5</v>
      </c>
      <c r="M643">
        <v>72000</v>
      </c>
      <c r="N643" t="s">
        <v>3702</v>
      </c>
      <c r="O643" t="s">
        <v>3707</v>
      </c>
      <c r="P643" s="2">
        <f t="shared" ref="P643:P706" si="50">DATEVALUE(SUBSTITUTE(B643,"/","-"))</f>
        <v>45780</v>
      </c>
      <c r="Q643" t="str">
        <f t="shared" ref="Q643:Q706" si="51">TRIM(CLEAN(D643))</f>
        <v>Neelofar Aggarwal</v>
      </c>
      <c r="R643" t="str">
        <f t="shared" ref="R643:R706" si="52">IF(G643="","Unknown",G643)</f>
        <v>Mumbai</v>
      </c>
      <c r="S643" t="str">
        <f t="shared" ref="S643:S706" si="53">IF(H643="","Unknown",H643)</f>
        <v>Maharashtra</v>
      </c>
      <c r="T643">
        <f t="shared" ref="T643:T706" si="54">L643*M643</f>
        <v>360000</v>
      </c>
    </row>
    <row r="644" spans="1:20" x14ac:dyDescent="0.35">
      <c r="A644" t="s">
        <v>657</v>
      </c>
      <c r="B644" t="s">
        <v>1270</v>
      </c>
      <c r="C644" t="s">
        <v>2268</v>
      </c>
      <c r="D644" t="s">
        <v>3124</v>
      </c>
      <c r="E644" t="s">
        <v>3671</v>
      </c>
      <c r="F644">
        <v>52</v>
      </c>
      <c r="G644" t="s">
        <v>3675</v>
      </c>
      <c r="H644" t="s">
        <v>3681</v>
      </c>
      <c r="I644" t="s">
        <v>3690</v>
      </c>
      <c r="J644" t="s">
        <v>3693</v>
      </c>
      <c r="K644" t="s">
        <v>3700</v>
      </c>
      <c r="L644">
        <v>2</v>
      </c>
      <c r="M644">
        <v>72000</v>
      </c>
      <c r="N644" t="s">
        <v>3702</v>
      </c>
      <c r="O644" t="s">
        <v>3706</v>
      </c>
      <c r="P644" s="2">
        <f t="shared" si="50"/>
        <v>45848</v>
      </c>
      <c r="Q644" t="str">
        <f t="shared" si="51"/>
        <v>Amani Soman</v>
      </c>
      <c r="R644" t="str">
        <f t="shared" si="52"/>
        <v>Kolkata</v>
      </c>
      <c r="S644" t="str">
        <f t="shared" si="53"/>
        <v>West Bengal</v>
      </c>
      <c r="T644">
        <f t="shared" si="54"/>
        <v>144000</v>
      </c>
    </row>
    <row r="645" spans="1:20" x14ac:dyDescent="0.35">
      <c r="A645" t="s">
        <v>658</v>
      </c>
      <c r="B645" t="s">
        <v>1631</v>
      </c>
      <c r="C645" t="s">
        <v>2269</v>
      </c>
      <c r="D645" t="s">
        <v>3125</v>
      </c>
      <c r="E645" t="s">
        <v>3671</v>
      </c>
      <c r="F645">
        <v>55</v>
      </c>
      <c r="G645" t="s">
        <v>3679</v>
      </c>
      <c r="H645" t="s">
        <v>3684</v>
      </c>
      <c r="I645" t="s">
        <v>3686</v>
      </c>
      <c r="J645" t="s">
        <v>3693</v>
      </c>
      <c r="K645" t="s">
        <v>3696</v>
      </c>
      <c r="L645">
        <v>2</v>
      </c>
      <c r="M645">
        <v>65000</v>
      </c>
      <c r="N645" t="s">
        <v>3702</v>
      </c>
      <c r="O645" t="s">
        <v>3706</v>
      </c>
      <c r="P645" s="2">
        <f t="shared" si="50"/>
        <v>45684</v>
      </c>
      <c r="Q645" t="str">
        <f t="shared" si="51"/>
        <v>Madhav Rattan</v>
      </c>
      <c r="R645" t="str">
        <f t="shared" si="52"/>
        <v>Bengaluru</v>
      </c>
      <c r="S645" t="str">
        <f t="shared" si="53"/>
        <v>Karnataka</v>
      </c>
      <c r="T645">
        <f t="shared" si="54"/>
        <v>130000</v>
      </c>
    </row>
    <row r="646" spans="1:20" x14ac:dyDescent="0.35">
      <c r="A646" t="s">
        <v>659</v>
      </c>
      <c r="B646" t="s">
        <v>1593</v>
      </c>
      <c r="C646" t="s">
        <v>2270</v>
      </c>
      <c r="D646" t="s">
        <v>3126</v>
      </c>
      <c r="E646" t="s">
        <v>3672</v>
      </c>
      <c r="F646">
        <v>38</v>
      </c>
      <c r="G646" t="s">
        <v>3673</v>
      </c>
      <c r="H646" t="s">
        <v>3673</v>
      </c>
      <c r="I646" t="s">
        <v>3689</v>
      </c>
      <c r="J646" t="s">
        <v>3694</v>
      </c>
      <c r="K646" t="s">
        <v>3699</v>
      </c>
      <c r="L646">
        <v>5</v>
      </c>
      <c r="M646">
        <v>1800</v>
      </c>
      <c r="N646" t="s">
        <v>3701</v>
      </c>
      <c r="O646" t="s">
        <v>3707</v>
      </c>
      <c r="P646" s="2">
        <f t="shared" si="50"/>
        <v>45733</v>
      </c>
      <c r="Q646" t="str">
        <f t="shared" si="51"/>
        <v>Baiju Ahluwalia</v>
      </c>
      <c r="R646" t="str">
        <f t="shared" si="52"/>
        <v>Delhi</v>
      </c>
      <c r="S646" t="str">
        <f t="shared" si="53"/>
        <v>Delhi</v>
      </c>
      <c r="T646">
        <f t="shared" si="54"/>
        <v>9000</v>
      </c>
    </row>
    <row r="647" spans="1:20" x14ac:dyDescent="0.35">
      <c r="A647" t="s">
        <v>660</v>
      </c>
      <c r="B647" t="s">
        <v>1524</v>
      </c>
      <c r="C647" t="s">
        <v>2271</v>
      </c>
      <c r="D647" t="s">
        <v>3127</v>
      </c>
      <c r="E647" t="s">
        <v>3672</v>
      </c>
      <c r="F647">
        <v>47</v>
      </c>
      <c r="G647" t="s">
        <v>3673</v>
      </c>
      <c r="H647" t="s">
        <v>3673</v>
      </c>
      <c r="I647" t="s">
        <v>3688</v>
      </c>
      <c r="J647" t="s">
        <v>3694</v>
      </c>
      <c r="K647" t="s">
        <v>3698</v>
      </c>
      <c r="L647">
        <v>4</v>
      </c>
      <c r="M647">
        <v>4500</v>
      </c>
      <c r="N647" t="s">
        <v>3703</v>
      </c>
      <c r="O647" t="s">
        <v>3705</v>
      </c>
      <c r="P647" s="2">
        <f t="shared" si="50"/>
        <v>45893</v>
      </c>
      <c r="Q647" t="str">
        <f t="shared" si="51"/>
        <v>Anahi Johal</v>
      </c>
      <c r="R647" t="str">
        <f t="shared" si="52"/>
        <v>Delhi</v>
      </c>
      <c r="S647" t="str">
        <f t="shared" si="53"/>
        <v>Delhi</v>
      </c>
      <c r="T647">
        <f t="shared" si="54"/>
        <v>18000</v>
      </c>
    </row>
    <row r="648" spans="1:20" x14ac:dyDescent="0.35">
      <c r="A648" t="s">
        <v>661</v>
      </c>
      <c r="B648" t="s">
        <v>1632</v>
      </c>
      <c r="C648" t="s">
        <v>2210</v>
      </c>
      <c r="D648" t="s">
        <v>3128</v>
      </c>
      <c r="E648" t="s">
        <v>3671</v>
      </c>
      <c r="F648">
        <v>42</v>
      </c>
      <c r="G648" t="s">
        <v>3675</v>
      </c>
      <c r="H648" t="s">
        <v>3681</v>
      </c>
      <c r="I648" t="s">
        <v>3691</v>
      </c>
      <c r="J648" t="s">
        <v>3693</v>
      </c>
      <c r="K648" t="s">
        <v>3696</v>
      </c>
      <c r="L648">
        <v>2</v>
      </c>
      <c r="M648">
        <v>58000</v>
      </c>
      <c r="N648" t="s">
        <v>3703</v>
      </c>
      <c r="O648" t="s">
        <v>3705</v>
      </c>
      <c r="P648" s="2">
        <f t="shared" si="50"/>
        <v>45787</v>
      </c>
      <c r="Q648" t="str">
        <f t="shared" si="51"/>
        <v>Diya Ben</v>
      </c>
      <c r="R648" t="str">
        <f t="shared" si="52"/>
        <v>Kolkata</v>
      </c>
      <c r="S648" t="str">
        <f t="shared" si="53"/>
        <v>West Bengal</v>
      </c>
      <c r="T648">
        <f t="shared" si="54"/>
        <v>116000</v>
      </c>
    </row>
    <row r="649" spans="1:20" x14ac:dyDescent="0.35">
      <c r="A649" t="s">
        <v>662</v>
      </c>
      <c r="B649" t="s">
        <v>1633</v>
      </c>
      <c r="C649" t="s">
        <v>2140</v>
      </c>
      <c r="D649" t="s">
        <v>3129</v>
      </c>
      <c r="E649" t="s">
        <v>3671</v>
      </c>
      <c r="F649">
        <v>56</v>
      </c>
      <c r="G649" t="s">
        <v>3674</v>
      </c>
      <c r="H649" t="s">
        <v>3680</v>
      </c>
      <c r="I649" t="s">
        <v>3691</v>
      </c>
      <c r="J649" t="s">
        <v>3693</v>
      </c>
      <c r="K649" t="s">
        <v>3696</v>
      </c>
      <c r="L649">
        <v>3</v>
      </c>
      <c r="M649">
        <v>58000</v>
      </c>
      <c r="N649" t="s">
        <v>3702</v>
      </c>
      <c r="O649" t="s">
        <v>3705</v>
      </c>
      <c r="P649" s="2">
        <f t="shared" si="50"/>
        <v>45902</v>
      </c>
      <c r="Q649" t="str">
        <f t="shared" si="51"/>
        <v>Ryan Suresh</v>
      </c>
      <c r="R649" t="str">
        <f t="shared" si="52"/>
        <v>Pune</v>
      </c>
      <c r="S649" t="str">
        <f t="shared" si="53"/>
        <v>Maharashtra</v>
      </c>
      <c r="T649">
        <f t="shared" si="54"/>
        <v>174000</v>
      </c>
    </row>
    <row r="650" spans="1:20" x14ac:dyDescent="0.35">
      <c r="A650" t="s">
        <v>663</v>
      </c>
      <c r="B650" t="s">
        <v>1400</v>
      </c>
      <c r="C650" t="s">
        <v>2272</v>
      </c>
      <c r="D650" t="s">
        <v>3130</v>
      </c>
      <c r="E650" t="s">
        <v>3671</v>
      </c>
      <c r="F650">
        <v>24</v>
      </c>
      <c r="G650" t="s">
        <v>3677</v>
      </c>
      <c r="H650" t="s">
        <v>3680</v>
      </c>
      <c r="I650" t="s">
        <v>3691</v>
      </c>
      <c r="J650" t="s">
        <v>3693</v>
      </c>
      <c r="K650" t="s">
        <v>3696</v>
      </c>
      <c r="L650">
        <v>3</v>
      </c>
      <c r="M650">
        <v>58000</v>
      </c>
      <c r="N650" t="s">
        <v>3702</v>
      </c>
      <c r="O650" t="s">
        <v>3705</v>
      </c>
      <c r="P650" s="2">
        <f t="shared" si="50"/>
        <v>45730</v>
      </c>
      <c r="Q650" t="str">
        <f t="shared" si="51"/>
        <v>Akarsh Batra</v>
      </c>
      <c r="R650" t="str">
        <f t="shared" si="52"/>
        <v>Mumbai</v>
      </c>
      <c r="S650" t="str">
        <f t="shared" si="53"/>
        <v>Maharashtra</v>
      </c>
      <c r="T650">
        <f t="shared" si="54"/>
        <v>174000</v>
      </c>
    </row>
    <row r="651" spans="1:20" x14ac:dyDescent="0.35">
      <c r="A651" t="s">
        <v>664</v>
      </c>
      <c r="B651" t="s">
        <v>1634</v>
      </c>
      <c r="C651" t="s">
        <v>2273</v>
      </c>
      <c r="D651" t="s">
        <v>3131</v>
      </c>
      <c r="E651" t="s">
        <v>3671</v>
      </c>
      <c r="F651">
        <v>46</v>
      </c>
      <c r="G651" t="s">
        <v>3676</v>
      </c>
      <c r="H651" t="s">
        <v>3682</v>
      </c>
      <c r="I651" t="s">
        <v>3685</v>
      </c>
      <c r="J651" t="s">
        <v>3692</v>
      </c>
      <c r="K651" t="s">
        <v>3695</v>
      </c>
      <c r="L651">
        <v>1</v>
      </c>
      <c r="M651">
        <v>12000</v>
      </c>
      <c r="N651" t="s">
        <v>3704</v>
      </c>
      <c r="O651" t="s">
        <v>3707</v>
      </c>
      <c r="P651" s="2">
        <f t="shared" si="50"/>
        <v>45955</v>
      </c>
      <c r="Q651" t="str">
        <f t="shared" si="51"/>
        <v>Umang Vig</v>
      </c>
      <c r="R651" t="str">
        <f t="shared" si="52"/>
        <v>Chennai</v>
      </c>
      <c r="S651" t="str">
        <f t="shared" si="53"/>
        <v>Tamil Nadu</v>
      </c>
      <c r="T651">
        <f t="shared" si="54"/>
        <v>12000</v>
      </c>
    </row>
    <row r="652" spans="1:20" x14ac:dyDescent="0.35">
      <c r="A652" t="s">
        <v>665</v>
      </c>
      <c r="B652" t="s">
        <v>1235</v>
      </c>
      <c r="C652" t="s">
        <v>2274</v>
      </c>
      <c r="D652" t="s">
        <v>3132</v>
      </c>
      <c r="E652" t="s">
        <v>3672</v>
      </c>
      <c r="F652">
        <v>51</v>
      </c>
      <c r="G652" t="s">
        <v>3676</v>
      </c>
      <c r="H652" t="s">
        <v>3682</v>
      </c>
      <c r="I652" t="s">
        <v>3687</v>
      </c>
      <c r="J652" t="s">
        <v>3693</v>
      </c>
      <c r="K652" t="s">
        <v>3697</v>
      </c>
      <c r="L652">
        <v>4</v>
      </c>
      <c r="M652">
        <v>5000</v>
      </c>
      <c r="N652" t="s">
        <v>3703</v>
      </c>
      <c r="O652" t="s">
        <v>3706</v>
      </c>
      <c r="P652" s="2">
        <f t="shared" si="50"/>
        <v>45846</v>
      </c>
      <c r="Q652" t="str">
        <f t="shared" si="51"/>
        <v>Amira Acharya</v>
      </c>
      <c r="R652" t="str">
        <f t="shared" si="52"/>
        <v>Chennai</v>
      </c>
      <c r="S652" t="str">
        <f t="shared" si="53"/>
        <v>Tamil Nadu</v>
      </c>
      <c r="T652">
        <f t="shared" si="54"/>
        <v>20000</v>
      </c>
    </row>
    <row r="653" spans="1:20" x14ac:dyDescent="0.35">
      <c r="A653" t="s">
        <v>666</v>
      </c>
      <c r="B653" t="s">
        <v>1501</v>
      </c>
      <c r="C653" t="s">
        <v>2275</v>
      </c>
      <c r="D653" t="s">
        <v>3133</v>
      </c>
      <c r="E653" t="s">
        <v>3672</v>
      </c>
      <c r="F653">
        <v>44</v>
      </c>
      <c r="G653" t="s">
        <v>3674</v>
      </c>
      <c r="H653" t="s">
        <v>3680</v>
      </c>
      <c r="I653" t="s">
        <v>3689</v>
      </c>
      <c r="J653" t="s">
        <v>3694</v>
      </c>
      <c r="K653" t="s">
        <v>3699</v>
      </c>
      <c r="L653">
        <v>5</v>
      </c>
      <c r="M653">
        <v>1800</v>
      </c>
      <c r="N653" t="s">
        <v>3704</v>
      </c>
      <c r="O653" t="s">
        <v>3707</v>
      </c>
      <c r="P653" s="2">
        <f t="shared" si="50"/>
        <v>45666</v>
      </c>
      <c r="Q653" t="str">
        <f t="shared" si="51"/>
        <v>Ivana Cherian</v>
      </c>
      <c r="R653" t="str">
        <f t="shared" si="52"/>
        <v>Pune</v>
      </c>
      <c r="S653" t="str">
        <f t="shared" si="53"/>
        <v>Maharashtra</v>
      </c>
      <c r="T653">
        <f t="shared" si="54"/>
        <v>9000</v>
      </c>
    </row>
    <row r="654" spans="1:20" x14ac:dyDescent="0.35">
      <c r="A654" t="s">
        <v>667</v>
      </c>
      <c r="B654" t="s">
        <v>1462</v>
      </c>
      <c r="C654" t="s">
        <v>2276</v>
      </c>
      <c r="D654" t="s">
        <v>3134</v>
      </c>
      <c r="E654" t="s">
        <v>3672</v>
      </c>
      <c r="F654">
        <v>59</v>
      </c>
      <c r="G654" t="s">
        <v>3676</v>
      </c>
      <c r="H654" t="s">
        <v>3682</v>
      </c>
      <c r="I654" t="s">
        <v>3688</v>
      </c>
      <c r="J654" t="s">
        <v>3694</v>
      </c>
      <c r="K654" t="s">
        <v>3698</v>
      </c>
      <c r="L654">
        <v>1</v>
      </c>
      <c r="M654">
        <v>4500</v>
      </c>
      <c r="N654" t="s">
        <v>3704</v>
      </c>
      <c r="O654" t="s">
        <v>3707</v>
      </c>
      <c r="P654" s="2">
        <f t="shared" si="50"/>
        <v>45860</v>
      </c>
      <c r="Q654" t="str">
        <f t="shared" si="51"/>
        <v>Kiara Mane</v>
      </c>
      <c r="R654" t="str">
        <f t="shared" si="52"/>
        <v>Chennai</v>
      </c>
      <c r="S654" t="str">
        <f t="shared" si="53"/>
        <v>Tamil Nadu</v>
      </c>
      <c r="T654">
        <f t="shared" si="54"/>
        <v>4500</v>
      </c>
    </row>
    <row r="655" spans="1:20" x14ac:dyDescent="0.35">
      <c r="A655" t="s">
        <v>668</v>
      </c>
      <c r="B655" t="s">
        <v>1635</v>
      </c>
      <c r="C655" t="s">
        <v>2170</v>
      </c>
      <c r="D655" t="s">
        <v>3135</v>
      </c>
      <c r="E655" t="s">
        <v>3672</v>
      </c>
      <c r="F655">
        <v>56</v>
      </c>
      <c r="G655" t="s">
        <v>3673</v>
      </c>
      <c r="H655" t="s">
        <v>3673</v>
      </c>
      <c r="I655" t="s">
        <v>3690</v>
      </c>
      <c r="J655" t="s">
        <v>3693</v>
      </c>
      <c r="K655" t="s">
        <v>3700</v>
      </c>
      <c r="L655">
        <v>3</v>
      </c>
      <c r="M655">
        <v>72000</v>
      </c>
      <c r="N655" t="s">
        <v>3704</v>
      </c>
      <c r="O655" t="s">
        <v>3706</v>
      </c>
      <c r="P655" s="2">
        <f t="shared" si="50"/>
        <v>45711</v>
      </c>
      <c r="Q655" t="str">
        <f t="shared" si="51"/>
        <v>Himmat Banerjee</v>
      </c>
      <c r="R655" t="str">
        <f t="shared" si="52"/>
        <v>Delhi</v>
      </c>
      <c r="S655" t="str">
        <f t="shared" si="53"/>
        <v>Delhi</v>
      </c>
      <c r="T655">
        <f t="shared" si="54"/>
        <v>216000</v>
      </c>
    </row>
    <row r="656" spans="1:20" x14ac:dyDescent="0.35">
      <c r="A656" t="s">
        <v>669</v>
      </c>
      <c r="B656" t="s">
        <v>1636</v>
      </c>
      <c r="C656" t="s">
        <v>1879</v>
      </c>
      <c r="D656" t="s">
        <v>3136</v>
      </c>
      <c r="E656" t="s">
        <v>3671</v>
      </c>
      <c r="F656">
        <v>41</v>
      </c>
      <c r="G656" t="s">
        <v>3676</v>
      </c>
      <c r="H656" t="s">
        <v>3682</v>
      </c>
      <c r="I656" t="s">
        <v>3691</v>
      </c>
      <c r="J656" t="s">
        <v>3693</v>
      </c>
      <c r="K656" t="s">
        <v>3696</v>
      </c>
      <c r="L656">
        <v>3</v>
      </c>
      <c r="M656">
        <v>58000</v>
      </c>
      <c r="N656" t="s">
        <v>3701</v>
      </c>
      <c r="O656" t="s">
        <v>3705</v>
      </c>
      <c r="P656" s="2">
        <f t="shared" si="50"/>
        <v>45775</v>
      </c>
      <c r="Q656" t="str">
        <f t="shared" si="51"/>
        <v>Lavanya Date</v>
      </c>
      <c r="R656" t="str">
        <f t="shared" si="52"/>
        <v>Chennai</v>
      </c>
      <c r="S656" t="str">
        <f t="shared" si="53"/>
        <v>Tamil Nadu</v>
      </c>
      <c r="T656">
        <f t="shared" si="54"/>
        <v>174000</v>
      </c>
    </row>
    <row r="657" spans="1:20" x14ac:dyDescent="0.35">
      <c r="A657" t="s">
        <v>670</v>
      </c>
      <c r="B657" t="s">
        <v>1521</v>
      </c>
      <c r="C657" t="s">
        <v>2271</v>
      </c>
      <c r="D657" t="s">
        <v>3137</v>
      </c>
      <c r="E657" t="s">
        <v>3672</v>
      </c>
      <c r="F657">
        <v>21</v>
      </c>
      <c r="G657" t="s">
        <v>3674</v>
      </c>
      <c r="H657" t="s">
        <v>3680</v>
      </c>
      <c r="I657" t="s">
        <v>3686</v>
      </c>
      <c r="J657" t="s">
        <v>3693</v>
      </c>
      <c r="K657" t="s">
        <v>3696</v>
      </c>
      <c r="L657">
        <v>4</v>
      </c>
      <c r="M657">
        <v>65000</v>
      </c>
      <c r="N657" t="s">
        <v>3702</v>
      </c>
      <c r="O657" t="s">
        <v>3705</v>
      </c>
      <c r="P657" s="2">
        <f t="shared" si="50"/>
        <v>45662</v>
      </c>
      <c r="Q657" t="str">
        <f t="shared" si="51"/>
        <v>Vihaan Kadakia</v>
      </c>
      <c r="R657" t="str">
        <f t="shared" si="52"/>
        <v>Pune</v>
      </c>
      <c r="S657" t="str">
        <f t="shared" si="53"/>
        <v>Maharashtra</v>
      </c>
      <c r="T657">
        <f t="shared" si="54"/>
        <v>260000</v>
      </c>
    </row>
    <row r="658" spans="1:20" x14ac:dyDescent="0.35">
      <c r="A658" t="s">
        <v>671</v>
      </c>
      <c r="B658" t="s">
        <v>1619</v>
      </c>
      <c r="C658" t="s">
        <v>1911</v>
      </c>
      <c r="D658" t="s">
        <v>3138</v>
      </c>
      <c r="E658" t="s">
        <v>3671</v>
      </c>
      <c r="F658">
        <v>25</v>
      </c>
      <c r="G658" t="s">
        <v>3677</v>
      </c>
      <c r="H658" t="s">
        <v>3680</v>
      </c>
      <c r="I658" t="s">
        <v>3691</v>
      </c>
      <c r="J658" t="s">
        <v>3693</v>
      </c>
      <c r="K658" t="s">
        <v>3696</v>
      </c>
      <c r="L658">
        <v>1</v>
      </c>
      <c r="M658">
        <v>58000</v>
      </c>
      <c r="N658" t="s">
        <v>3704</v>
      </c>
      <c r="O658" t="s">
        <v>3705</v>
      </c>
      <c r="P658" s="2">
        <f t="shared" si="50"/>
        <v>45741</v>
      </c>
      <c r="Q658" t="str">
        <f t="shared" si="51"/>
        <v>Tarini Vyas</v>
      </c>
      <c r="R658" t="str">
        <f t="shared" si="52"/>
        <v>Mumbai</v>
      </c>
      <c r="S658" t="str">
        <f t="shared" si="53"/>
        <v>Maharashtra</v>
      </c>
      <c r="T658">
        <f t="shared" si="54"/>
        <v>58000</v>
      </c>
    </row>
    <row r="659" spans="1:20" x14ac:dyDescent="0.35">
      <c r="A659" t="s">
        <v>672</v>
      </c>
      <c r="B659" t="s">
        <v>1637</v>
      </c>
      <c r="C659" t="s">
        <v>2173</v>
      </c>
      <c r="D659" t="s">
        <v>3139</v>
      </c>
      <c r="E659" t="s">
        <v>3672</v>
      </c>
      <c r="F659">
        <v>23</v>
      </c>
      <c r="G659" t="s">
        <v>3677</v>
      </c>
      <c r="H659" t="s">
        <v>3680</v>
      </c>
      <c r="I659" t="s">
        <v>3686</v>
      </c>
      <c r="J659" t="s">
        <v>3693</v>
      </c>
      <c r="K659" t="s">
        <v>3696</v>
      </c>
      <c r="L659">
        <v>5</v>
      </c>
      <c r="M659">
        <v>65000</v>
      </c>
      <c r="N659" t="s">
        <v>3703</v>
      </c>
      <c r="O659" t="s">
        <v>3705</v>
      </c>
      <c r="P659" s="2">
        <f t="shared" si="50"/>
        <v>45808</v>
      </c>
      <c r="Q659" t="str">
        <f t="shared" si="51"/>
        <v>Baiju Sami</v>
      </c>
      <c r="R659" t="str">
        <f t="shared" si="52"/>
        <v>Mumbai</v>
      </c>
      <c r="S659" t="str">
        <f t="shared" si="53"/>
        <v>Maharashtra</v>
      </c>
      <c r="T659">
        <f t="shared" si="54"/>
        <v>325000</v>
      </c>
    </row>
    <row r="660" spans="1:20" x14ac:dyDescent="0.35">
      <c r="A660" t="s">
        <v>673</v>
      </c>
      <c r="B660" t="s">
        <v>1487</v>
      </c>
      <c r="C660" t="s">
        <v>2277</v>
      </c>
      <c r="D660" t="s">
        <v>3140</v>
      </c>
      <c r="E660" t="s">
        <v>3672</v>
      </c>
      <c r="F660">
        <v>56</v>
      </c>
      <c r="G660" t="s">
        <v>3674</v>
      </c>
      <c r="H660" t="s">
        <v>3680</v>
      </c>
      <c r="I660" t="s">
        <v>3685</v>
      </c>
      <c r="J660" t="s">
        <v>3692</v>
      </c>
      <c r="K660" t="s">
        <v>3695</v>
      </c>
      <c r="L660">
        <v>1</v>
      </c>
      <c r="M660">
        <v>12000</v>
      </c>
      <c r="N660" t="s">
        <v>3701</v>
      </c>
      <c r="O660" t="s">
        <v>3707</v>
      </c>
      <c r="P660" s="2">
        <f t="shared" si="50"/>
        <v>45821</v>
      </c>
      <c r="Q660" t="str">
        <f t="shared" si="51"/>
        <v>Neelofar Cherian</v>
      </c>
      <c r="R660" t="str">
        <f t="shared" si="52"/>
        <v>Pune</v>
      </c>
      <c r="S660" t="str">
        <f t="shared" si="53"/>
        <v>Maharashtra</v>
      </c>
      <c r="T660">
        <f t="shared" si="54"/>
        <v>12000</v>
      </c>
    </row>
    <row r="661" spans="1:20" x14ac:dyDescent="0.35">
      <c r="A661" t="s">
        <v>674</v>
      </c>
      <c r="B661" t="s">
        <v>1638</v>
      </c>
      <c r="C661" t="s">
        <v>1913</v>
      </c>
      <c r="D661" t="s">
        <v>3141</v>
      </c>
      <c r="E661" t="s">
        <v>3672</v>
      </c>
      <c r="F661">
        <v>52</v>
      </c>
      <c r="G661" t="s">
        <v>3673</v>
      </c>
      <c r="H661" t="s">
        <v>3673</v>
      </c>
      <c r="I661" t="s">
        <v>3685</v>
      </c>
      <c r="J661" t="s">
        <v>3692</v>
      </c>
      <c r="K661" t="s">
        <v>3695</v>
      </c>
      <c r="L661">
        <v>4</v>
      </c>
      <c r="M661">
        <v>12000</v>
      </c>
      <c r="N661" t="s">
        <v>3702</v>
      </c>
      <c r="O661" t="s">
        <v>3705</v>
      </c>
      <c r="P661" s="2">
        <f t="shared" si="50"/>
        <v>45824</v>
      </c>
      <c r="Q661" t="str">
        <f t="shared" si="51"/>
        <v>Lavanya Balan</v>
      </c>
      <c r="R661" t="str">
        <f t="shared" si="52"/>
        <v>Delhi</v>
      </c>
      <c r="S661" t="str">
        <f t="shared" si="53"/>
        <v>Delhi</v>
      </c>
      <c r="T661">
        <f t="shared" si="54"/>
        <v>48000</v>
      </c>
    </row>
    <row r="662" spans="1:20" x14ac:dyDescent="0.35">
      <c r="A662" t="s">
        <v>675</v>
      </c>
      <c r="B662" t="s">
        <v>1639</v>
      </c>
      <c r="C662" t="s">
        <v>2049</v>
      </c>
      <c r="D662" t="s">
        <v>3142</v>
      </c>
      <c r="E662" t="s">
        <v>3672</v>
      </c>
      <c r="F662">
        <v>36</v>
      </c>
      <c r="G662" t="s">
        <v>3679</v>
      </c>
      <c r="H662" t="s">
        <v>3684</v>
      </c>
      <c r="I662" t="s">
        <v>3689</v>
      </c>
      <c r="J662" t="s">
        <v>3694</v>
      </c>
      <c r="K662" t="s">
        <v>3699</v>
      </c>
      <c r="L662">
        <v>1</v>
      </c>
      <c r="M662">
        <v>1800</v>
      </c>
      <c r="N662" t="s">
        <v>3702</v>
      </c>
      <c r="O662" t="s">
        <v>3707</v>
      </c>
      <c r="P662" s="2">
        <f t="shared" si="50"/>
        <v>45759</v>
      </c>
      <c r="Q662" t="str">
        <f t="shared" si="51"/>
        <v>Shray Dar</v>
      </c>
      <c r="R662" t="str">
        <f t="shared" si="52"/>
        <v>Bengaluru</v>
      </c>
      <c r="S662" t="str">
        <f t="shared" si="53"/>
        <v>Karnataka</v>
      </c>
      <c r="T662">
        <f t="shared" si="54"/>
        <v>1800</v>
      </c>
    </row>
    <row r="663" spans="1:20" x14ac:dyDescent="0.35">
      <c r="A663" t="s">
        <v>676</v>
      </c>
      <c r="B663" t="s">
        <v>1640</v>
      </c>
      <c r="C663" t="s">
        <v>2211</v>
      </c>
      <c r="D663" t="s">
        <v>3143</v>
      </c>
      <c r="E663" t="s">
        <v>3671</v>
      </c>
      <c r="F663">
        <v>42</v>
      </c>
      <c r="G663" t="s">
        <v>3679</v>
      </c>
      <c r="H663" t="s">
        <v>3684</v>
      </c>
      <c r="I663" t="s">
        <v>3691</v>
      </c>
      <c r="J663" t="s">
        <v>3693</v>
      </c>
      <c r="K663" t="s">
        <v>3696</v>
      </c>
      <c r="L663">
        <v>5</v>
      </c>
      <c r="M663">
        <v>58000</v>
      </c>
      <c r="N663" t="s">
        <v>3704</v>
      </c>
      <c r="O663" t="s">
        <v>3707</v>
      </c>
      <c r="P663" s="2">
        <f t="shared" si="50"/>
        <v>45799</v>
      </c>
      <c r="Q663" t="str">
        <f t="shared" si="51"/>
        <v>Aarush Sani</v>
      </c>
      <c r="R663" t="str">
        <f t="shared" si="52"/>
        <v>Bengaluru</v>
      </c>
      <c r="S663" t="str">
        <f t="shared" si="53"/>
        <v>Karnataka</v>
      </c>
      <c r="T663">
        <f t="shared" si="54"/>
        <v>290000</v>
      </c>
    </row>
    <row r="664" spans="1:20" x14ac:dyDescent="0.35">
      <c r="A664" t="s">
        <v>677</v>
      </c>
      <c r="B664" t="s">
        <v>1641</v>
      </c>
      <c r="C664" t="s">
        <v>2278</v>
      </c>
      <c r="D664" t="s">
        <v>3144</v>
      </c>
      <c r="E664" t="s">
        <v>3671</v>
      </c>
      <c r="F664">
        <v>20</v>
      </c>
      <c r="G664" t="s">
        <v>3673</v>
      </c>
      <c r="H664" t="s">
        <v>3673</v>
      </c>
      <c r="I664" t="s">
        <v>3690</v>
      </c>
      <c r="J664" t="s">
        <v>3693</v>
      </c>
      <c r="K664" t="s">
        <v>3700</v>
      </c>
      <c r="L664">
        <v>1</v>
      </c>
      <c r="M664">
        <v>72000</v>
      </c>
      <c r="N664" t="s">
        <v>3702</v>
      </c>
      <c r="O664" t="s">
        <v>3707</v>
      </c>
      <c r="P664" s="2">
        <f t="shared" si="50"/>
        <v>45761</v>
      </c>
      <c r="Q664" t="str">
        <f t="shared" si="51"/>
        <v>Madhav Toor</v>
      </c>
      <c r="R664" t="str">
        <f t="shared" si="52"/>
        <v>Delhi</v>
      </c>
      <c r="S664" t="str">
        <f t="shared" si="53"/>
        <v>Delhi</v>
      </c>
      <c r="T664">
        <f t="shared" si="54"/>
        <v>72000</v>
      </c>
    </row>
    <row r="665" spans="1:20" x14ac:dyDescent="0.35">
      <c r="A665" t="s">
        <v>678</v>
      </c>
      <c r="B665" t="s">
        <v>1517</v>
      </c>
      <c r="C665" t="s">
        <v>1823</v>
      </c>
      <c r="D665" t="s">
        <v>3145</v>
      </c>
      <c r="E665" t="s">
        <v>3672</v>
      </c>
      <c r="F665">
        <v>34</v>
      </c>
      <c r="G665" t="s">
        <v>3679</v>
      </c>
      <c r="H665" t="s">
        <v>3684</v>
      </c>
      <c r="I665" t="s">
        <v>3687</v>
      </c>
      <c r="J665" t="s">
        <v>3693</v>
      </c>
      <c r="K665" t="s">
        <v>3697</v>
      </c>
      <c r="L665">
        <v>1</v>
      </c>
      <c r="M665">
        <v>5000</v>
      </c>
      <c r="N665" t="s">
        <v>3703</v>
      </c>
      <c r="O665" t="s">
        <v>3706</v>
      </c>
      <c r="P665" s="2">
        <f t="shared" si="50"/>
        <v>45777</v>
      </c>
      <c r="Q665" t="str">
        <f t="shared" si="51"/>
        <v>Diya Sha</v>
      </c>
      <c r="R665" t="str">
        <f t="shared" si="52"/>
        <v>Bengaluru</v>
      </c>
      <c r="S665" t="str">
        <f t="shared" si="53"/>
        <v>Karnataka</v>
      </c>
      <c r="T665">
        <f t="shared" si="54"/>
        <v>5000</v>
      </c>
    </row>
    <row r="666" spans="1:20" x14ac:dyDescent="0.35">
      <c r="A666" t="s">
        <v>679</v>
      </c>
      <c r="B666" t="s">
        <v>1642</v>
      </c>
      <c r="C666" t="s">
        <v>2279</v>
      </c>
      <c r="D666" t="s">
        <v>3146</v>
      </c>
      <c r="E666" t="s">
        <v>3672</v>
      </c>
      <c r="F666">
        <v>36</v>
      </c>
      <c r="G666" t="s">
        <v>3676</v>
      </c>
      <c r="H666" t="s">
        <v>3682</v>
      </c>
      <c r="I666" t="s">
        <v>3686</v>
      </c>
      <c r="J666" t="s">
        <v>3693</v>
      </c>
      <c r="K666" t="s">
        <v>3696</v>
      </c>
      <c r="L666">
        <v>4</v>
      </c>
      <c r="M666">
        <v>65000</v>
      </c>
      <c r="N666" t="s">
        <v>3704</v>
      </c>
      <c r="O666" t="s">
        <v>3705</v>
      </c>
      <c r="P666" s="2">
        <f t="shared" si="50"/>
        <v>45759</v>
      </c>
      <c r="Q666" t="str">
        <f t="shared" si="51"/>
        <v>Kashvi Amble</v>
      </c>
      <c r="R666" t="str">
        <f t="shared" si="52"/>
        <v>Chennai</v>
      </c>
      <c r="S666" t="str">
        <f t="shared" si="53"/>
        <v>Tamil Nadu</v>
      </c>
      <c r="T666">
        <f t="shared" si="54"/>
        <v>260000</v>
      </c>
    </row>
    <row r="667" spans="1:20" x14ac:dyDescent="0.35">
      <c r="A667" t="s">
        <v>680</v>
      </c>
      <c r="B667" t="s">
        <v>1643</v>
      </c>
      <c r="C667" t="s">
        <v>1869</v>
      </c>
      <c r="D667" t="s">
        <v>3147</v>
      </c>
      <c r="E667" t="s">
        <v>3672</v>
      </c>
      <c r="F667">
        <v>38</v>
      </c>
      <c r="G667" t="s">
        <v>3675</v>
      </c>
      <c r="H667" t="s">
        <v>3681</v>
      </c>
      <c r="I667" t="s">
        <v>3689</v>
      </c>
      <c r="J667" t="s">
        <v>3694</v>
      </c>
      <c r="K667" t="s">
        <v>3699</v>
      </c>
      <c r="L667">
        <v>4</v>
      </c>
      <c r="M667">
        <v>1800</v>
      </c>
      <c r="N667" t="s">
        <v>3702</v>
      </c>
      <c r="O667" t="s">
        <v>3706</v>
      </c>
      <c r="P667" s="2">
        <f t="shared" si="50"/>
        <v>45935</v>
      </c>
      <c r="Q667" t="str">
        <f t="shared" si="51"/>
        <v>Damini Saxena</v>
      </c>
      <c r="R667" t="str">
        <f t="shared" si="52"/>
        <v>Kolkata</v>
      </c>
      <c r="S667" t="str">
        <f t="shared" si="53"/>
        <v>West Bengal</v>
      </c>
      <c r="T667">
        <f t="shared" si="54"/>
        <v>7200</v>
      </c>
    </row>
    <row r="668" spans="1:20" x14ac:dyDescent="0.35">
      <c r="A668" t="s">
        <v>681</v>
      </c>
      <c r="B668" t="s">
        <v>1644</v>
      </c>
      <c r="C668" t="s">
        <v>2280</v>
      </c>
      <c r="D668" t="s">
        <v>3148</v>
      </c>
      <c r="E668" t="s">
        <v>3672</v>
      </c>
      <c r="F668">
        <v>50</v>
      </c>
      <c r="G668" t="s">
        <v>3678</v>
      </c>
      <c r="H668" t="s">
        <v>3683</v>
      </c>
      <c r="I668" t="s">
        <v>3689</v>
      </c>
      <c r="J668" t="s">
        <v>3694</v>
      </c>
      <c r="K668" t="s">
        <v>3699</v>
      </c>
      <c r="L668">
        <v>4</v>
      </c>
      <c r="M668">
        <v>1800</v>
      </c>
      <c r="N668" t="s">
        <v>3703</v>
      </c>
      <c r="O668" t="s">
        <v>3706</v>
      </c>
      <c r="P668" s="2">
        <f t="shared" si="50"/>
        <v>45761</v>
      </c>
      <c r="Q668" t="str">
        <f t="shared" si="51"/>
        <v>Tanya Desai</v>
      </c>
      <c r="R668" t="str">
        <f t="shared" si="52"/>
        <v>Hyderabad</v>
      </c>
      <c r="S668" t="str">
        <f t="shared" si="53"/>
        <v>Telangana</v>
      </c>
      <c r="T668">
        <f t="shared" si="54"/>
        <v>7200</v>
      </c>
    </row>
    <row r="669" spans="1:20" x14ac:dyDescent="0.35">
      <c r="A669" t="s">
        <v>682</v>
      </c>
      <c r="B669" t="s">
        <v>1645</v>
      </c>
      <c r="C669" t="s">
        <v>2281</v>
      </c>
      <c r="D669" t="s">
        <v>3149</v>
      </c>
      <c r="E669" t="s">
        <v>3672</v>
      </c>
      <c r="F669">
        <v>36</v>
      </c>
      <c r="G669" t="s">
        <v>3678</v>
      </c>
      <c r="H669" t="s">
        <v>3683</v>
      </c>
      <c r="I669" t="s">
        <v>3687</v>
      </c>
      <c r="J669" t="s">
        <v>3693</v>
      </c>
      <c r="K669" t="s">
        <v>3697</v>
      </c>
      <c r="L669">
        <v>3</v>
      </c>
      <c r="M669">
        <v>5000</v>
      </c>
      <c r="N669" t="s">
        <v>3701</v>
      </c>
      <c r="O669" t="s">
        <v>3705</v>
      </c>
      <c r="P669" s="2">
        <f t="shared" si="50"/>
        <v>45961</v>
      </c>
      <c r="Q669" t="str">
        <f t="shared" si="51"/>
        <v>Devansh Sharaf</v>
      </c>
      <c r="R669" t="str">
        <f t="shared" si="52"/>
        <v>Hyderabad</v>
      </c>
      <c r="S669" t="str">
        <f t="shared" si="53"/>
        <v>Telangana</v>
      </c>
      <c r="T669">
        <f t="shared" si="54"/>
        <v>15000</v>
      </c>
    </row>
    <row r="670" spans="1:20" x14ac:dyDescent="0.35">
      <c r="A670" t="s">
        <v>683</v>
      </c>
      <c r="B670" t="s">
        <v>1232</v>
      </c>
      <c r="C670" t="s">
        <v>2282</v>
      </c>
      <c r="D670" t="s">
        <v>3150</v>
      </c>
      <c r="E670" t="s">
        <v>3672</v>
      </c>
      <c r="F670">
        <v>23</v>
      </c>
      <c r="G670" t="s">
        <v>3677</v>
      </c>
      <c r="H670" t="s">
        <v>3680</v>
      </c>
      <c r="I670" t="s">
        <v>3691</v>
      </c>
      <c r="J670" t="s">
        <v>3693</v>
      </c>
      <c r="K670" t="s">
        <v>3696</v>
      </c>
      <c r="L670">
        <v>3</v>
      </c>
      <c r="M670">
        <v>58000</v>
      </c>
      <c r="N670" t="s">
        <v>3704</v>
      </c>
      <c r="O670" t="s">
        <v>3707</v>
      </c>
      <c r="P670" s="2">
        <f t="shared" si="50"/>
        <v>45749</v>
      </c>
      <c r="Q670" t="str">
        <f t="shared" si="51"/>
        <v>Adira Majumdar</v>
      </c>
      <c r="R670" t="str">
        <f t="shared" si="52"/>
        <v>Mumbai</v>
      </c>
      <c r="S670" t="str">
        <f t="shared" si="53"/>
        <v>Maharashtra</v>
      </c>
      <c r="T670">
        <f t="shared" si="54"/>
        <v>174000</v>
      </c>
    </row>
    <row r="671" spans="1:20" x14ac:dyDescent="0.35">
      <c r="A671" t="s">
        <v>684</v>
      </c>
      <c r="B671" t="s">
        <v>1646</v>
      </c>
      <c r="C671" t="s">
        <v>2160</v>
      </c>
      <c r="D671" t="s">
        <v>3151</v>
      </c>
      <c r="E671" t="s">
        <v>3672</v>
      </c>
      <c r="F671">
        <v>46</v>
      </c>
      <c r="G671" t="s">
        <v>3676</v>
      </c>
      <c r="H671" t="s">
        <v>3682</v>
      </c>
      <c r="I671" t="s">
        <v>3687</v>
      </c>
      <c r="J671" t="s">
        <v>3693</v>
      </c>
      <c r="K671" t="s">
        <v>3697</v>
      </c>
      <c r="L671">
        <v>3</v>
      </c>
      <c r="M671">
        <v>5000</v>
      </c>
      <c r="N671" t="s">
        <v>3704</v>
      </c>
      <c r="O671" t="s">
        <v>3705</v>
      </c>
      <c r="P671" s="2">
        <f t="shared" si="50"/>
        <v>45691</v>
      </c>
      <c r="Q671" t="str">
        <f t="shared" si="51"/>
        <v>Neysa Golla</v>
      </c>
      <c r="R671" t="str">
        <f t="shared" si="52"/>
        <v>Chennai</v>
      </c>
      <c r="S671" t="str">
        <f t="shared" si="53"/>
        <v>Tamil Nadu</v>
      </c>
      <c r="T671">
        <f t="shared" si="54"/>
        <v>15000</v>
      </c>
    </row>
    <row r="672" spans="1:20" x14ac:dyDescent="0.35">
      <c r="A672" t="s">
        <v>685</v>
      </c>
      <c r="B672" t="s">
        <v>1402</v>
      </c>
      <c r="C672" t="s">
        <v>2283</v>
      </c>
      <c r="D672" t="s">
        <v>3152</v>
      </c>
      <c r="E672" t="s">
        <v>3672</v>
      </c>
      <c r="F672">
        <v>32</v>
      </c>
      <c r="G672" t="s">
        <v>3675</v>
      </c>
      <c r="H672" t="s">
        <v>3681</v>
      </c>
      <c r="I672" t="s">
        <v>3691</v>
      </c>
      <c r="J672" t="s">
        <v>3693</v>
      </c>
      <c r="K672" t="s">
        <v>3696</v>
      </c>
      <c r="L672">
        <v>5</v>
      </c>
      <c r="M672">
        <v>58000</v>
      </c>
      <c r="N672" t="s">
        <v>3703</v>
      </c>
      <c r="O672" t="s">
        <v>3705</v>
      </c>
      <c r="P672" s="2">
        <f t="shared" si="50"/>
        <v>45770</v>
      </c>
      <c r="Q672" t="str">
        <f t="shared" si="51"/>
        <v>Ehsaan Sachdeva</v>
      </c>
      <c r="R672" t="str">
        <f t="shared" si="52"/>
        <v>Kolkata</v>
      </c>
      <c r="S672" t="str">
        <f t="shared" si="53"/>
        <v>West Bengal</v>
      </c>
      <c r="T672">
        <f t="shared" si="54"/>
        <v>290000</v>
      </c>
    </row>
    <row r="673" spans="1:20" x14ac:dyDescent="0.35">
      <c r="A673" t="s">
        <v>686</v>
      </c>
      <c r="B673" t="s">
        <v>1434</v>
      </c>
      <c r="C673" t="s">
        <v>2047</v>
      </c>
      <c r="D673" t="s">
        <v>3153</v>
      </c>
      <c r="E673" t="s">
        <v>3671</v>
      </c>
      <c r="F673">
        <v>24</v>
      </c>
      <c r="G673" t="s">
        <v>3678</v>
      </c>
      <c r="H673" t="s">
        <v>3683</v>
      </c>
      <c r="I673" t="s">
        <v>3685</v>
      </c>
      <c r="J673" t="s">
        <v>3692</v>
      </c>
      <c r="K673" t="s">
        <v>3695</v>
      </c>
      <c r="L673">
        <v>2</v>
      </c>
      <c r="M673">
        <v>12000</v>
      </c>
      <c r="N673" t="s">
        <v>3702</v>
      </c>
      <c r="O673" t="s">
        <v>3707</v>
      </c>
      <c r="P673" s="2">
        <f t="shared" si="50"/>
        <v>45736</v>
      </c>
      <c r="Q673" t="str">
        <f t="shared" si="51"/>
        <v>Lakshay Goswami</v>
      </c>
      <c r="R673" t="str">
        <f t="shared" si="52"/>
        <v>Hyderabad</v>
      </c>
      <c r="S673" t="str">
        <f t="shared" si="53"/>
        <v>Telangana</v>
      </c>
      <c r="T673">
        <f t="shared" si="54"/>
        <v>24000</v>
      </c>
    </row>
    <row r="674" spans="1:20" x14ac:dyDescent="0.35">
      <c r="A674" t="s">
        <v>687</v>
      </c>
      <c r="B674" t="s">
        <v>1647</v>
      </c>
      <c r="C674" t="s">
        <v>2284</v>
      </c>
      <c r="D674" t="s">
        <v>3154</v>
      </c>
      <c r="E674" t="s">
        <v>3672</v>
      </c>
      <c r="F674">
        <v>37</v>
      </c>
      <c r="G674" t="s">
        <v>3673</v>
      </c>
      <c r="H674" t="s">
        <v>3673</v>
      </c>
      <c r="I674" t="s">
        <v>3689</v>
      </c>
      <c r="J674" t="s">
        <v>3694</v>
      </c>
      <c r="K674" t="s">
        <v>3699</v>
      </c>
      <c r="L674">
        <v>5</v>
      </c>
      <c r="M674">
        <v>1800</v>
      </c>
      <c r="N674" t="s">
        <v>3701</v>
      </c>
      <c r="O674" t="s">
        <v>3706</v>
      </c>
      <c r="P674" s="2">
        <f t="shared" si="50"/>
        <v>45881</v>
      </c>
      <c r="Q674" t="str">
        <f t="shared" si="51"/>
        <v>Badal Keer</v>
      </c>
      <c r="R674" t="str">
        <f t="shared" si="52"/>
        <v>Delhi</v>
      </c>
      <c r="S674" t="str">
        <f t="shared" si="53"/>
        <v>Delhi</v>
      </c>
      <c r="T674">
        <f t="shared" si="54"/>
        <v>9000</v>
      </c>
    </row>
    <row r="675" spans="1:20" x14ac:dyDescent="0.35">
      <c r="A675" t="s">
        <v>688</v>
      </c>
      <c r="B675" t="s">
        <v>1648</v>
      </c>
      <c r="C675" t="s">
        <v>2285</v>
      </c>
      <c r="D675" t="s">
        <v>3155</v>
      </c>
      <c r="E675" t="s">
        <v>3672</v>
      </c>
      <c r="F675">
        <v>29</v>
      </c>
      <c r="G675" t="s">
        <v>3676</v>
      </c>
      <c r="H675" t="s">
        <v>3682</v>
      </c>
      <c r="I675" t="s">
        <v>3688</v>
      </c>
      <c r="J675" t="s">
        <v>3694</v>
      </c>
      <c r="K675" t="s">
        <v>3698</v>
      </c>
      <c r="L675">
        <v>5</v>
      </c>
      <c r="M675">
        <v>4500</v>
      </c>
      <c r="N675" t="s">
        <v>3701</v>
      </c>
      <c r="O675" t="s">
        <v>3707</v>
      </c>
      <c r="P675" s="2">
        <f t="shared" si="50"/>
        <v>45937</v>
      </c>
      <c r="Q675" t="str">
        <f t="shared" si="51"/>
        <v>Anika Dora</v>
      </c>
      <c r="R675" t="str">
        <f t="shared" si="52"/>
        <v>Chennai</v>
      </c>
      <c r="S675" t="str">
        <f t="shared" si="53"/>
        <v>Tamil Nadu</v>
      </c>
      <c r="T675">
        <f t="shared" si="54"/>
        <v>22500</v>
      </c>
    </row>
    <row r="676" spans="1:20" x14ac:dyDescent="0.35">
      <c r="A676" t="s">
        <v>689</v>
      </c>
      <c r="B676" t="s">
        <v>1630</v>
      </c>
      <c r="C676" t="s">
        <v>1893</v>
      </c>
      <c r="D676" t="s">
        <v>3156</v>
      </c>
      <c r="E676" t="s">
        <v>3671</v>
      </c>
      <c r="F676">
        <v>52</v>
      </c>
      <c r="G676" t="s">
        <v>3674</v>
      </c>
      <c r="H676" t="s">
        <v>3680</v>
      </c>
      <c r="I676" t="s">
        <v>3688</v>
      </c>
      <c r="J676" t="s">
        <v>3694</v>
      </c>
      <c r="K676" t="s">
        <v>3698</v>
      </c>
      <c r="L676">
        <v>5</v>
      </c>
      <c r="M676">
        <v>4500</v>
      </c>
      <c r="N676" t="s">
        <v>3702</v>
      </c>
      <c r="O676" t="s">
        <v>3707</v>
      </c>
      <c r="P676" s="2">
        <f t="shared" si="50"/>
        <v>45897</v>
      </c>
      <c r="Q676" t="str">
        <f t="shared" si="51"/>
        <v>Shayak Chada</v>
      </c>
      <c r="R676" t="str">
        <f t="shared" si="52"/>
        <v>Pune</v>
      </c>
      <c r="S676" t="str">
        <f t="shared" si="53"/>
        <v>Maharashtra</v>
      </c>
      <c r="T676">
        <f t="shared" si="54"/>
        <v>22500</v>
      </c>
    </row>
    <row r="677" spans="1:20" x14ac:dyDescent="0.35">
      <c r="A677" t="s">
        <v>690</v>
      </c>
      <c r="B677" t="s">
        <v>1649</v>
      </c>
      <c r="C677" t="s">
        <v>2218</v>
      </c>
      <c r="D677" t="s">
        <v>3157</v>
      </c>
      <c r="E677" t="s">
        <v>3672</v>
      </c>
      <c r="F677">
        <v>22</v>
      </c>
      <c r="G677" t="s">
        <v>3675</v>
      </c>
      <c r="H677" t="s">
        <v>3681</v>
      </c>
      <c r="I677" t="s">
        <v>3689</v>
      </c>
      <c r="J677" t="s">
        <v>3694</v>
      </c>
      <c r="K677" t="s">
        <v>3699</v>
      </c>
      <c r="L677">
        <v>4</v>
      </c>
      <c r="M677">
        <v>1800</v>
      </c>
      <c r="N677" t="s">
        <v>3704</v>
      </c>
      <c r="O677" t="s">
        <v>3706</v>
      </c>
      <c r="P677" s="2">
        <f t="shared" si="50"/>
        <v>45844</v>
      </c>
      <c r="Q677" t="str">
        <f t="shared" si="51"/>
        <v>Lakshit Chand</v>
      </c>
      <c r="R677" t="str">
        <f t="shared" si="52"/>
        <v>Kolkata</v>
      </c>
      <c r="S677" t="str">
        <f t="shared" si="53"/>
        <v>West Bengal</v>
      </c>
      <c r="T677">
        <f t="shared" si="54"/>
        <v>7200</v>
      </c>
    </row>
    <row r="678" spans="1:20" x14ac:dyDescent="0.35">
      <c r="A678" t="s">
        <v>691</v>
      </c>
      <c r="B678" t="s">
        <v>1374</v>
      </c>
      <c r="C678" t="s">
        <v>2286</v>
      </c>
      <c r="D678" t="s">
        <v>3158</v>
      </c>
      <c r="E678" t="s">
        <v>3671</v>
      </c>
      <c r="F678">
        <v>32</v>
      </c>
      <c r="G678" t="s">
        <v>3674</v>
      </c>
      <c r="H678" t="s">
        <v>3680</v>
      </c>
      <c r="I678" t="s">
        <v>3689</v>
      </c>
      <c r="J678" t="s">
        <v>3694</v>
      </c>
      <c r="K678" t="s">
        <v>3699</v>
      </c>
      <c r="L678">
        <v>3</v>
      </c>
      <c r="M678">
        <v>1800</v>
      </c>
      <c r="N678" t="s">
        <v>3701</v>
      </c>
      <c r="O678" t="s">
        <v>3707</v>
      </c>
      <c r="P678" s="2">
        <f t="shared" si="50"/>
        <v>45836</v>
      </c>
      <c r="Q678" t="str">
        <f t="shared" si="51"/>
        <v>Jayant Taneja</v>
      </c>
      <c r="R678" t="str">
        <f t="shared" si="52"/>
        <v>Pune</v>
      </c>
      <c r="S678" t="str">
        <f t="shared" si="53"/>
        <v>Maharashtra</v>
      </c>
      <c r="T678">
        <f t="shared" si="54"/>
        <v>5400</v>
      </c>
    </row>
    <row r="679" spans="1:20" x14ac:dyDescent="0.35">
      <c r="A679" t="s">
        <v>692</v>
      </c>
      <c r="B679" t="s">
        <v>1339</v>
      </c>
      <c r="C679" t="s">
        <v>1995</v>
      </c>
      <c r="D679" t="s">
        <v>3159</v>
      </c>
      <c r="E679" t="s">
        <v>3671</v>
      </c>
      <c r="F679">
        <v>45</v>
      </c>
      <c r="G679" t="s">
        <v>3674</v>
      </c>
      <c r="H679" t="s">
        <v>3680</v>
      </c>
      <c r="I679" t="s">
        <v>3687</v>
      </c>
      <c r="J679" t="s">
        <v>3693</v>
      </c>
      <c r="K679" t="s">
        <v>3697</v>
      </c>
      <c r="L679">
        <v>2</v>
      </c>
      <c r="M679">
        <v>5000</v>
      </c>
      <c r="N679" t="s">
        <v>3702</v>
      </c>
      <c r="O679" t="s">
        <v>3706</v>
      </c>
      <c r="P679" s="2">
        <f t="shared" si="50"/>
        <v>45919</v>
      </c>
      <c r="Q679" t="str">
        <f t="shared" si="51"/>
        <v>Uthkarsh Aurora</v>
      </c>
      <c r="R679" t="str">
        <f t="shared" si="52"/>
        <v>Pune</v>
      </c>
      <c r="S679" t="str">
        <f t="shared" si="53"/>
        <v>Maharashtra</v>
      </c>
      <c r="T679">
        <f t="shared" si="54"/>
        <v>10000</v>
      </c>
    </row>
    <row r="680" spans="1:20" x14ac:dyDescent="0.35">
      <c r="A680" t="s">
        <v>693</v>
      </c>
      <c r="B680" t="s">
        <v>1553</v>
      </c>
      <c r="C680" t="s">
        <v>2287</v>
      </c>
      <c r="D680" t="s">
        <v>2588</v>
      </c>
      <c r="E680" t="s">
        <v>3671</v>
      </c>
      <c r="F680">
        <v>55</v>
      </c>
      <c r="G680" t="s">
        <v>3677</v>
      </c>
      <c r="H680" t="s">
        <v>3680</v>
      </c>
      <c r="I680" t="s">
        <v>3690</v>
      </c>
      <c r="J680" t="s">
        <v>3693</v>
      </c>
      <c r="K680" t="s">
        <v>3700</v>
      </c>
      <c r="L680">
        <v>3</v>
      </c>
      <c r="M680">
        <v>72000</v>
      </c>
      <c r="N680" t="s">
        <v>3701</v>
      </c>
      <c r="O680" t="s">
        <v>3707</v>
      </c>
      <c r="P680" s="2">
        <f t="shared" si="50"/>
        <v>45789</v>
      </c>
      <c r="Q680" t="str">
        <f t="shared" si="51"/>
        <v>Purab Sami</v>
      </c>
      <c r="R680" t="str">
        <f t="shared" si="52"/>
        <v>Mumbai</v>
      </c>
      <c r="S680" t="str">
        <f t="shared" si="53"/>
        <v>Maharashtra</v>
      </c>
      <c r="T680">
        <f t="shared" si="54"/>
        <v>216000</v>
      </c>
    </row>
    <row r="681" spans="1:20" x14ac:dyDescent="0.35">
      <c r="A681" t="s">
        <v>694</v>
      </c>
      <c r="B681" t="s">
        <v>1314</v>
      </c>
      <c r="C681" t="s">
        <v>2288</v>
      </c>
      <c r="D681" t="s">
        <v>3160</v>
      </c>
      <c r="E681" t="s">
        <v>3671</v>
      </c>
      <c r="F681">
        <v>57</v>
      </c>
      <c r="G681" t="s">
        <v>3675</v>
      </c>
      <c r="H681" t="s">
        <v>3681</v>
      </c>
      <c r="I681" t="s">
        <v>3689</v>
      </c>
      <c r="J681" t="s">
        <v>3694</v>
      </c>
      <c r="K681" t="s">
        <v>3699</v>
      </c>
      <c r="L681">
        <v>1</v>
      </c>
      <c r="M681">
        <v>1800</v>
      </c>
      <c r="N681" t="s">
        <v>3701</v>
      </c>
      <c r="O681" t="s">
        <v>3705</v>
      </c>
      <c r="P681" s="2">
        <f t="shared" si="50"/>
        <v>45726</v>
      </c>
      <c r="Q681" t="str">
        <f t="shared" si="51"/>
        <v>Alia Basu</v>
      </c>
      <c r="R681" t="str">
        <f t="shared" si="52"/>
        <v>Kolkata</v>
      </c>
      <c r="S681" t="str">
        <f t="shared" si="53"/>
        <v>West Bengal</v>
      </c>
      <c r="T681">
        <f t="shared" si="54"/>
        <v>1800</v>
      </c>
    </row>
    <row r="682" spans="1:20" x14ac:dyDescent="0.35">
      <c r="A682" t="s">
        <v>695</v>
      </c>
      <c r="B682" t="s">
        <v>1289</v>
      </c>
      <c r="C682" t="s">
        <v>2289</v>
      </c>
      <c r="D682" t="s">
        <v>3161</v>
      </c>
      <c r="E682" t="s">
        <v>3672</v>
      </c>
      <c r="F682">
        <v>21</v>
      </c>
      <c r="G682" t="s">
        <v>3675</v>
      </c>
      <c r="H682" t="s">
        <v>3681</v>
      </c>
      <c r="I682" t="s">
        <v>3687</v>
      </c>
      <c r="J682" t="s">
        <v>3693</v>
      </c>
      <c r="K682" t="s">
        <v>3697</v>
      </c>
      <c r="L682">
        <v>3</v>
      </c>
      <c r="M682">
        <v>5000</v>
      </c>
      <c r="N682" t="s">
        <v>3703</v>
      </c>
      <c r="O682" t="s">
        <v>3706</v>
      </c>
      <c r="P682" s="2">
        <f t="shared" si="50"/>
        <v>45776</v>
      </c>
      <c r="Q682" t="str">
        <f t="shared" si="51"/>
        <v>Sumer Rege</v>
      </c>
      <c r="R682" t="str">
        <f t="shared" si="52"/>
        <v>Kolkata</v>
      </c>
      <c r="S682" t="str">
        <f t="shared" si="53"/>
        <v>West Bengal</v>
      </c>
      <c r="T682">
        <f t="shared" si="54"/>
        <v>15000</v>
      </c>
    </row>
    <row r="683" spans="1:20" x14ac:dyDescent="0.35">
      <c r="A683" t="s">
        <v>696</v>
      </c>
      <c r="B683" t="s">
        <v>1318</v>
      </c>
      <c r="C683" t="s">
        <v>2290</v>
      </c>
      <c r="D683" t="s">
        <v>3162</v>
      </c>
      <c r="E683" t="s">
        <v>3672</v>
      </c>
      <c r="F683">
        <v>40</v>
      </c>
      <c r="G683" t="s">
        <v>3674</v>
      </c>
      <c r="H683" t="s">
        <v>3680</v>
      </c>
      <c r="I683" t="s">
        <v>3689</v>
      </c>
      <c r="J683" t="s">
        <v>3694</v>
      </c>
      <c r="K683" t="s">
        <v>3699</v>
      </c>
      <c r="L683">
        <v>3</v>
      </c>
      <c r="M683">
        <v>1800</v>
      </c>
      <c r="N683" t="s">
        <v>3702</v>
      </c>
      <c r="O683" t="s">
        <v>3705</v>
      </c>
      <c r="P683" s="2">
        <f t="shared" si="50"/>
        <v>45941</v>
      </c>
      <c r="Q683" t="str">
        <f t="shared" si="51"/>
        <v>Dhanush Hegde</v>
      </c>
      <c r="R683" t="str">
        <f t="shared" si="52"/>
        <v>Pune</v>
      </c>
      <c r="S683" t="str">
        <f t="shared" si="53"/>
        <v>Maharashtra</v>
      </c>
      <c r="T683">
        <f t="shared" si="54"/>
        <v>5400</v>
      </c>
    </row>
    <row r="684" spans="1:20" x14ac:dyDescent="0.35">
      <c r="A684" t="s">
        <v>697</v>
      </c>
      <c r="B684" t="s">
        <v>1650</v>
      </c>
      <c r="C684" t="s">
        <v>2291</v>
      </c>
      <c r="D684" t="s">
        <v>3163</v>
      </c>
      <c r="E684" t="s">
        <v>3671</v>
      </c>
      <c r="F684">
        <v>26</v>
      </c>
      <c r="G684" t="s">
        <v>3677</v>
      </c>
      <c r="H684" t="s">
        <v>3680</v>
      </c>
      <c r="I684" t="s">
        <v>3687</v>
      </c>
      <c r="J684" t="s">
        <v>3693</v>
      </c>
      <c r="K684" t="s">
        <v>3697</v>
      </c>
      <c r="L684">
        <v>4</v>
      </c>
      <c r="M684">
        <v>5000</v>
      </c>
      <c r="N684" t="s">
        <v>3702</v>
      </c>
      <c r="O684" t="s">
        <v>3707</v>
      </c>
      <c r="P684" s="2">
        <f t="shared" si="50"/>
        <v>45907</v>
      </c>
      <c r="Q684" t="str">
        <f t="shared" si="51"/>
        <v>Ryan Sinha</v>
      </c>
      <c r="R684" t="str">
        <f t="shared" si="52"/>
        <v>Mumbai</v>
      </c>
      <c r="S684" t="str">
        <f t="shared" si="53"/>
        <v>Maharashtra</v>
      </c>
      <c r="T684">
        <f t="shared" si="54"/>
        <v>20000</v>
      </c>
    </row>
    <row r="685" spans="1:20" x14ac:dyDescent="0.35">
      <c r="A685" t="s">
        <v>698</v>
      </c>
      <c r="B685" t="s">
        <v>1651</v>
      </c>
      <c r="C685" t="s">
        <v>2292</v>
      </c>
      <c r="D685" t="s">
        <v>2956</v>
      </c>
      <c r="E685" t="s">
        <v>3671</v>
      </c>
      <c r="F685">
        <v>56</v>
      </c>
      <c r="G685" t="s">
        <v>3676</v>
      </c>
      <c r="H685" t="s">
        <v>3682</v>
      </c>
      <c r="I685" t="s">
        <v>3687</v>
      </c>
      <c r="J685" t="s">
        <v>3693</v>
      </c>
      <c r="K685" t="s">
        <v>3697</v>
      </c>
      <c r="L685">
        <v>2</v>
      </c>
      <c r="M685">
        <v>5000</v>
      </c>
      <c r="N685" t="s">
        <v>3702</v>
      </c>
      <c r="O685" t="s">
        <v>3705</v>
      </c>
      <c r="P685" s="2">
        <f t="shared" si="50"/>
        <v>45700</v>
      </c>
      <c r="Q685" t="str">
        <f t="shared" si="51"/>
        <v>Raunak Bobal</v>
      </c>
      <c r="R685" t="str">
        <f t="shared" si="52"/>
        <v>Chennai</v>
      </c>
      <c r="S685" t="str">
        <f t="shared" si="53"/>
        <v>Tamil Nadu</v>
      </c>
      <c r="T685">
        <f t="shared" si="54"/>
        <v>10000</v>
      </c>
    </row>
    <row r="686" spans="1:20" x14ac:dyDescent="0.35">
      <c r="A686" t="s">
        <v>699</v>
      </c>
      <c r="B686" t="s">
        <v>1523</v>
      </c>
      <c r="C686" t="s">
        <v>1880</v>
      </c>
      <c r="D686" t="s">
        <v>3164</v>
      </c>
      <c r="E686" t="s">
        <v>3671</v>
      </c>
      <c r="F686">
        <v>36</v>
      </c>
      <c r="G686" t="s">
        <v>3674</v>
      </c>
      <c r="H686" t="s">
        <v>3680</v>
      </c>
      <c r="I686" t="s">
        <v>3687</v>
      </c>
      <c r="J686" t="s">
        <v>3693</v>
      </c>
      <c r="K686" t="s">
        <v>3697</v>
      </c>
      <c r="L686">
        <v>3</v>
      </c>
      <c r="M686">
        <v>5000</v>
      </c>
      <c r="N686" t="s">
        <v>3704</v>
      </c>
      <c r="O686" t="s">
        <v>3707</v>
      </c>
      <c r="P686" s="2">
        <f t="shared" si="50"/>
        <v>45910</v>
      </c>
      <c r="Q686" t="str">
        <f t="shared" si="51"/>
        <v>Zaina Saini</v>
      </c>
      <c r="R686" t="str">
        <f t="shared" si="52"/>
        <v>Pune</v>
      </c>
      <c r="S686" t="str">
        <f t="shared" si="53"/>
        <v>Maharashtra</v>
      </c>
      <c r="T686">
        <f t="shared" si="54"/>
        <v>15000</v>
      </c>
    </row>
    <row r="687" spans="1:20" x14ac:dyDescent="0.35">
      <c r="A687" t="s">
        <v>700</v>
      </c>
      <c r="B687" t="s">
        <v>1481</v>
      </c>
      <c r="C687" t="s">
        <v>2269</v>
      </c>
      <c r="D687" t="s">
        <v>3165</v>
      </c>
      <c r="E687" t="s">
        <v>3672</v>
      </c>
      <c r="F687">
        <v>50</v>
      </c>
      <c r="G687" t="s">
        <v>3674</v>
      </c>
      <c r="H687" t="s">
        <v>3680</v>
      </c>
      <c r="I687" t="s">
        <v>3690</v>
      </c>
      <c r="J687" t="s">
        <v>3693</v>
      </c>
      <c r="K687" t="s">
        <v>3700</v>
      </c>
      <c r="L687">
        <v>4</v>
      </c>
      <c r="M687">
        <v>72000</v>
      </c>
      <c r="N687" t="s">
        <v>3701</v>
      </c>
      <c r="O687" t="s">
        <v>3707</v>
      </c>
      <c r="P687" s="2">
        <f t="shared" si="50"/>
        <v>45884</v>
      </c>
      <c r="Q687" t="str">
        <f t="shared" si="51"/>
        <v>Inaaya Vyas</v>
      </c>
      <c r="R687" t="str">
        <f t="shared" si="52"/>
        <v>Pune</v>
      </c>
      <c r="S687" t="str">
        <f t="shared" si="53"/>
        <v>Maharashtra</v>
      </c>
      <c r="T687">
        <f t="shared" si="54"/>
        <v>288000</v>
      </c>
    </row>
    <row r="688" spans="1:20" x14ac:dyDescent="0.35">
      <c r="A688" t="s">
        <v>701</v>
      </c>
      <c r="B688" t="s">
        <v>1652</v>
      </c>
      <c r="C688" t="s">
        <v>2293</v>
      </c>
      <c r="D688" t="s">
        <v>3166</v>
      </c>
      <c r="E688" t="s">
        <v>3671</v>
      </c>
      <c r="F688">
        <v>35</v>
      </c>
      <c r="G688" t="s">
        <v>3674</v>
      </c>
      <c r="H688" t="s">
        <v>3680</v>
      </c>
      <c r="I688" t="s">
        <v>3686</v>
      </c>
      <c r="J688" t="s">
        <v>3693</v>
      </c>
      <c r="K688" t="s">
        <v>3696</v>
      </c>
      <c r="L688">
        <v>3</v>
      </c>
      <c r="M688">
        <v>65000</v>
      </c>
      <c r="N688" t="s">
        <v>3701</v>
      </c>
      <c r="O688" t="s">
        <v>3705</v>
      </c>
      <c r="P688" s="2">
        <f t="shared" si="50"/>
        <v>46021</v>
      </c>
      <c r="Q688" t="str">
        <f t="shared" si="51"/>
        <v>Biju Desai</v>
      </c>
      <c r="R688" t="str">
        <f t="shared" si="52"/>
        <v>Pune</v>
      </c>
      <c r="S688" t="str">
        <f t="shared" si="53"/>
        <v>Maharashtra</v>
      </c>
      <c r="T688">
        <f t="shared" si="54"/>
        <v>195000</v>
      </c>
    </row>
    <row r="689" spans="1:20" x14ac:dyDescent="0.35">
      <c r="A689" t="s">
        <v>702</v>
      </c>
      <c r="B689" t="s">
        <v>1653</v>
      </c>
      <c r="C689" t="s">
        <v>2246</v>
      </c>
      <c r="D689" t="s">
        <v>3167</v>
      </c>
      <c r="E689" t="s">
        <v>3671</v>
      </c>
      <c r="F689">
        <v>52</v>
      </c>
      <c r="G689" t="s">
        <v>3677</v>
      </c>
      <c r="H689" t="s">
        <v>3680</v>
      </c>
      <c r="I689" t="s">
        <v>3690</v>
      </c>
      <c r="J689" t="s">
        <v>3693</v>
      </c>
      <c r="K689" t="s">
        <v>3700</v>
      </c>
      <c r="L689">
        <v>2</v>
      </c>
      <c r="M689">
        <v>72000</v>
      </c>
      <c r="N689" t="s">
        <v>3703</v>
      </c>
      <c r="O689" t="s">
        <v>3706</v>
      </c>
      <c r="P689" s="2">
        <f t="shared" si="50"/>
        <v>45997</v>
      </c>
      <c r="Q689" t="str">
        <f t="shared" si="51"/>
        <v>Vedika Shroff</v>
      </c>
      <c r="R689" t="str">
        <f t="shared" si="52"/>
        <v>Mumbai</v>
      </c>
      <c r="S689" t="str">
        <f t="shared" si="53"/>
        <v>Maharashtra</v>
      </c>
      <c r="T689">
        <f t="shared" si="54"/>
        <v>144000</v>
      </c>
    </row>
    <row r="690" spans="1:20" x14ac:dyDescent="0.35">
      <c r="A690" t="s">
        <v>703</v>
      </c>
      <c r="B690" t="s">
        <v>1452</v>
      </c>
      <c r="C690" t="s">
        <v>1877</v>
      </c>
      <c r="D690" t="s">
        <v>3168</v>
      </c>
      <c r="E690" t="s">
        <v>3672</v>
      </c>
      <c r="F690">
        <v>56</v>
      </c>
      <c r="G690" t="s">
        <v>3676</v>
      </c>
      <c r="H690" t="s">
        <v>3682</v>
      </c>
      <c r="I690" t="s">
        <v>3686</v>
      </c>
      <c r="J690" t="s">
        <v>3693</v>
      </c>
      <c r="K690" t="s">
        <v>3696</v>
      </c>
      <c r="L690">
        <v>2</v>
      </c>
      <c r="M690">
        <v>65000</v>
      </c>
      <c r="N690" t="s">
        <v>3703</v>
      </c>
      <c r="O690" t="s">
        <v>3707</v>
      </c>
      <c r="P690" s="2">
        <f t="shared" si="50"/>
        <v>45862</v>
      </c>
      <c r="Q690" t="str">
        <f t="shared" si="51"/>
        <v>Urvi Talwar</v>
      </c>
      <c r="R690" t="str">
        <f t="shared" si="52"/>
        <v>Chennai</v>
      </c>
      <c r="S690" t="str">
        <f t="shared" si="53"/>
        <v>Tamil Nadu</v>
      </c>
      <c r="T690">
        <f t="shared" si="54"/>
        <v>130000</v>
      </c>
    </row>
    <row r="691" spans="1:20" x14ac:dyDescent="0.35">
      <c r="A691" t="s">
        <v>704</v>
      </c>
      <c r="B691" t="s">
        <v>1426</v>
      </c>
      <c r="C691" t="s">
        <v>1835</v>
      </c>
      <c r="D691" t="s">
        <v>3169</v>
      </c>
      <c r="E691" t="s">
        <v>3672</v>
      </c>
      <c r="F691">
        <v>48</v>
      </c>
      <c r="G691" t="s">
        <v>3679</v>
      </c>
      <c r="H691" t="s">
        <v>3684</v>
      </c>
      <c r="I691" t="s">
        <v>3691</v>
      </c>
      <c r="J691" t="s">
        <v>3693</v>
      </c>
      <c r="K691" t="s">
        <v>3696</v>
      </c>
      <c r="L691">
        <v>1</v>
      </c>
      <c r="M691">
        <v>58000</v>
      </c>
      <c r="N691" t="s">
        <v>3703</v>
      </c>
      <c r="O691" t="s">
        <v>3705</v>
      </c>
      <c r="P691" s="2">
        <f t="shared" si="50"/>
        <v>45909</v>
      </c>
      <c r="Q691" t="str">
        <f t="shared" si="51"/>
        <v>Dharmajan Kar</v>
      </c>
      <c r="R691" t="str">
        <f t="shared" si="52"/>
        <v>Bengaluru</v>
      </c>
      <c r="S691" t="str">
        <f t="shared" si="53"/>
        <v>Karnataka</v>
      </c>
      <c r="T691">
        <f t="shared" si="54"/>
        <v>58000</v>
      </c>
    </row>
    <row r="692" spans="1:20" x14ac:dyDescent="0.35">
      <c r="A692" t="s">
        <v>705</v>
      </c>
      <c r="B692" t="s">
        <v>1654</v>
      </c>
      <c r="C692" t="s">
        <v>1812</v>
      </c>
      <c r="D692" t="s">
        <v>3170</v>
      </c>
      <c r="E692" t="s">
        <v>3671</v>
      </c>
      <c r="F692">
        <v>28</v>
      </c>
      <c r="G692" t="s">
        <v>3677</v>
      </c>
      <c r="H692" t="s">
        <v>3680</v>
      </c>
      <c r="I692" t="s">
        <v>3690</v>
      </c>
      <c r="J692" t="s">
        <v>3693</v>
      </c>
      <c r="K692" t="s">
        <v>3700</v>
      </c>
      <c r="L692">
        <v>1</v>
      </c>
      <c r="M692">
        <v>72000</v>
      </c>
      <c r="N692" t="s">
        <v>3702</v>
      </c>
      <c r="O692" t="s">
        <v>3707</v>
      </c>
      <c r="P692" s="2">
        <f t="shared" si="50"/>
        <v>45969</v>
      </c>
      <c r="Q692" t="str">
        <f t="shared" si="51"/>
        <v>Ishaan Mangal</v>
      </c>
      <c r="R692" t="str">
        <f t="shared" si="52"/>
        <v>Mumbai</v>
      </c>
      <c r="S692" t="str">
        <f t="shared" si="53"/>
        <v>Maharashtra</v>
      </c>
      <c r="T692">
        <f t="shared" si="54"/>
        <v>72000</v>
      </c>
    </row>
    <row r="693" spans="1:20" x14ac:dyDescent="0.35">
      <c r="A693" t="s">
        <v>706</v>
      </c>
      <c r="B693" t="s">
        <v>1655</v>
      </c>
      <c r="C693" t="s">
        <v>2176</v>
      </c>
      <c r="D693" t="s">
        <v>3171</v>
      </c>
      <c r="E693" t="s">
        <v>3671</v>
      </c>
      <c r="F693">
        <v>23</v>
      </c>
      <c r="G693" t="s">
        <v>3674</v>
      </c>
      <c r="H693" t="s">
        <v>3680</v>
      </c>
      <c r="I693" t="s">
        <v>3685</v>
      </c>
      <c r="J693" t="s">
        <v>3692</v>
      </c>
      <c r="K693" t="s">
        <v>3695</v>
      </c>
      <c r="L693">
        <v>1</v>
      </c>
      <c r="M693">
        <v>12000</v>
      </c>
      <c r="N693" t="s">
        <v>3703</v>
      </c>
      <c r="O693" t="s">
        <v>3707</v>
      </c>
      <c r="P693" s="2">
        <f t="shared" si="50"/>
        <v>46004</v>
      </c>
      <c r="Q693" t="str">
        <f t="shared" si="51"/>
        <v>Aarna Tella</v>
      </c>
      <c r="R693" t="str">
        <f t="shared" si="52"/>
        <v>Pune</v>
      </c>
      <c r="S693" t="str">
        <f t="shared" si="53"/>
        <v>Maharashtra</v>
      </c>
      <c r="T693">
        <f t="shared" si="54"/>
        <v>12000</v>
      </c>
    </row>
    <row r="694" spans="1:20" x14ac:dyDescent="0.35">
      <c r="A694" t="s">
        <v>707</v>
      </c>
      <c r="B694" t="s">
        <v>1656</v>
      </c>
      <c r="C694" t="s">
        <v>2294</v>
      </c>
      <c r="D694" t="s">
        <v>3172</v>
      </c>
      <c r="E694" t="s">
        <v>3671</v>
      </c>
      <c r="F694">
        <v>45</v>
      </c>
      <c r="G694" t="s">
        <v>3675</v>
      </c>
      <c r="H694" t="s">
        <v>3681</v>
      </c>
      <c r="I694" t="s">
        <v>3687</v>
      </c>
      <c r="J694" t="s">
        <v>3693</v>
      </c>
      <c r="K694" t="s">
        <v>3697</v>
      </c>
      <c r="L694">
        <v>1</v>
      </c>
      <c r="M694">
        <v>5000</v>
      </c>
      <c r="N694" t="s">
        <v>3704</v>
      </c>
      <c r="O694" t="s">
        <v>3707</v>
      </c>
      <c r="P694" s="2">
        <f t="shared" si="50"/>
        <v>45828</v>
      </c>
      <c r="Q694" t="str">
        <f t="shared" si="51"/>
        <v>Neysa Sridhar</v>
      </c>
      <c r="R694" t="str">
        <f t="shared" si="52"/>
        <v>Kolkata</v>
      </c>
      <c r="S694" t="str">
        <f t="shared" si="53"/>
        <v>West Bengal</v>
      </c>
      <c r="T694">
        <f t="shared" si="54"/>
        <v>5000</v>
      </c>
    </row>
    <row r="695" spans="1:20" x14ac:dyDescent="0.35">
      <c r="A695" t="s">
        <v>708</v>
      </c>
      <c r="B695" t="s">
        <v>1612</v>
      </c>
      <c r="C695" t="s">
        <v>1803</v>
      </c>
      <c r="D695" t="s">
        <v>3173</v>
      </c>
      <c r="E695" t="s">
        <v>3671</v>
      </c>
      <c r="F695">
        <v>34</v>
      </c>
      <c r="G695" t="s">
        <v>3673</v>
      </c>
      <c r="H695" t="s">
        <v>3673</v>
      </c>
      <c r="I695" t="s">
        <v>3686</v>
      </c>
      <c r="J695" t="s">
        <v>3693</v>
      </c>
      <c r="K695" t="s">
        <v>3696</v>
      </c>
      <c r="L695">
        <v>3</v>
      </c>
      <c r="M695">
        <v>65000</v>
      </c>
      <c r="N695" t="s">
        <v>3703</v>
      </c>
      <c r="O695" t="s">
        <v>3707</v>
      </c>
      <c r="P695" s="2">
        <f t="shared" si="50"/>
        <v>45781</v>
      </c>
      <c r="Q695" t="str">
        <f t="shared" si="51"/>
        <v>Badal Dutta</v>
      </c>
      <c r="R695" t="str">
        <f t="shared" si="52"/>
        <v>Delhi</v>
      </c>
      <c r="S695" t="str">
        <f t="shared" si="53"/>
        <v>Delhi</v>
      </c>
      <c r="T695">
        <f t="shared" si="54"/>
        <v>195000</v>
      </c>
    </row>
    <row r="696" spans="1:20" x14ac:dyDescent="0.35">
      <c r="A696" t="s">
        <v>709</v>
      </c>
      <c r="B696" t="s">
        <v>1362</v>
      </c>
      <c r="C696" t="s">
        <v>1890</v>
      </c>
      <c r="D696" t="s">
        <v>3174</v>
      </c>
      <c r="E696" t="s">
        <v>3671</v>
      </c>
      <c r="F696">
        <v>22</v>
      </c>
      <c r="G696" t="s">
        <v>3675</v>
      </c>
      <c r="H696" t="s">
        <v>3681</v>
      </c>
      <c r="I696" t="s">
        <v>3686</v>
      </c>
      <c r="J696" t="s">
        <v>3693</v>
      </c>
      <c r="K696" t="s">
        <v>3696</v>
      </c>
      <c r="L696">
        <v>4</v>
      </c>
      <c r="M696">
        <v>65000</v>
      </c>
      <c r="N696" t="s">
        <v>3702</v>
      </c>
      <c r="O696" t="s">
        <v>3705</v>
      </c>
      <c r="P696" s="2">
        <f t="shared" si="50"/>
        <v>45674</v>
      </c>
      <c r="Q696" t="str">
        <f t="shared" si="51"/>
        <v>Aayush Dhaliwal</v>
      </c>
      <c r="R696" t="str">
        <f t="shared" si="52"/>
        <v>Kolkata</v>
      </c>
      <c r="S696" t="str">
        <f t="shared" si="53"/>
        <v>West Bengal</v>
      </c>
      <c r="T696">
        <f t="shared" si="54"/>
        <v>260000</v>
      </c>
    </row>
    <row r="697" spans="1:20" x14ac:dyDescent="0.35">
      <c r="A697" t="s">
        <v>710</v>
      </c>
      <c r="B697" t="s">
        <v>1528</v>
      </c>
      <c r="C697" t="s">
        <v>2295</v>
      </c>
      <c r="D697" t="s">
        <v>3175</v>
      </c>
      <c r="E697" t="s">
        <v>3671</v>
      </c>
      <c r="F697">
        <v>48</v>
      </c>
      <c r="G697" t="s">
        <v>3677</v>
      </c>
      <c r="H697" t="s">
        <v>3680</v>
      </c>
      <c r="I697" t="s">
        <v>3688</v>
      </c>
      <c r="J697" t="s">
        <v>3694</v>
      </c>
      <c r="K697" t="s">
        <v>3698</v>
      </c>
      <c r="L697">
        <v>1</v>
      </c>
      <c r="M697">
        <v>4500</v>
      </c>
      <c r="N697" t="s">
        <v>3704</v>
      </c>
      <c r="O697" t="s">
        <v>3706</v>
      </c>
      <c r="P697" s="2">
        <f t="shared" si="50"/>
        <v>45797</v>
      </c>
      <c r="Q697" t="str">
        <f t="shared" si="51"/>
        <v>Diya Bhargava</v>
      </c>
      <c r="R697" t="str">
        <f t="shared" si="52"/>
        <v>Mumbai</v>
      </c>
      <c r="S697" t="str">
        <f t="shared" si="53"/>
        <v>Maharashtra</v>
      </c>
      <c r="T697">
        <f t="shared" si="54"/>
        <v>4500</v>
      </c>
    </row>
    <row r="698" spans="1:20" x14ac:dyDescent="0.35">
      <c r="A698" t="s">
        <v>711</v>
      </c>
      <c r="B698" t="s">
        <v>1584</v>
      </c>
      <c r="C698" t="s">
        <v>1869</v>
      </c>
      <c r="D698" t="s">
        <v>3176</v>
      </c>
      <c r="E698" t="s">
        <v>3671</v>
      </c>
      <c r="F698">
        <v>33</v>
      </c>
      <c r="G698" t="s">
        <v>3673</v>
      </c>
      <c r="H698" t="s">
        <v>3673</v>
      </c>
      <c r="I698" t="s">
        <v>3691</v>
      </c>
      <c r="J698" t="s">
        <v>3693</v>
      </c>
      <c r="K698" t="s">
        <v>3696</v>
      </c>
      <c r="L698">
        <v>3</v>
      </c>
      <c r="M698">
        <v>58000</v>
      </c>
      <c r="N698" t="s">
        <v>3704</v>
      </c>
      <c r="O698" t="s">
        <v>3707</v>
      </c>
      <c r="P698" s="2">
        <f t="shared" si="50"/>
        <v>45985</v>
      </c>
      <c r="Q698" t="str">
        <f t="shared" si="51"/>
        <v>Shanaya Yadav</v>
      </c>
      <c r="R698" t="str">
        <f t="shared" si="52"/>
        <v>Delhi</v>
      </c>
      <c r="S698" t="str">
        <f t="shared" si="53"/>
        <v>Delhi</v>
      </c>
      <c r="T698">
        <f t="shared" si="54"/>
        <v>174000</v>
      </c>
    </row>
    <row r="699" spans="1:20" x14ac:dyDescent="0.35">
      <c r="A699" t="s">
        <v>712</v>
      </c>
      <c r="B699" t="s">
        <v>1621</v>
      </c>
      <c r="C699" t="s">
        <v>1931</v>
      </c>
      <c r="D699" t="s">
        <v>3177</v>
      </c>
      <c r="E699" t="s">
        <v>3672</v>
      </c>
      <c r="F699">
        <v>22</v>
      </c>
      <c r="G699" t="s">
        <v>3673</v>
      </c>
      <c r="H699" t="s">
        <v>3673</v>
      </c>
      <c r="I699" t="s">
        <v>3689</v>
      </c>
      <c r="J699" t="s">
        <v>3694</v>
      </c>
      <c r="K699" t="s">
        <v>3699</v>
      </c>
      <c r="L699">
        <v>4</v>
      </c>
      <c r="M699">
        <v>1800</v>
      </c>
      <c r="N699" t="s">
        <v>3702</v>
      </c>
      <c r="O699" t="s">
        <v>3707</v>
      </c>
      <c r="P699" s="2">
        <f t="shared" si="50"/>
        <v>46018</v>
      </c>
      <c r="Q699" t="str">
        <f t="shared" si="51"/>
        <v>Rhea Mallick</v>
      </c>
      <c r="R699" t="str">
        <f t="shared" si="52"/>
        <v>Delhi</v>
      </c>
      <c r="S699" t="str">
        <f t="shared" si="53"/>
        <v>Delhi</v>
      </c>
      <c r="T699">
        <f t="shared" si="54"/>
        <v>7200</v>
      </c>
    </row>
    <row r="700" spans="1:20" x14ac:dyDescent="0.35">
      <c r="A700" t="s">
        <v>713</v>
      </c>
      <c r="B700" t="s">
        <v>1575</v>
      </c>
      <c r="C700" t="s">
        <v>2296</v>
      </c>
      <c r="D700" t="s">
        <v>3178</v>
      </c>
      <c r="E700" t="s">
        <v>3672</v>
      </c>
      <c r="F700">
        <v>51</v>
      </c>
      <c r="G700" t="s">
        <v>3676</v>
      </c>
      <c r="H700" t="s">
        <v>3682</v>
      </c>
      <c r="I700" t="s">
        <v>3685</v>
      </c>
      <c r="J700" t="s">
        <v>3692</v>
      </c>
      <c r="K700" t="s">
        <v>3695</v>
      </c>
      <c r="L700">
        <v>4</v>
      </c>
      <c r="M700">
        <v>12000</v>
      </c>
      <c r="N700" t="s">
        <v>3704</v>
      </c>
      <c r="O700" t="s">
        <v>3706</v>
      </c>
      <c r="P700" s="2">
        <f t="shared" si="50"/>
        <v>45854</v>
      </c>
      <c r="Q700" t="str">
        <f t="shared" si="51"/>
        <v>Indrajit Choudhry</v>
      </c>
      <c r="R700" t="str">
        <f t="shared" si="52"/>
        <v>Chennai</v>
      </c>
      <c r="S700" t="str">
        <f t="shared" si="53"/>
        <v>Tamil Nadu</v>
      </c>
      <c r="T700">
        <f t="shared" si="54"/>
        <v>48000</v>
      </c>
    </row>
    <row r="701" spans="1:20" x14ac:dyDescent="0.35">
      <c r="A701" t="s">
        <v>714</v>
      </c>
      <c r="B701" t="s">
        <v>1421</v>
      </c>
      <c r="C701" t="s">
        <v>1937</v>
      </c>
      <c r="D701" t="s">
        <v>3179</v>
      </c>
      <c r="E701" t="s">
        <v>3671</v>
      </c>
      <c r="F701">
        <v>55</v>
      </c>
      <c r="G701" t="s">
        <v>3679</v>
      </c>
      <c r="H701" t="s">
        <v>3684</v>
      </c>
      <c r="I701" t="s">
        <v>3685</v>
      </c>
      <c r="J701" t="s">
        <v>3692</v>
      </c>
      <c r="K701" t="s">
        <v>3695</v>
      </c>
      <c r="L701">
        <v>5</v>
      </c>
      <c r="M701">
        <v>12000</v>
      </c>
      <c r="N701" t="s">
        <v>3702</v>
      </c>
      <c r="O701" t="s">
        <v>3707</v>
      </c>
      <c r="P701" s="2">
        <f t="shared" si="50"/>
        <v>45770</v>
      </c>
      <c r="Q701" t="str">
        <f t="shared" si="51"/>
        <v>Vanya Shan</v>
      </c>
      <c r="R701" t="str">
        <f t="shared" si="52"/>
        <v>Bengaluru</v>
      </c>
      <c r="S701" t="str">
        <f t="shared" si="53"/>
        <v>Karnataka</v>
      </c>
      <c r="T701">
        <f t="shared" si="54"/>
        <v>60000</v>
      </c>
    </row>
    <row r="702" spans="1:20" x14ac:dyDescent="0.35">
      <c r="A702" t="s">
        <v>715</v>
      </c>
      <c r="B702" t="s">
        <v>1361</v>
      </c>
      <c r="C702" t="s">
        <v>2297</v>
      </c>
      <c r="D702" t="s">
        <v>3180</v>
      </c>
      <c r="E702" t="s">
        <v>3672</v>
      </c>
      <c r="F702">
        <v>28</v>
      </c>
      <c r="G702" t="s">
        <v>3678</v>
      </c>
      <c r="H702" t="s">
        <v>3683</v>
      </c>
      <c r="I702" t="s">
        <v>3691</v>
      </c>
      <c r="J702" t="s">
        <v>3693</v>
      </c>
      <c r="K702" t="s">
        <v>3696</v>
      </c>
      <c r="L702">
        <v>1</v>
      </c>
      <c r="M702">
        <v>58000</v>
      </c>
      <c r="N702" t="s">
        <v>3702</v>
      </c>
      <c r="O702" t="s">
        <v>3707</v>
      </c>
      <c r="P702" s="2">
        <f t="shared" si="50"/>
        <v>45984</v>
      </c>
      <c r="Q702" t="str">
        <f t="shared" si="51"/>
        <v>Badal Deol</v>
      </c>
      <c r="R702" t="str">
        <f t="shared" si="52"/>
        <v>Hyderabad</v>
      </c>
      <c r="S702" t="str">
        <f t="shared" si="53"/>
        <v>Telangana</v>
      </c>
      <c r="T702">
        <f t="shared" si="54"/>
        <v>58000</v>
      </c>
    </row>
    <row r="703" spans="1:20" x14ac:dyDescent="0.35">
      <c r="A703" t="s">
        <v>716</v>
      </c>
      <c r="B703" t="s">
        <v>1657</v>
      </c>
      <c r="C703" t="s">
        <v>1882</v>
      </c>
      <c r="D703" t="s">
        <v>3181</v>
      </c>
      <c r="E703" t="s">
        <v>3672</v>
      </c>
      <c r="F703">
        <v>33</v>
      </c>
      <c r="G703" t="s">
        <v>3677</v>
      </c>
      <c r="H703" t="s">
        <v>3680</v>
      </c>
      <c r="I703" t="s">
        <v>3686</v>
      </c>
      <c r="J703" t="s">
        <v>3693</v>
      </c>
      <c r="K703" t="s">
        <v>3696</v>
      </c>
      <c r="L703">
        <v>2</v>
      </c>
      <c r="M703">
        <v>65000</v>
      </c>
      <c r="N703" t="s">
        <v>3702</v>
      </c>
      <c r="O703" t="s">
        <v>3707</v>
      </c>
      <c r="P703" s="2">
        <f t="shared" si="50"/>
        <v>45788</v>
      </c>
      <c r="Q703" t="str">
        <f t="shared" si="51"/>
        <v>Himmat Doctor</v>
      </c>
      <c r="R703" t="str">
        <f t="shared" si="52"/>
        <v>Mumbai</v>
      </c>
      <c r="S703" t="str">
        <f t="shared" si="53"/>
        <v>Maharashtra</v>
      </c>
      <c r="T703">
        <f t="shared" si="54"/>
        <v>130000</v>
      </c>
    </row>
    <row r="704" spans="1:20" x14ac:dyDescent="0.35">
      <c r="A704" t="s">
        <v>717</v>
      </c>
      <c r="B704" t="s">
        <v>1482</v>
      </c>
      <c r="C704" t="s">
        <v>1858</v>
      </c>
      <c r="D704" t="s">
        <v>3182</v>
      </c>
      <c r="E704" t="s">
        <v>3672</v>
      </c>
      <c r="F704">
        <v>49</v>
      </c>
      <c r="G704" t="s">
        <v>3674</v>
      </c>
      <c r="H704" t="s">
        <v>3680</v>
      </c>
      <c r="I704" t="s">
        <v>3689</v>
      </c>
      <c r="J704" t="s">
        <v>3694</v>
      </c>
      <c r="K704" t="s">
        <v>3699</v>
      </c>
      <c r="L704">
        <v>5</v>
      </c>
      <c r="M704">
        <v>1800</v>
      </c>
      <c r="N704" t="s">
        <v>3701</v>
      </c>
      <c r="O704" t="s">
        <v>3705</v>
      </c>
      <c r="P704" s="2">
        <f t="shared" si="50"/>
        <v>45745</v>
      </c>
      <c r="Q704" t="str">
        <f t="shared" si="51"/>
        <v>Dhanuk Sunder</v>
      </c>
      <c r="R704" t="str">
        <f t="shared" si="52"/>
        <v>Pune</v>
      </c>
      <c r="S704" t="str">
        <f t="shared" si="53"/>
        <v>Maharashtra</v>
      </c>
      <c r="T704">
        <f t="shared" si="54"/>
        <v>9000</v>
      </c>
    </row>
    <row r="705" spans="1:20" x14ac:dyDescent="0.35">
      <c r="A705" t="s">
        <v>718</v>
      </c>
      <c r="B705" t="s">
        <v>1658</v>
      </c>
      <c r="C705" t="s">
        <v>1936</v>
      </c>
      <c r="D705" t="s">
        <v>3183</v>
      </c>
      <c r="E705" t="s">
        <v>3672</v>
      </c>
      <c r="F705">
        <v>60</v>
      </c>
      <c r="G705" t="s">
        <v>3675</v>
      </c>
      <c r="H705" t="s">
        <v>3681</v>
      </c>
      <c r="I705" t="s">
        <v>3689</v>
      </c>
      <c r="J705" t="s">
        <v>3694</v>
      </c>
      <c r="K705" t="s">
        <v>3699</v>
      </c>
      <c r="L705">
        <v>4</v>
      </c>
      <c r="M705">
        <v>1800</v>
      </c>
      <c r="N705" t="s">
        <v>3704</v>
      </c>
      <c r="O705" t="s">
        <v>3705</v>
      </c>
      <c r="P705" s="2">
        <f t="shared" si="50"/>
        <v>45784</v>
      </c>
      <c r="Q705" t="str">
        <f t="shared" si="51"/>
        <v>Saksham Kalla</v>
      </c>
      <c r="R705" t="str">
        <f t="shared" si="52"/>
        <v>Kolkata</v>
      </c>
      <c r="S705" t="str">
        <f t="shared" si="53"/>
        <v>West Bengal</v>
      </c>
      <c r="T705">
        <f t="shared" si="54"/>
        <v>7200</v>
      </c>
    </row>
    <row r="706" spans="1:20" x14ac:dyDescent="0.35">
      <c r="A706" t="s">
        <v>719</v>
      </c>
      <c r="B706" t="s">
        <v>1496</v>
      </c>
      <c r="C706" t="s">
        <v>2210</v>
      </c>
      <c r="D706" t="s">
        <v>3184</v>
      </c>
      <c r="E706" t="s">
        <v>3672</v>
      </c>
      <c r="F706">
        <v>60</v>
      </c>
      <c r="G706" t="s">
        <v>3679</v>
      </c>
      <c r="H706" t="s">
        <v>3684</v>
      </c>
      <c r="I706" t="s">
        <v>3691</v>
      </c>
      <c r="J706" t="s">
        <v>3693</v>
      </c>
      <c r="K706" t="s">
        <v>3696</v>
      </c>
      <c r="L706">
        <v>1</v>
      </c>
      <c r="M706">
        <v>58000</v>
      </c>
      <c r="N706" t="s">
        <v>3704</v>
      </c>
      <c r="O706" t="s">
        <v>3707</v>
      </c>
      <c r="P706" s="2">
        <f t="shared" si="50"/>
        <v>45892</v>
      </c>
      <c r="Q706" t="str">
        <f t="shared" si="51"/>
        <v>Yakshit Bhagat</v>
      </c>
      <c r="R706" t="str">
        <f t="shared" si="52"/>
        <v>Bengaluru</v>
      </c>
      <c r="S706" t="str">
        <f t="shared" si="53"/>
        <v>Karnataka</v>
      </c>
      <c r="T706">
        <f t="shared" si="54"/>
        <v>58000</v>
      </c>
    </row>
    <row r="707" spans="1:20" x14ac:dyDescent="0.35">
      <c r="A707" t="s">
        <v>720</v>
      </c>
      <c r="B707" t="s">
        <v>1342</v>
      </c>
      <c r="C707" t="s">
        <v>2298</v>
      </c>
      <c r="D707" t="s">
        <v>3185</v>
      </c>
      <c r="E707" t="s">
        <v>3671</v>
      </c>
      <c r="F707">
        <v>38</v>
      </c>
      <c r="G707" t="s">
        <v>3676</v>
      </c>
      <c r="H707" t="s">
        <v>3682</v>
      </c>
      <c r="I707" t="s">
        <v>3689</v>
      </c>
      <c r="J707" t="s">
        <v>3694</v>
      </c>
      <c r="K707" t="s">
        <v>3699</v>
      </c>
      <c r="L707">
        <v>4</v>
      </c>
      <c r="M707">
        <v>1800</v>
      </c>
      <c r="N707" t="s">
        <v>3701</v>
      </c>
      <c r="O707" t="s">
        <v>3705</v>
      </c>
      <c r="P707" s="2">
        <f t="shared" ref="P707:P770" si="55">DATEVALUE(SUBSTITUTE(B707,"/","-"))</f>
        <v>45683</v>
      </c>
      <c r="Q707" t="str">
        <f t="shared" ref="Q707:Q770" si="56">TRIM(CLEAN(D707))</f>
        <v>Shamik Vohra</v>
      </c>
      <c r="R707" t="str">
        <f t="shared" ref="R707:R770" si="57">IF(G707="","Unknown",G707)</f>
        <v>Chennai</v>
      </c>
      <c r="S707" t="str">
        <f t="shared" ref="S707:S770" si="58">IF(H707="","Unknown",H707)</f>
        <v>Tamil Nadu</v>
      </c>
      <c r="T707">
        <f t="shared" ref="T707:T770" si="59">L707*M707</f>
        <v>7200</v>
      </c>
    </row>
    <row r="708" spans="1:20" x14ac:dyDescent="0.35">
      <c r="A708" t="s">
        <v>721</v>
      </c>
      <c r="B708" t="s">
        <v>1646</v>
      </c>
      <c r="C708" t="s">
        <v>2299</v>
      </c>
      <c r="D708" t="s">
        <v>3186</v>
      </c>
      <c r="E708" t="s">
        <v>3672</v>
      </c>
      <c r="F708">
        <v>46</v>
      </c>
      <c r="G708" t="s">
        <v>3676</v>
      </c>
      <c r="H708" t="s">
        <v>3682</v>
      </c>
      <c r="I708" t="s">
        <v>3686</v>
      </c>
      <c r="J708" t="s">
        <v>3693</v>
      </c>
      <c r="K708" t="s">
        <v>3696</v>
      </c>
      <c r="L708">
        <v>5</v>
      </c>
      <c r="M708">
        <v>65000</v>
      </c>
      <c r="N708" t="s">
        <v>3703</v>
      </c>
      <c r="O708" t="s">
        <v>3707</v>
      </c>
      <c r="P708" s="2">
        <f t="shared" si="55"/>
        <v>45691</v>
      </c>
      <c r="Q708" t="str">
        <f t="shared" si="56"/>
        <v>Indranil Lalla</v>
      </c>
      <c r="R708" t="str">
        <f t="shared" si="57"/>
        <v>Chennai</v>
      </c>
      <c r="S708" t="str">
        <f t="shared" si="58"/>
        <v>Tamil Nadu</v>
      </c>
      <c r="T708">
        <f t="shared" si="59"/>
        <v>325000</v>
      </c>
    </row>
    <row r="709" spans="1:20" x14ac:dyDescent="0.35">
      <c r="A709" t="s">
        <v>722</v>
      </c>
      <c r="B709" t="s">
        <v>1659</v>
      </c>
      <c r="C709" t="s">
        <v>2300</v>
      </c>
      <c r="D709" t="s">
        <v>3187</v>
      </c>
      <c r="E709" t="s">
        <v>3672</v>
      </c>
      <c r="F709">
        <v>19</v>
      </c>
      <c r="G709" t="s">
        <v>3675</v>
      </c>
      <c r="H709" t="s">
        <v>3681</v>
      </c>
      <c r="I709" t="s">
        <v>3688</v>
      </c>
      <c r="J709" t="s">
        <v>3694</v>
      </c>
      <c r="K709" t="s">
        <v>3698</v>
      </c>
      <c r="L709">
        <v>3</v>
      </c>
      <c r="M709">
        <v>4500</v>
      </c>
      <c r="N709" t="s">
        <v>3703</v>
      </c>
      <c r="O709" t="s">
        <v>3705</v>
      </c>
      <c r="P709" s="2">
        <f t="shared" si="55"/>
        <v>45757</v>
      </c>
      <c r="Q709" t="str">
        <f t="shared" si="56"/>
        <v>Biju Barad</v>
      </c>
      <c r="R709" t="str">
        <f t="shared" si="57"/>
        <v>Kolkata</v>
      </c>
      <c r="S709" t="str">
        <f t="shared" si="58"/>
        <v>West Bengal</v>
      </c>
      <c r="T709">
        <f t="shared" si="59"/>
        <v>13500</v>
      </c>
    </row>
    <row r="710" spans="1:20" x14ac:dyDescent="0.35">
      <c r="A710" t="s">
        <v>723</v>
      </c>
      <c r="B710" t="s">
        <v>1335</v>
      </c>
      <c r="C710" t="s">
        <v>1993</v>
      </c>
      <c r="D710" t="s">
        <v>3188</v>
      </c>
      <c r="E710" t="s">
        <v>3671</v>
      </c>
      <c r="F710">
        <v>29</v>
      </c>
      <c r="G710" t="s">
        <v>3674</v>
      </c>
      <c r="H710" t="s">
        <v>3680</v>
      </c>
      <c r="I710" t="s">
        <v>3689</v>
      </c>
      <c r="J710" t="s">
        <v>3694</v>
      </c>
      <c r="K710" t="s">
        <v>3699</v>
      </c>
      <c r="L710">
        <v>2</v>
      </c>
      <c r="M710">
        <v>1800</v>
      </c>
      <c r="N710" t="s">
        <v>3702</v>
      </c>
      <c r="O710" t="s">
        <v>3706</v>
      </c>
      <c r="P710" s="2">
        <f t="shared" si="55"/>
        <v>45870</v>
      </c>
      <c r="Q710" t="str">
        <f t="shared" si="56"/>
        <v>Aarna Singhal</v>
      </c>
      <c r="R710" t="str">
        <f t="shared" si="57"/>
        <v>Pune</v>
      </c>
      <c r="S710" t="str">
        <f t="shared" si="58"/>
        <v>Maharashtra</v>
      </c>
      <c r="T710">
        <f t="shared" si="59"/>
        <v>3600</v>
      </c>
    </row>
    <row r="711" spans="1:20" x14ac:dyDescent="0.35">
      <c r="A711" t="s">
        <v>724</v>
      </c>
      <c r="B711" t="s">
        <v>1660</v>
      </c>
      <c r="C711" t="s">
        <v>1946</v>
      </c>
      <c r="D711" t="s">
        <v>3156</v>
      </c>
      <c r="E711" t="s">
        <v>3672</v>
      </c>
      <c r="F711">
        <v>52</v>
      </c>
      <c r="G711" t="s">
        <v>3677</v>
      </c>
      <c r="H711" t="s">
        <v>3680</v>
      </c>
      <c r="I711" t="s">
        <v>3690</v>
      </c>
      <c r="J711" t="s">
        <v>3693</v>
      </c>
      <c r="K711" t="s">
        <v>3700</v>
      </c>
      <c r="L711">
        <v>1</v>
      </c>
      <c r="M711">
        <v>72000</v>
      </c>
      <c r="N711" t="s">
        <v>3701</v>
      </c>
      <c r="O711" t="s">
        <v>3707</v>
      </c>
      <c r="P711" s="2">
        <f t="shared" si="55"/>
        <v>45716</v>
      </c>
      <c r="Q711" t="str">
        <f t="shared" si="56"/>
        <v>Shayak Chada</v>
      </c>
      <c r="R711" t="str">
        <f t="shared" si="57"/>
        <v>Mumbai</v>
      </c>
      <c r="S711" t="str">
        <f t="shared" si="58"/>
        <v>Maharashtra</v>
      </c>
      <c r="T711">
        <f t="shared" si="59"/>
        <v>72000</v>
      </c>
    </row>
    <row r="712" spans="1:20" x14ac:dyDescent="0.35">
      <c r="A712" t="s">
        <v>725</v>
      </c>
      <c r="B712" t="s">
        <v>1542</v>
      </c>
      <c r="C712" t="s">
        <v>1895</v>
      </c>
      <c r="D712" t="s">
        <v>3189</v>
      </c>
      <c r="E712" t="s">
        <v>3671</v>
      </c>
      <c r="F712">
        <v>51</v>
      </c>
      <c r="G712" t="s">
        <v>3673</v>
      </c>
      <c r="H712" t="s">
        <v>3673</v>
      </c>
      <c r="I712" t="s">
        <v>3687</v>
      </c>
      <c r="J712" t="s">
        <v>3693</v>
      </c>
      <c r="K712" t="s">
        <v>3697</v>
      </c>
      <c r="L712">
        <v>4</v>
      </c>
      <c r="M712">
        <v>5000</v>
      </c>
      <c r="N712" t="s">
        <v>3702</v>
      </c>
      <c r="O712" t="s">
        <v>3707</v>
      </c>
      <c r="P712" s="2">
        <f t="shared" si="55"/>
        <v>45998</v>
      </c>
      <c r="Q712" t="str">
        <f t="shared" si="56"/>
        <v>Navya Rajagopal</v>
      </c>
      <c r="R712" t="str">
        <f t="shared" si="57"/>
        <v>Delhi</v>
      </c>
      <c r="S712" t="str">
        <f t="shared" si="58"/>
        <v>Delhi</v>
      </c>
      <c r="T712">
        <f t="shared" si="59"/>
        <v>20000</v>
      </c>
    </row>
    <row r="713" spans="1:20" x14ac:dyDescent="0.35">
      <c r="A713" t="s">
        <v>726</v>
      </c>
      <c r="B713" t="s">
        <v>1433</v>
      </c>
      <c r="C713" t="s">
        <v>2301</v>
      </c>
      <c r="D713" t="s">
        <v>3190</v>
      </c>
      <c r="E713" t="s">
        <v>3672</v>
      </c>
      <c r="F713">
        <v>28</v>
      </c>
      <c r="G713" t="s">
        <v>3677</v>
      </c>
      <c r="H713" t="s">
        <v>3680</v>
      </c>
      <c r="I713" t="s">
        <v>3688</v>
      </c>
      <c r="J713" t="s">
        <v>3694</v>
      </c>
      <c r="K713" t="s">
        <v>3698</v>
      </c>
      <c r="L713">
        <v>5</v>
      </c>
      <c r="M713">
        <v>4500</v>
      </c>
      <c r="N713" t="s">
        <v>3701</v>
      </c>
      <c r="O713" t="s">
        <v>3706</v>
      </c>
      <c r="P713" s="2">
        <f t="shared" si="55"/>
        <v>45784</v>
      </c>
      <c r="Q713" t="str">
        <f t="shared" si="56"/>
        <v>Anya Comar</v>
      </c>
      <c r="R713" t="str">
        <f t="shared" si="57"/>
        <v>Mumbai</v>
      </c>
      <c r="S713" t="str">
        <f t="shared" si="58"/>
        <v>Maharashtra</v>
      </c>
      <c r="T713">
        <f t="shared" si="59"/>
        <v>22500</v>
      </c>
    </row>
    <row r="714" spans="1:20" x14ac:dyDescent="0.35">
      <c r="A714" t="s">
        <v>727</v>
      </c>
      <c r="B714" t="s">
        <v>1654</v>
      </c>
      <c r="C714" t="s">
        <v>2302</v>
      </c>
      <c r="D714" t="s">
        <v>3191</v>
      </c>
      <c r="E714" t="s">
        <v>3671</v>
      </c>
      <c r="F714">
        <v>51</v>
      </c>
      <c r="G714" t="s">
        <v>3676</v>
      </c>
      <c r="H714" t="s">
        <v>3682</v>
      </c>
      <c r="I714" t="s">
        <v>3691</v>
      </c>
      <c r="J714" t="s">
        <v>3693</v>
      </c>
      <c r="K714" t="s">
        <v>3696</v>
      </c>
      <c r="L714">
        <v>1</v>
      </c>
      <c r="M714">
        <v>58000</v>
      </c>
      <c r="N714" t="s">
        <v>3704</v>
      </c>
      <c r="O714" t="s">
        <v>3706</v>
      </c>
      <c r="P714" s="2">
        <f t="shared" si="55"/>
        <v>45969</v>
      </c>
      <c r="Q714" t="str">
        <f t="shared" si="56"/>
        <v>Ryan Bail</v>
      </c>
      <c r="R714" t="str">
        <f t="shared" si="57"/>
        <v>Chennai</v>
      </c>
      <c r="S714" t="str">
        <f t="shared" si="58"/>
        <v>Tamil Nadu</v>
      </c>
      <c r="T714">
        <f t="shared" si="59"/>
        <v>58000</v>
      </c>
    </row>
    <row r="715" spans="1:20" x14ac:dyDescent="0.35">
      <c r="A715" t="s">
        <v>728</v>
      </c>
      <c r="B715" t="s">
        <v>1421</v>
      </c>
      <c r="C715" t="s">
        <v>2220</v>
      </c>
      <c r="D715" t="s">
        <v>3192</v>
      </c>
      <c r="E715" t="s">
        <v>3672</v>
      </c>
      <c r="F715">
        <v>49</v>
      </c>
      <c r="G715" t="s">
        <v>3673</v>
      </c>
      <c r="H715" t="s">
        <v>3673</v>
      </c>
      <c r="I715" t="s">
        <v>3688</v>
      </c>
      <c r="J715" t="s">
        <v>3694</v>
      </c>
      <c r="K715" t="s">
        <v>3698</v>
      </c>
      <c r="L715">
        <v>4</v>
      </c>
      <c r="M715">
        <v>4500</v>
      </c>
      <c r="N715" t="s">
        <v>3702</v>
      </c>
      <c r="O715" t="s">
        <v>3707</v>
      </c>
      <c r="P715" s="2">
        <f t="shared" si="55"/>
        <v>45770</v>
      </c>
      <c r="Q715" t="str">
        <f t="shared" si="56"/>
        <v>Zara Wable</v>
      </c>
      <c r="R715" t="str">
        <f t="shared" si="57"/>
        <v>Delhi</v>
      </c>
      <c r="S715" t="str">
        <f t="shared" si="58"/>
        <v>Delhi</v>
      </c>
      <c r="T715">
        <f t="shared" si="59"/>
        <v>18000</v>
      </c>
    </row>
    <row r="716" spans="1:20" x14ac:dyDescent="0.35">
      <c r="A716" t="s">
        <v>729</v>
      </c>
      <c r="B716" t="s">
        <v>1223</v>
      </c>
      <c r="C716" t="s">
        <v>2303</v>
      </c>
      <c r="D716" t="s">
        <v>3193</v>
      </c>
      <c r="E716" t="s">
        <v>3671</v>
      </c>
      <c r="F716">
        <v>45</v>
      </c>
      <c r="G716" t="s">
        <v>3674</v>
      </c>
      <c r="H716" t="s">
        <v>3680</v>
      </c>
      <c r="I716" t="s">
        <v>3685</v>
      </c>
      <c r="J716" t="s">
        <v>3692</v>
      </c>
      <c r="K716" t="s">
        <v>3695</v>
      </c>
      <c r="L716">
        <v>2</v>
      </c>
      <c r="M716">
        <v>12000</v>
      </c>
      <c r="N716" t="s">
        <v>3704</v>
      </c>
      <c r="O716" t="s">
        <v>3706</v>
      </c>
      <c r="P716" s="2">
        <f t="shared" si="55"/>
        <v>45789</v>
      </c>
      <c r="Q716" t="str">
        <f t="shared" si="56"/>
        <v>Dishani Batta</v>
      </c>
      <c r="R716" t="str">
        <f t="shared" si="57"/>
        <v>Pune</v>
      </c>
      <c r="S716" t="str">
        <f t="shared" si="58"/>
        <v>Maharashtra</v>
      </c>
      <c r="T716">
        <f t="shared" si="59"/>
        <v>24000</v>
      </c>
    </row>
    <row r="717" spans="1:20" x14ac:dyDescent="0.35">
      <c r="A717" t="s">
        <v>730</v>
      </c>
      <c r="B717" t="s">
        <v>1593</v>
      </c>
      <c r="C717" t="s">
        <v>2304</v>
      </c>
      <c r="D717" t="s">
        <v>3194</v>
      </c>
      <c r="E717" t="s">
        <v>3671</v>
      </c>
      <c r="F717">
        <v>44</v>
      </c>
      <c r="G717" t="s">
        <v>3677</v>
      </c>
      <c r="H717" t="s">
        <v>3680</v>
      </c>
      <c r="I717" t="s">
        <v>3689</v>
      </c>
      <c r="J717" t="s">
        <v>3694</v>
      </c>
      <c r="K717" t="s">
        <v>3699</v>
      </c>
      <c r="L717">
        <v>5</v>
      </c>
      <c r="M717">
        <v>1800</v>
      </c>
      <c r="N717" t="s">
        <v>3702</v>
      </c>
      <c r="O717" t="s">
        <v>3707</v>
      </c>
      <c r="P717" s="2">
        <f t="shared" si="55"/>
        <v>45733</v>
      </c>
      <c r="Q717" t="str">
        <f t="shared" si="56"/>
        <v>Dhanush Rajagopalan</v>
      </c>
      <c r="R717" t="str">
        <f t="shared" si="57"/>
        <v>Mumbai</v>
      </c>
      <c r="S717" t="str">
        <f t="shared" si="58"/>
        <v>Maharashtra</v>
      </c>
      <c r="T717">
        <f t="shared" si="59"/>
        <v>9000</v>
      </c>
    </row>
    <row r="718" spans="1:20" x14ac:dyDescent="0.35">
      <c r="A718" t="s">
        <v>731</v>
      </c>
      <c r="B718" t="s">
        <v>1453</v>
      </c>
      <c r="C718" t="s">
        <v>1835</v>
      </c>
      <c r="D718" t="s">
        <v>3195</v>
      </c>
      <c r="E718" t="s">
        <v>3672</v>
      </c>
      <c r="F718">
        <v>20</v>
      </c>
      <c r="G718" t="s">
        <v>3677</v>
      </c>
      <c r="H718" t="s">
        <v>3680</v>
      </c>
      <c r="I718" t="s">
        <v>3688</v>
      </c>
      <c r="J718" t="s">
        <v>3694</v>
      </c>
      <c r="K718" t="s">
        <v>3698</v>
      </c>
      <c r="L718">
        <v>5</v>
      </c>
      <c r="M718">
        <v>4500</v>
      </c>
      <c r="N718" t="s">
        <v>3703</v>
      </c>
      <c r="O718" t="s">
        <v>3707</v>
      </c>
      <c r="P718" s="2">
        <f t="shared" si="55"/>
        <v>45717</v>
      </c>
      <c r="Q718" t="str">
        <f t="shared" si="56"/>
        <v>Kashvi Krishnamurthy</v>
      </c>
      <c r="R718" t="str">
        <f t="shared" si="57"/>
        <v>Mumbai</v>
      </c>
      <c r="S718" t="str">
        <f t="shared" si="58"/>
        <v>Maharashtra</v>
      </c>
      <c r="T718">
        <f t="shared" si="59"/>
        <v>22500</v>
      </c>
    </row>
    <row r="719" spans="1:20" x14ac:dyDescent="0.35">
      <c r="A719" t="s">
        <v>732</v>
      </c>
      <c r="B719" t="s">
        <v>1661</v>
      </c>
      <c r="C719" t="s">
        <v>2305</v>
      </c>
      <c r="D719" t="s">
        <v>2876</v>
      </c>
      <c r="E719" t="s">
        <v>3671</v>
      </c>
      <c r="F719">
        <v>23</v>
      </c>
      <c r="G719" t="s">
        <v>3679</v>
      </c>
      <c r="H719" t="s">
        <v>3684</v>
      </c>
      <c r="I719" t="s">
        <v>3686</v>
      </c>
      <c r="J719" t="s">
        <v>3693</v>
      </c>
      <c r="K719" t="s">
        <v>3696</v>
      </c>
      <c r="L719">
        <v>2</v>
      </c>
      <c r="M719">
        <v>65000</v>
      </c>
      <c r="N719" t="s">
        <v>3704</v>
      </c>
      <c r="O719" t="s">
        <v>3706</v>
      </c>
      <c r="P719" s="2">
        <f t="shared" si="55"/>
        <v>45735</v>
      </c>
      <c r="Q719" t="str">
        <f t="shared" si="56"/>
        <v>Eva Dube</v>
      </c>
      <c r="R719" t="str">
        <f t="shared" si="57"/>
        <v>Bengaluru</v>
      </c>
      <c r="S719" t="str">
        <f t="shared" si="58"/>
        <v>Karnataka</v>
      </c>
      <c r="T719">
        <f t="shared" si="59"/>
        <v>130000</v>
      </c>
    </row>
    <row r="720" spans="1:20" x14ac:dyDescent="0.35">
      <c r="A720" t="s">
        <v>733</v>
      </c>
      <c r="B720" t="s">
        <v>1476</v>
      </c>
      <c r="C720" t="s">
        <v>2306</v>
      </c>
      <c r="D720" t="s">
        <v>3196</v>
      </c>
      <c r="E720" t="s">
        <v>3672</v>
      </c>
      <c r="F720">
        <v>19</v>
      </c>
      <c r="G720" t="s">
        <v>3679</v>
      </c>
      <c r="H720" t="s">
        <v>3684</v>
      </c>
      <c r="I720" t="s">
        <v>3686</v>
      </c>
      <c r="J720" t="s">
        <v>3693</v>
      </c>
      <c r="K720" t="s">
        <v>3696</v>
      </c>
      <c r="L720">
        <v>5</v>
      </c>
      <c r="M720">
        <v>65000</v>
      </c>
      <c r="N720" t="s">
        <v>3701</v>
      </c>
      <c r="O720" t="s">
        <v>3705</v>
      </c>
      <c r="P720" s="2">
        <f t="shared" si="55"/>
        <v>46009</v>
      </c>
      <c r="Q720" t="str">
        <f t="shared" si="56"/>
        <v>Samar Sahni</v>
      </c>
      <c r="R720" t="str">
        <f t="shared" si="57"/>
        <v>Bengaluru</v>
      </c>
      <c r="S720" t="str">
        <f t="shared" si="58"/>
        <v>Karnataka</v>
      </c>
      <c r="T720">
        <f t="shared" si="59"/>
        <v>325000</v>
      </c>
    </row>
    <row r="721" spans="1:20" x14ac:dyDescent="0.35">
      <c r="A721" t="s">
        <v>734</v>
      </c>
      <c r="B721" t="s">
        <v>1384</v>
      </c>
      <c r="C721" t="s">
        <v>2307</v>
      </c>
      <c r="D721" t="s">
        <v>3197</v>
      </c>
      <c r="E721" t="s">
        <v>3671</v>
      </c>
      <c r="F721">
        <v>53</v>
      </c>
      <c r="G721" t="s">
        <v>3679</v>
      </c>
      <c r="H721" t="s">
        <v>3684</v>
      </c>
      <c r="I721" t="s">
        <v>3689</v>
      </c>
      <c r="J721" t="s">
        <v>3694</v>
      </c>
      <c r="K721" t="s">
        <v>3699</v>
      </c>
      <c r="L721">
        <v>2</v>
      </c>
      <c r="M721">
        <v>1800</v>
      </c>
      <c r="N721" t="s">
        <v>3703</v>
      </c>
      <c r="O721" t="s">
        <v>3707</v>
      </c>
      <c r="P721" s="2">
        <f t="shared" si="55"/>
        <v>45891</v>
      </c>
      <c r="Q721" t="str">
        <f t="shared" si="56"/>
        <v>Anya Sarna</v>
      </c>
      <c r="R721" t="str">
        <f t="shared" si="57"/>
        <v>Bengaluru</v>
      </c>
      <c r="S721" t="str">
        <f t="shared" si="58"/>
        <v>Karnataka</v>
      </c>
      <c r="T721">
        <f t="shared" si="59"/>
        <v>3600</v>
      </c>
    </row>
    <row r="722" spans="1:20" x14ac:dyDescent="0.35">
      <c r="A722" t="s">
        <v>735</v>
      </c>
      <c r="B722" t="s">
        <v>1661</v>
      </c>
      <c r="C722" t="s">
        <v>2308</v>
      </c>
      <c r="D722" t="s">
        <v>3198</v>
      </c>
      <c r="E722" t="s">
        <v>3671</v>
      </c>
      <c r="F722">
        <v>33</v>
      </c>
      <c r="G722" t="s">
        <v>3674</v>
      </c>
      <c r="H722" t="s">
        <v>3680</v>
      </c>
      <c r="I722" t="s">
        <v>3685</v>
      </c>
      <c r="J722" t="s">
        <v>3692</v>
      </c>
      <c r="K722" t="s">
        <v>3695</v>
      </c>
      <c r="L722">
        <v>1</v>
      </c>
      <c r="M722">
        <v>12000</v>
      </c>
      <c r="N722" t="s">
        <v>3703</v>
      </c>
      <c r="O722" t="s">
        <v>3707</v>
      </c>
      <c r="P722" s="2">
        <f t="shared" si="55"/>
        <v>45735</v>
      </c>
      <c r="Q722" t="str">
        <f t="shared" si="56"/>
        <v>Indranil Jayaraman</v>
      </c>
      <c r="R722" t="str">
        <f t="shared" si="57"/>
        <v>Pune</v>
      </c>
      <c r="S722" t="str">
        <f t="shared" si="58"/>
        <v>Maharashtra</v>
      </c>
      <c r="T722">
        <f t="shared" si="59"/>
        <v>12000</v>
      </c>
    </row>
    <row r="723" spans="1:20" x14ac:dyDescent="0.35">
      <c r="A723" t="s">
        <v>736</v>
      </c>
      <c r="B723" t="s">
        <v>1398</v>
      </c>
      <c r="C723" t="s">
        <v>2267</v>
      </c>
      <c r="D723" t="s">
        <v>3199</v>
      </c>
      <c r="E723" t="s">
        <v>3671</v>
      </c>
      <c r="F723">
        <v>49</v>
      </c>
      <c r="G723" t="s">
        <v>3678</v>
      </c>
      <c r="H723" t="s">
        <v>3683</v>
      </c>
      <c r="I723" t="s">
        <v>3687</v>
      </c>
      <c r="J723" t="s">
        <v>3693</v>
      </c>
      <c r="K723" t="s">
        <v>3697</v>
      </c>
      <c r="L723">
        <v>3</v>
      </c>
      <c r="M723">
        <v>5000</v>
      </c>
      <c r="N723" t="s">
        <v>3702</v>
      </c>
      <c r="O723" t="s">
        <v>3706</v>
      </c>
      <c r="P723" s="2">
        <f t="shared" si="55"/>
        <v>45668</v>
      </c>
      <c r="Q723" t="str">
        <f t="shared" si="56"/>
        <v>Seher Sama</v>
      </c>
      <c r="R723" t="str">
        <f t="shared" si="57"/>
        <v>Hyderabad</v>
      </c>
      <c r="S723" t="str">
        <f t="shared" si="58"/>
        <v>Telangana</v>
      </c>
      <c r="T723">
        <f t="shared" si="59"/>
        <v>15000</v>
      </c>
    </row>
    <row r="724" spans="1:20" x14ac:dyDescent="0.35">
      <c r="A724" t="s">
        <v>737</v>
      </c>
      <c r="B724" t="s">
        <v>1489</v>
      </c>
      <c r="C724" t="s">
        <v>2303</v>
      </c>
      <c r="D724" t="s">
        <v>3200</v>
      </c>
      <c r="E724" t="s">
        <v>3672</v>
      </c>
      <c r="F724">
        <v>44</v>
      </c>
      <c r="G724" t="s">
        <v>3673</v>
      </c>
      <c r="H724" t="s">
        <v>3673</v>
      </c>
      <c r="I724" t="s">
        <v>3689</v>
      </c>
      <c r="J724" t="s">
        <v>3694</v>
      </c>
      <c r="K724" t="s">
        <v>3699</v>
      </c>
      <c r="L724">
        <v>5</v>
      </c>
      <c r="M724">
        <v>1800</v>
      </c>
      <c r="N724" t="s">
        <v>3701</v>
      </c>
      <c r="O724" t="s">
        <v>3706</v>
      </c>
      <c r="P724" s="2">
        <f t="shared" si="55"/>
        <v>45815</v>
      </c>
      <c r="Q724" t="str">
        <f t="shared" si="56"/>
        <v>Vritika Ratti</v>
      </c>
      <c r="R724" t="str">
        <f t="shared" si="57"/>
        <v>Delhi</v>
      </c>
      <c r="S724" t="str">
        <f t="shared" si="58"/>
        <v>Delhi</v>
      </c>
      <c r="T724">
        <f t="shared" si="59"/>
        <v>9000</v>
      </c>
    </row>
    <row r="725" spans="1:20" x14ac:dyDescent="0.35">
      <c r="A725" t="s">
        <v>738</v>
      </c>
      <c r="B725" t="s">
        <v>1318</v>
      </c>
      <c r="C725" t="s">
        <v>2309</v>
      </c>
      <c r="D725" t="s">
        <v>3201</v>
      </c>
      <c r="E725" t="s">
        <v>3672</v>
      </c>
      <c r="F725">
        <v>52</v>
      </c>
      <c r="G725" t="s">
        <v>3675</v>
      </c>
      <c r="H725" t="s">
        <v>3681</v>
      </c>
      <c r="I725" t="s">
        <v>3688</v>
      </c>
      <c r="J725" t="s">
        <v>3694</v>
      </c>
      <c r="K725" t="s">
        <v>3698</v>
      </c>
      <c r="L725">
        <v>4</v>
      </c>
      <c r="M725">
        <v>4500</v>
      </c>
      <c r="N725" t="s">
        <v>3703</v>
      </c>
      <c r="O725" t="s">
        <v>3706</v>
      </c>
      <c r="P725" s="2">
        <f t="shared" si="55"/>
        <v>45941</v>
      </c>
      <c r="Q725" t="str">
        <f t="shared" si="56"/>
        <v>Fateh Contractor</v>
      </c>
      <c r="R725" t="str">
        <f t="shared" si="57"/>
        <v>Kolkata</v>
      </c>
      <c r="S725" t="str">
        <f t="shared" si="58"/>
        <v>West Bengal</v>
      </c>
      <c r="T725">
        <f t="shared" si="59"/>
        <v>18000</v>
      </c>
    </row>
    <row r="726" spans="1:20" x14ac:dyDescent="0.35">
      <c r="A726" t="s">
        <v>739</v>
      </c>
      <c r="B726" t="s">
        <v>1596</v>
      </c>
      <c r="C726" t="s">
        <v>2259</v>
      </c>
      <c r="D726" t="s">
        <v>3202</v>
      </c>
      <c r="E726" t="s">
        <v>3671</v>
      </c>
      <c r="F726">
        <v>52</v>
      </c>
      <c r="G726" t="s">
        <v>3675</v>
      </c>
      <c r="H726" t="s">
        <v>3681</v>
      </c>
      <c r="I726" t="s">
        <v>3687</v>
      </c>
      <c r="J726" t="s">
        <v>3693</v>
      </c>
      <c r="K726" t="s">
        <v>3697</v>
      </c>
      <c r="L726">
        <v>5</v>
      </c>
      <c r="M726">
        <v>5000</v>
      </c>
      <c r="N726" t="s">
        <v>3701</v>
      </c>
      <c r="O726" t="s">
        <v>3706</v>
      </c>
      <c r="P726" s="2">
        <f t="shared" si="55"/>
        <v>45911</v>
      </c>
      <c r="Q726" t="str">
        <f t="shared" si="56"/>
        <v>Sara Karnik</v>
      </c>
      <c r="R726" t="str">
        <f t="shared" si="57"/>
        <v>Kolkata</v>
      </c>
      <c r="S726" t="str">
        <f t="shared" si="58"/>
        <v>West Bengal</v>
      </c>
      <c r="T726">
        <f t="shared" si="59"/>
        <v>25000</v>
      </c>
    </row>
    <row r="727" spans="1:20" x14ac:dyDescent="0.35">
      <c r="A727" t="s">
        <v>740</v>
      </c>
      <c r="B727" t="s">
        <v>1662</v>
      </c>
      <c r="C727" t="s">
        <v>1827</v>
      </c>
      <c r="D727" t="s">
        <v>3203</v>
      </c>
      <c r="E727" t="s">
        <v>3672</v>
      </c>
      <c r="F727">
        <v>37</v>
      </c>
      <c r="G727" t="s">
        <v>3676</v>
      </c>
      <c r="H727" t="s">
        <v>3682</v>
      </c>
      <c r="I727" t="s">
        <v>3688</v>
      </c>
      <c r="J727" t="s">
        <v>3694</v>
      </c>
      <c r="K727" t="s">
        <v>3698</v>
      </c>
      <c r="L727">
        <v>4</v>
      </c>
      <c r="M727">
        <v>4500</v>
      </c>
      <c r="N727" t="s">
        <v>3702</v>
      </c>
      <c r="O727" t="s">
        <v>3706</v>
      </c>
      <c r="P727" s="2">
        <f t="shared" si="55"/>
        <v>45738</v>
      </c>
      <c r="Q727" t="str">
        <f t="shared" si="56"/>
        <v>Kabir Chaudhuri</v>
      </c>
      <c r="R727" t="str">
        <f t="shared" si="57"/>
        <v>Chennai</v>
      </c>
      <c r="S727" t="str">
        <f t="shared" si="58"/>
        <v>Tamil Nadu</v>
      </c>
      <c r="T727">
        <f t="shared" si="59"/>
        <v>18000</v>
      </c>
    </row>
    <row r="728" spans="1:20" x14ac:dyDescent="0.35">
      <c r="A728" t="s">
        <v>741</v>
      </c>
      <c r="B728" t="s">
        <v>1434</v>
      </c>
      <c r="C728" t="s">
        <v>2310</v>
      </c>
      <c r="D728" t="s">
        <v>3204</v>
      </c>
      <c r="E728" t="s">
        <v>3672</v>
      </c>
      <c r="F728">
        <v>31</v>
      </c>
      <c r="G728" t="s">
        <v>3677</v>
      </c>
      <c r="H728" t="s">
        <v>3680</v>
      </c>
      <c r="I728" t="s">
        <v>3687</v>
      </c>
      <c r="J728" t="s">
        <v>3693</v>
      </c>
      <c r="K728" t="s">
        <v>3697</v>
      </c>
      <c r="L728">
        <v>2</v>
      </c>
      <c r="M728">
        <v>5000</v>
      </c>
      <c r="N728" t="s">
        <v>3701</v>
      </c>
      <c r="O728" t="s">
        <v>3706</v>
      </c>
      <c r="P728" s="2">
        <f t="shared" si="55"/>
        <v>45736</v>
      </c>
      <c r="Q728" t="str">
        <f t="shared" si="56"/>
        <v>Nakul Sem</v>
      </c>
      <c r="R728" t="str">
        <f t="shared" si="57"/>
        <v>Mumbai</v>
      </c>
      <c r="S728" t="str">
        <f t="shared" si="58"/>
        <v>Maharashtra</v>
      </c>
      <c r="T728">
        <f t="shared" si="59"/>
        <v>10000</v>
      </c>
    </row>
    <row r="729" spans="1:20" x14ac:dyDescent="0.35">
      <c r="A729" t="s">
        <v>742</v>
      </c>
      <c r="B729" t="s">
        <v>1663</v>
      </c>
      <c r="C729" t="s">
        <v>2311</v>
      </c>
      <c r="D729" t="s">
        <v>3205</v>
      </c>
      <c r="E729" t="s">
        <v>3671</v>
      </c>
      <c r="F729">
        <v>21</v>
      </c>
      <c r="G729" t="s">
        <v>3679</v>
      </c>
      <c r="H729" t="s">
        <v>3684</v>
      </c>
      <c r="I729" t="s">
        <v>3691</v>
      </c>
      <c r="J729" t="s">
        <v>3693</v>
      </c>
      <c r="K729" t="s">
        <v>3696</v>
      </c>
      <c r="L729">
        <v>2</v>
      </c>
      <c r="M729">
        <v>58000</v>
      </c>
      <c r="N729" t="s">
        <v>3701</v>
      </c>
      <c r="O729" t="s">
        <v>3707</v>
      </c>
      <c r="P729" s="2">
        <f t="shared" si="55"/>
        <v>45985</v>
      </c>
      <c r="Q729" t="str">
        <f t="shared" si="56"/>
        <v>Ojas Bajwa</v>
      </c>
      <c r="R729" t="str">
        <f t="shared" si="57"/>
        <v>Bengaluru</v>
      </c>
      <c r="S729" t="str">
        <f t="shared" si="58"/>
        <v>Karnataka</v>
      </c>
      <c r="T729">
        <f t="shared" si="59"/>
        <v>116000</v>
      </c>
    </row>
    <row r="730" spans="1:20" x14ac:dyDescent="0.35">
      <c r="A730" t="s">
        <v>743</v>
      </c>
      <c r="B730" t="s">
        <v>1664</v>
      </c>
      <c r="C730" t="s">
        <v>2312</v>
      </c>
      <c r="D730" t="s">
        <v>3206</v>
      </c>
      <c r="E730" t="s">
        <v>3671</v>
      </c>
      <c r="F730">
        <v>52</v>
      </c>
      <c r="G730" t="s">
        <v>3679</v>
      </c>
      <c r="H730" t="s">
        <v>3684</v>
      </c>
      <c r="I730" t="s">
        <v>3690</v>
      </c>
      <c r="J730" t="s">
        <v>3693</v>
      </c>
      <c r="K730" t="s">
        <v>3700</v>
      </c>
      <c r="L730">
        <v>1</v>
      </c>
      <c r="M730">
        <v>72000</v>
      </c>
      <c r="N730" t="s">
        <v>3703</v>
      </c>
      <c r="O730" t="s">
        <v>3705</v>
      </c>
      <c r="P730" s="2">
        <f t="shared" si="55"/>
        <v>45661</v>
      </c>
      <c r="Q730" t="str">
        <f t="shared" si="56"/>
        <v>Lavanya Apte</v>
      </c>
      <c r="R730" t="str">
        <f t="shared" si="57"/>
        <v>Bengaluru</v>
      </c>
      <c r="S730" t="str">
        <f t="shared" si="58"/>
        <v>Karnataka</v>
      </c>
      <c r="T730">
        <f t="shared" si="59"/>
        <v>72000</v>
      </c>
    </row>
    <row r="731" spans="1:20" x14ac:dyDescent="0.35">
      <c r="A731" t="s">
        <v>744</v>
      </c>
      <c r="B731" t="s">
        <v>1569</v>
      </c>
      <c r="C731" t="s">
        <v>2070</v>
      </c>
      <c r="D731" t="s">
        <v>3207</v>
      </c>
      <c r="E731" t="s">
        <v>3672</v>
      </c>
      <c r="F731">
        <v>31</v>
      </c>
      <c r="G731" t="s">
        <v>3677</v>
      </c>
      <c r="H731" t="s">
        <v>3680</v>
      </c>
      <c r="I731" t="s">
        <v>3686</v>
      </c>
      <c r="J731" t="s">
        <v>3693</v>
      </c>
      <c r="K731" t="s">
        <v>3696</v>
      </c>
      <c r="L731">
        <v>5</v>
      </c>
      <c r="M731">
        <v>65000</v>
      </c>
      <c r="N731" t="s">
        <v>3702</v>
      </c>
      <c r="O731" t="s">
        <v>3707</v>
      </c>
      <c r="P731" s="2">
        <f t="shared" si="55"/>
        <v>45996</v>
      </c>
      <c r="Q731" t="str">
        <f t="shared" si="56"/>
        <v>Darshit Chaudhari</v>
      </c>
      <c r="R731" t="str">
        <f t="shared" si="57"/>
        <v>Mumbai</v>
      </c>
      <c r="S731" t="str">
        <f t="shared" si="58"/>
        <v>Maharashtra</v>
      </c>
      <c r="T731">
        <f t="shared" si="59"/>
        <v>325000</v>
      </c>
    </row>
    <row r="732" spans="1:20" x14ac:dyDescent="0.35">
      <c r="A732" t="s">
        <v>745</v>
      </c>
      <c r="B732" t="s">
        <v>1665</v>
      </c>
      <c r="C732" t="s">
        <v>2011</v>
      </c>
      <c r="D732" t="s">
        <v>3208</v>
      </c>
      <c r="E732" t="s">
        <v>3672</v>
      </c>
      <c r="F732">
        <v>57</v>
      </c>
      <c r="G732" t="s">
        <v>3673</v>
      </c>
      <c r="H732" t="s">
        <v>3673</v>
      </c>
      <c r="I732" t="s">
        <v>3691</v>
      </c>
      <c r="J732" t="s">
        <v>3693</v>
      </c>
      <c r="K732" t="s">
        <v>3696</v>
      </c>
      <c r="L732">
        <v>2</v>
      </c>
      <c r="M732">
        <v>58000</v>
      </c>
      <c r="N732" t="s">
        <v>3701</v>
      </c>
      <c r="O732" t="s">
        <v>3706</v>
      </c>
      <c r="P732" s="2">
        <f t="shared" si="55"/>
        <v>45719</v>
      </c>
      <c r="Q732" t="str">
        <f t="shared" si="56"/>
        <v>Pihu Lad</v>
      </c>
      <c r="R732" t="str">
        <f t="shared" si="57"/>
        <v>Delhi</v>
      </c>
      <c r="S732" t="str">
        <f t="shared" si="58"/>
        <v>Delhi</v>
      </c>
      <c r="T732">
        <f t="shared" si="59"/>
        <v>116000</v>
      </c>
    </row>
    <row r="733" spans="1:20" x14ac:dyDescent="0.35">
      <c r="A733" t="s">
        <v>746</v>
      </c>
      <c r="B733" t="s">
        <v>1666</v>
      </c>
      <c r="C733" t="s">
        <v>2313</v>
      </c>
      <c r="D733" t="s">
        <v>3209</v>
      </c>
      <c r="E733" t="s">
        <v>3671</v>
      </c>
      <c r="F733">
        <v>60</v>
      </c>
      <c r="G733" t="s">
        <v>3673</v>
      </c>
      <c r="H733" t="s">
        <v>3673</v>
      </c>
      <c r="I733" t="s">
        <v>3688</v>
      </c>
      <c r="J733" t="s">
        <v>3694</v>
      </c>
      <c r="K733" t="s">
        <v>3698</v>
      </c>
      <c r="L733">
        <v>3</v>
      </c>
      <c r="M733">
        <v>4500</v>
      </c>
      <c r="N733" t="s">
        <v>3704</v>
      </c>
      <c r="O733" t="s">
        <v>3707</v>
      </c>
      <c r="P733" s="2">
        <f t="shared" si="55"/>
        <v>45957</v>
      </c>
      <c r="Q733" t="str">
        <f t="shared" si="56"/>
        <v>Prerak Lad</v>
      </c>
      <c r="R733" t="str">
        <f t="shared" si="57"/>
        <v>Delhi</v>
      </c>
      <c r="S733" t="str">
        <f t="shared" si="58"/>
        <v>Delhi</v>
      </c>
      <c r="T733">
        <f t="shared" si="59"/>
        <v>13500</v>
      </c>
    </row>
    <row r="734" spans="1:20" x14ac:dyDescent="0.35">
      <c r="A734" t="s">
        <v>747</v>
      </c>
      <c r="B734" t="s">
        <v>1667</v>
      </c>
      <c r="C734" t="s">
        <v>2314</v>
      </c>
      <c r="D734" t="s">
        <v>3210</v>
      </c>
      <c r="E734" t="s">
        <v>3672</v>
      </c>
      <c r="F734">
        <v>28</v>
      </c>
      <c r="G734" t="s">
        <v>3673</v>
      </c>
      <c r="H734" t="s">
        <v>3673</v>
      </c>
      <c r="I734" t="s">
        <v>3687</v>
      </c>
      <c r="J734" t="s">
        <v>3693</v>
      </c>
      <c r="K734" t="s">
        <v>3697</v>
      </c>
      <c r="L734">
        <v>2</v>
      </c>
      <c r="M734">
        <v>5000</v>
      </c>
      <c r="N734" t="s">
        <v>3704</v>
      </c>
      <c r="O734" t="s">
        <v>3707</v>
      </c>
      <c r="P734" s="2">
        <f t="shared" si="55"/>
        <v>45907</v>
      </c>
      <c r="Q734" t="str">
        <f t="shared" si="56"/>
        <v>Lavanya Agate</v>
      </c>
      <c r="R734" t="str">
        <f t="shared" si="57"/>
        <v>Delhi</v>
      </c>
      <c r="S734" t="str">
        <f t="shared" si="58"/>
        <v>Delhi</v>
      </c>
      <c r="T734">
        <f t="shared" si="59"/>
        <v>10000</v>
      </c>
    </row>
    <row r="735" spans="1:20" x14ac:dyDescent="0.35">
      <c r="A735" t="s">
        <v>748</v>
      </c>
      <c r="B735" t="s">
        <v>1455</v>
      </c>
      <c r="C735" t="s">
        <v>2315</v>
      </c>
      <c r="D735" t="s">
        <v>3211</v>
      </c>
      <c r="E735" t="s">
        <v>3672</v>
      </c>
      <c r="F735">
        <v>33</v>
      </c>
      <c r="G735" t="s">
        <v>3673</v>
      </c>
      <c r="H735" t="s">
        <v>3673</v>
      </c>
      <c r="I735" t="s">
        <v>3686</v>
      </c>
      <c r="J735" t="s">
        <v>3693</v>
      </c>
      <c r="K735" t="s">
        <v>3696</v>
      </c>
      <c r="L735">
        <v>5</v>
      </c>
      <c r="M735">
        <v>65000</v>
      </c>
      <c r="N735" t="s">
        <v>3702</v>
      </c>
      <c r="O735" t="s">
        <v>3706</v>
      </c>
      <c r="P735" s="2">
        <f t="shared" si="55"/>
        <v>45891</v>
      </c>
      <c r="Q735" t="str">
        <f t="shared" si="56"/>
        <v>Siya Soni</v>
      </c>
      <c r="R735" t="str">
        <f t="shared" si="57"/>
        <v>Delhi</v>
      </c>
      <c r="S735" t="str">
        <f t="shared" si="58"/>
        <v>Delhi</v>
      </c>
      <c r="T735">
        <f t="shared" si="59"/>
        <v>325000</v>
      </c>
    </row>
    <row r="736" spans="1:20" x14ac:dyDescent="0.35">
      <c r="A736" t="s">
        <v>749</v>
      </c>
      <c r="B736" t="s">
        <v>1354</v>
      </c>
      <c r="C736" t="s">
        <v>2192</v>
      </c>
      <c r="D736" t="s">
        <v>3212</v>
      </c>
      <c r="E736" t="s">
        <v>3671</v>
      </c>
      <c r="F736">
        <v>22</v>
      </c>
      <c r="G736" t="s">
        <v>3678</v>
      </c>
      <c r="H736" t="s">
        <v>3683</v>
      </c>
      <c r="I736" t="s">
        <v>3686</v>
      </c>
      <c r="J736" t="s">
        <v>3693</v>
      </c>
      <c r="K736" t="s">
        <v>3696</v>
      </c>
      <c r="L736">
        <v>2</v>
      </c>
      <c r="M736">
        <v>65000</v>
      </c>
      <c r="N736" t="s">
        <v>3704</v>
      </c>
      <c r="O736" t="s">
        <v>3705</v>
      </c>
      <c r="P736" s="2">
        <f t="shared" si="55"/>
        <v>45733</v>
      </c>
      <c r="Q736" t="str">
        <f t="shared" si="56"/>
        <v>Vaibhav Kurian</v>
      </c>
      <c r="R736" t="str">
        <f t="shared" si="57"/>
        <v>Hyderabad</v>
      </c>
      <c r="S736" t="str">
        <f t="shared" si="58"/>
        <v>Telangana</v>
      </c>
      <c r="T736">
        <f t="shared" si="59"/>
        <v>130000</v>
      </c>
    </row>
    <row r="737" spans="1:20" x14ac:dyDescent="0.35">
      <c r="A737" t="s">
        <v>750</v>
      </c>
      <c r="B737" t="s">
        <v>1668</v>
      </c>
      <c r="C737" t="s">
        <v>2316</v>
      </c>
      <c r="D737" t="s">
        <v>3213</v>
      </c>
      <c r="E737" t="s">
        <v>3671</v>
      </c>
      <c r="F737">
        <v>27</v>
      </c>
      <c r="G737" t="s">
        <v>3675</v>
      </c>
      <c r="H737" t="s">
        <v>3681</v>
      </c>
      <c r="I737" t="s">
        <v>3687</v>
      </c>
      <c r="J737" t="s">
        <v>3693</v>
      </c>
      <c r="K737" t="s">
        <v>3697</v>
      </c>
      <c r="L737">
        <v>3</v>
      </c>
      <c r="M737">
        <v>5000</v>
      </c>
      <c r="N737" t="s">
        <v>3701</v>
      </c>
      <c r="O737" t="s">
        <v>3705</v>
      </c>
      <c r="P737" s="2">
        <f t="shared" si="55"/>
        <v>45895</v>
      </c>
      <c r="Q737" t="str">
        <f t="shared" si="56"/>
        <v>Anvi Kaur</v>
      </c>
      <c r="R737" t="str">
        <f t="shared" si="57"/>
        <v>Kolkata</v>
      </c>
      <c r="S737" t="str">
        <f t="shared" si="58"/>
        <v>West Bengal</v>
      </c>
      <c r="T737">
        <f t="shared" si="59"/>
        <v>15000</v>
      </c>
    </row>
    <row r="738" spans="1:20" x14ac:dyDescent="0.35">
      <c r="A738" t="s">
        <v>751</v>
      </c>
      <c r="B738" t="s">
        <v>1556</v>
      </c>
      <c r="C738" t="s">
        <v>2317</v>
      </c>
      <c r="D738" t="s">
        <v>3214</v>
      </c>
      <c r="E738" t="s">
        <v>3672</v>
      </c>
      <c r="F738">
        <v>41</v>
      </c>
      <c r="G738" t="s">
        <v>3678</v>
      </c>
      <c r="H738" t="s">
        <v>3683</v>
      </c>
      <c r="I738" t="s">
        <v>3691</v>
      </c>
      <c r="J738" t="s">
        <v>3693</v>
      </c>
      <c r="K738" t="s">
        <v>3696</v>
      </c>
      <c r="L738">
        <v>4</v>
      </c>
      <c r="M738">
        <v>58000</v>
      </c>
      <c r="N738" t="s">
        <v>3702</v>
      </c>
      <c r="O738" t="s">
        <v>3706</v>
      </c>
      <c r="P738" s="2">
        <f t="shared" si="55"/>
        <v>45910</v>
      </c>
      <c r="Q738" t="str">
        <f t="shared" si="56"/>
        <v>Indrans Kamdar</v>
      </c>
      <c r="R738" t="str">
        <f t="shared" si="57"/>
        <v>Hyderabad</v>
      </c>
      <c r="S738" t="str">
        <f t="shared" si="58"/>
        <v>Telangana</v>
      </c>
      <c r="T738">
        <f t="shared" si="59"/>
        <v>232000</v>
      </c>
    </row>
    <row r="739" spans="1:20" x14ac:dyDescent="0.35">
      <c r="A739" t="s">
        <v>752</v>
      </c>
      <c r="B739" t="s">
        <v>1566</v>
      </c>
      <c r="C739" t="s">
        <v>2318</v>
      </c>
      <c r="D739" t="s">
        <v>3215</v>
      </c>
      <c r="E739" t="s">
        <v>3672</v>
      </c>
      <c r="F739">
        <v>59</v>
      </c>
      <c r="G739" t="s">
        <v>3675</v>
      </c>
      <c r="H739" t="s">
        <v>3681</v>
      </c>
      <c r="I739" t="s">
        <v>3691</v>
      </c>
      <c r="J739" t="s">
        <v>3693</v>
      </c>
      <c r="K739" t="s">
        <v>3696</v>
      </c>
      <c r="L739">
        <v>2</v>
      </c>
      <c r="M739">
        <v>58000</v>
      </c>
      <c r="N739" t="s">
        <v>3702</v>
      </c>
      <c r="O739" t="s">
        <v>3707</v>
      </c>
      <c r="P739" s="2">
        <f t="shared" si="55"/>
        <v>45855</v>
      </c>
      <c r="Q739" t="str">
        <f t="shared" si="56"/>
        <v>Neelofar Verma</v>
      </c>
      <c r="R739" t="str">
        <f t="shared" si="57"/>
        <v>Kolkata</v>
      </c>
      <c r="S739" t="str">
        <f t="shared" si="58"/>
        <v>West Bengal</v>
      </c>
      <c r="T739">
        <f t="shared" si="59"/>
        <v>116000</v>
      </c>
    </row>
    <row r="740" spans="1:20" x14ac:dyDescent="0.35">
      <c r="A740" t="s">
        <v>753</v>
      </c>
      <c r="B740" t="s">
        <v>1669</v>
      </c>
      <c r="C740" t="s">
        <v>1948</v>
      </c>
      <c r="D740" t="s">
        <v>3216</v>
      </c>
      <c r="E740" t="s">
        <v>3672</v>
      </c>
      <c r="F740">
        <v>30</v>
      </c>
      <c r="G740" t="s">
        <v>3674</v>
      </c>
      <c r="H740" t="s">
        <v>3680</v>
      </c>
      <c r="I740" t="s">
        <v>3688</v>
      </c>
      <c r="J740" t="s">
        <v>3694</v>
      </c>
      <c r="K740" t="s">
        <v>3698</v>
      </c>
      <c r="L740">
        <v>1</v>
      </c>
      <c r="M740">
        <v>4500</v>
      </c>
      <c r="N740" t="s">
        <v>3703</v>
      </c>
      <c r="O740" t="s">
        <v>3707</v>
      </c>
      <c r="P740" s="2">
        <f t="shared" si="55"/>
        <v>45798</v>
      </c>
      <c r="Q740" t="str">
        <f t="shared" si="56"/>
        <v>Eva Raman</v>
      </c>
      <c r="R740" t="str">
        <f t="shared" si="57"/>
        <v>Pune</v>
      </c>
      <c r="S740" t="str">
        <f t="shared" si="58"/>
        <v>Maharashtra</v>
      </c>
      <c r="T740">
        <f t="shared" si="59"/>
        <v>4500</v>
      </c>
    </row>
    <row r="741" spans="1:20" x14ac:dyDescent="0.35">
      <c r="A741" t="s">
        <v>754</v>
      </c>
      <c r="B741" t="s">
        <v>1460</v>
      </c>
      <c r="C741" t="s">
        <v>2127</v>
      </c>
      <c r="D741" t="s">
        <v>3217</v>
      </c>
      <c r="E741" t="s">
        <v>3671</v>
      </c>
      <c r="F741">
        <v>33</v>
      </c>
      <c r="G741" t="s">
        <v>3675</v>
      </c>
      <c r="H741" t="s">
        <v>3681</v>
      </c>
      <c r="I741" t="s">
        <v>3686</v>
      </c>
      <c r="J741" t="s">
        <v>3693</v>
      </c>
      <c r="K741" t="s">
        <v>3696</v>
      </c>
      <c r="L741">
        <v>5</v>
      </c>
      <c r="M741">
        <v>65000</v>
      </c>
      <c r="N741" t="s">
        <v>3704</v>
      </c>
      <c r="O741" t="s">
        <v>3706</v>
      </c>
      <c r="P741" s="2">
        <f t="shared" si="55"/>
        <v>45898</v>
      </c>
      <c r="Q741" t="str">
        <f t="shared" si="56"/>
        <v>Abram Banerjee</v>
      </c>
      <c r="R741" t="str">
        <f t="shared" si="57"/>
        <v>Kolkata</v>
      </c>
      <c r="S741" t="str">
        <f t="shared" si="58"/>
        <v>West Bengal</v>
      </c>
      <c r="T741">
        <f t="shared" si="59"/>
        <v>325000</v>
      </c>
    </row>
    <row r="742" spans="1:20" x14ac:dyDescent="0.35">
      <c r="A742" t="s">
        <v>755</v>
      </c>
      <c r="B742" t="s">
        <v>1628</v>
      </c>
      <c r="C742" t="s">
        <v>2319</v>
      </c>
      <c r="D742" t="s">
        <v>3218</v>
      </c>
      <c r="E742" t="s">
        <v>3671</v>
      </c>
      <c r="F742">
        <v>18</v>
      </c>
      <c r="G742" t="s">
        <v>3678</v>
      </c>
      <c r="H742" t="s">
        <v>3683</v>
      </c>
      <c r="I742" t="s">
        <v>3690</v>
      </c>
      <c r="J742" t="s">
        <v>3693</v>
      </c>
      <c r="K742" t="s">
        <v>3700</v>
      </c>
      <c r="L742">
        <v>3</v>
      </c>
      <c r="M742">
        <v>72000</v>
      </c>
      <c r="N742" t="s">
        <v>3701</v>
      </c>
      <c r="O742" t="s">
        <v>3705</v>
      </c>
      <c r="P742" s="2">
        <f t="shared" si="55"/>
        <v>45673</v>
      </c>
      <c r="Q742" t="str">
        <f t="shared" si="56"/>
        <v>Jhanvi Kuruvilla</v>
      </c>
      <c r="R742" t="str">
        <f t="shared" si="57"/>
        <v>Hyderabad</v>
      </c>
      <c r="S742" t="str">
        <f t="shared" si="58"/>
        <v>Telangana</v>
      </c>
      <c r="T742">
        <f t="shared" si="59"/>
        <v>216000</v>
      </c>
    </row>
    <row r="743" spans="1:20" x14ac:dyDescent="0.35">
      <c r="A743" t="s">
        <v>756</v>
      </c>
      <c r="B743" t="s">
        <v>1668</v>
      </c>
      <c r="C743" t="s">
        <v>2320</v>
      </c>
      <c r="D743" t="s">
        <v>3219</v>
      </c>
      <c r="E743" t="s">
        <v>3672</v>
      </c>
      <c r="F743">
        <v>51</v>
      </c>
      <c r="G743" t="s">
        <v>3676</v>
      </c>
      <c r="H743" t="s">
        <v>3682</v>
      </c>
      <c r="I743" t="s">
        <v>3689</v>
      </c>
      <c r="J743" t="s">
        <v>3694</v>
      </c>
      <c r="K743" t="s">
        <v>3699</v>
      </c>
      <c r="L743">
        <v>4</v>
      </c>
      <c r="M743">
        <v>1800</v>
      </c>
      <c r="N743" t="s">
        <v>3703</v>
      </c>
      <c r="O743" t="s">
        <v>3705</v>
      </c>
      <c r="P743" s="2">
        <f t="shared" si="55"/>
        <v>45895</v>
      </c>
      <c r="Q743" t="str">
        <f t="shared" si="56"/>
        <v>Kiaan Kuruvilla</v>
      </c>
      <c r="R743" t="str">
        <f t="shared" si="57"/>
        <v>Chennai</v>
      </c>
      <c r="S743" t="str">
        <f t="shared" si="58"/>
        <v>Tamil Nadu</v>
      </c>
      <c r="T743">
        <f t="shared" si="59"/>
        <v>7200</v>
      </c>
    </row>
    <row r="744" spans="1:20" x14ac:dyDescent="0.35">
      <c r="A744" t="s">
        <v>757</v>
      </c>
      <c r="B744" t="s">
        <v>1578</v>
      </c>
      <c r="C744" t="s">
        <v>2321</v>
      </c>
      <c r="D744" t="s">
        <v>3220</v>
      </c>
      <c r="E744" t="s">
        <v>3671</v>
      </c>
      <c r="F744">
        <v>20</v>
      </c>
      <c r="G744" t="s">
        <v>3674</v>
      </c>
      <c r="H744" t="s">
        <v>3680</v>
      </c>
      <c r="I744" t="s">
        <v>3685</v>
      </c>
      <c r="J744" t="s">
        <v>3692</v>
      </c>
      <c r="K744" t="s">
        <v>3695</v>
      </c>
      <c r="L744">
        <v>2</v>
      </c>
      <c r="M744">
        <v>12000</v>
      </c>
      <c r="N744" t="s">
        <v>3704</v>
      </c>
      <c r="O744" t="s">
        <v>3706</v>
      </c>
      <c r="P744" s="2">
        <f t="shared" si="55"/>
        <v>45741</v>
      </c>
      <c r="Q744" t="str">
        <f t="shared" si="56"/>
        <v>Diya Saha</v>
      </c>
      <c r="R744" t="str">
        <f t="shared" si="57"/>
        <v>Pune</v>
      </c>
      <c r="S744" t="str">
        <f t="shared" si="58"/>
        <v>Maharashtra</v>
      </c>
      <c r="T744">
        <f t="shared" si="59"/>
        <v>24000</v>
      </c>
    </row>
    <row r="745" spans="1:20" x14ac:dyDescent="0.35">
      <c r="A745" t="s">
        <v>758</v>
      </c>
      <c r="B745" t="s">
        <v>1670</v>
      </c>
      <c r="C745" t="s">
        <v>2322</v>
      </c>
      <c r="D745" t="s">
        <v>3221</v>
      </c>
      <c r="E745" t="s">
        <v>3672</v>
      </c>
      <c r="F745">
        <v>51</v>
      </c>
      <c r="G745" t="s">
        <v>3678</v>
      </c>
      <c r="H745" t="s">
        <v>3683</v>
      </c>
      <c r="I745" t="s">
        <v>3689</v>
      </c>
      <c r="J745" t="s">
        <v>3694</v>
      </c>
      <c r="K745" t="s">
        <v>3699</v>
      </c>
      <c r="L745">
        <v>1</v>
      </c>
      <c r="M745">
        <v>1800</v>
      </c>
      <c r="N745" t="s">
        <v>3704</v>
      </c>
      <c r="O745" t="s">
        <v>3705</v>
      </c>
      <c r="P745" s="2">
        <f t="shared" si="55"/>
        <v>45949</v>
      </c>
      <c r="Q745" t="str">
        <f t="shared" si="56"/>
        <v>Darshit Chacko</v>
      </c>
      <c r="R745" t="str">
        <f t="shared" si="57"/>
        <v>Hyderabad</v>
      </c>
      <c r="S745" t="str">
        <f t="shared" si="58"/>
        <v>Telangana</v>
      </c>
      <c r="T745">
        <f t="shared" si="59"/>
        <v>1800</v>
      </c>
    </row>
    <row r="746" spans="1:20" x14ac:dyDescent="0.35">
      <c r="A746" t="s">
        <v>759</v>
      </c>
      <c r="B746" t="s">
        <v>1232</v>
      </c>
      <c r="C746" t="s">
        <v>1819</v>
      </c>
      <c r="D746" t="s">
        <v>3222</v>
      </c>
      <c r="E746" t="s">
        <v>3671</v>
      </c>
      <c r="F746">
        <v>47</v>
      </c>
      <c r="G746" t="s">
        <v>3679</v>
      </c>
      <c r="H746" t="s">
        <v>3684</v>
      </c>
      <c r="I746" t="s">
        <v>3685</v>
      </c>
      <c r="J746" t="s">
        <v>3692</v>
      </c>
      <c r="K746" t="s">
        <v>3695</v>
      </c>
      <c r="L746">
        <v>5</v>
      </c>
      <c r="M746">
        <v>12000</v>
      </c>
      <c r="N746" t="s">
        <v>3702</v>
      </c>
      <c r="O746" t="s">
        <v>3706</v>
      </c>
      <c r="P746" s="2">
        <f t="shared" si="55"/>
        <v>45749</v>
      </c>
      <c r="Q746" t="str">
        <f t="shared" si="56"/>
        <v>Hazel Barad</v>
      </c>
      <c r="R746" t="str">
        <f t="shared" si="57"/>
        <v>Bengaluru</v>
      </c>
      <c r="S746" t="str">
        <f t="shared" si="58"/>
        <v>Karnataka</v>
      </c>
      <c r="T746">
        <f t="shared" si="59"/>
        <v>60000</v>
      </c>
    </row>
    <row r="747" spans="1:20" x14ac:dyDescent="0.35">
      <c r="A747" t="s">
        <v>760</v>
      </c>
      <c r="B747" t="s">
        <v>1234</v>
      </c>
      <c r="C747" t="s">
        <v>2013</v>
      </c>
      <c r="D747" t="s">
        <v>3223</v>
      </c>
      <c r="E747" t="s">
        <v>3672</v>
      </c>
      <c r="F747">
        <v>20</v>
      </c>
      <c r="G747" t="s">
        <v>3673</v>
      </c>
      <c r="H747" t="s">
        <v>3673</v>
      </c>
      <c r="I747" t="s">
        <v>3690</v>
      </c>
      <c r="J747" t="s">
        <v>3693</v>
      </c>
      <c r="K747" t="s">
        <v>3700</v>
      </c>
      <c r="L747">
        <v>1</v>
      </c>
      <c r="M747">
        <v>72000</v>
      </c>
      <c r="N747" t="s">
        <v>3704</v>
      </c>
      <c r="O747" t="s">
        <v>3705</v>
      </c>
      <c r="P747" s="2">
        <f t="shared" si="55"/>
        <v>45818</v>
      </c>
      <c r="Q747" t="str">
        <f t="shared" si="56"/>
        <v>Renee Golla</v>
      </c>
      <c r="R747" t="str">
        <f t="shared" si="57"/>
        <v>Delhi</v>
      </c>
      <c r="S747" t="str">
        <f t="shared" si="58"/>
        <v>Delhi</v>
      </c>
      <c r="T747">
        <f t="shared" si="59"/>
        <v>72000</v>
      </c>
    </row>
    <row r="748" spans="1:20" x14ac:dyDescent="0.35">
      <c r="A748" t="s">
        <v>761</v>
      </c>
      <c r="B748" t="s">
        <v>1671</v>
      </c>
      <c r="C748" t="s">
        <v>2145</v>
      </c>
      <c r="D748" t="s">
        <v>3224</v>
      </c>
      <c r="E748" t="s">
        <v>3671</v>
      </c>
      <c r="F748">
        <v>38</v>
      </c>
      <c r="G748" t="s">
        <v>3679</v>
      </c>
      <c r="H748" t="s">
        <v>3684</v>
      </c>
      <c r="I748" t="s">
        <v>3686</v>
      </c>
      <c r="J748" t="s">
        <v>3693</v>
      </c>
      <c r="K748" t="s">
        <v>3696</v>
      </c>
      <c r="L748">
        <v>5</v>
      </c>
      <c r="M748">
        <v>65000</v>
      </c>
      <c r="N748" t="s">
        <v>3701</v>
      </c>
      <c r="O748" t="s">
        <v>3707</v>
      </c>
      <c r="P748" s="2">
        <f t="shared" si="55"/>
        <v>45782</v>
      </c>
      <c r="Q748" t="str">
        <f t="shared" si="56"/>
        <v>Samarth Karnik</v>
      </c>
      <c r="R748" t="str">
        <f t="shared" si="57"/>
        <v>Bengaluru</v>
      </c>
      <c r="S748" t="str">
        <f t="shared" si="58"/>
        <v>Karnataka</v>
      </c>
      <c r="T748">
        <f t="shared" si="59"/>
        <v>325000</v>
      </c>
    </row>
    <row r="749" spans="1:20" x14ac:dyDescent="0.35">
      <c r="A749" t="s">
        <v>762</v>
      </c>
      <c r="B749" t="s">
        <v>1672</v>
      </c>
      <c r="C749" t="s">
        <v>2133</v>
      </c>
      <c r="D749" t="s">
        <v>3225</v>
      </c>
      <c r="E749" t="s">
        <v>3672</v>
      </c>
      <c r="F749">
        <v>46</v>
      </c>
      <c r="G749" t="s">
        <v>3674</v>
      </c>
      <c r="H749" t="s">
        <v>3680</v>
      </c>
      <c r="I749" t="s">
        <v>3691</v>
      </c>
      <c r="J749" t="s">
        <v>3693</v>
      </c>
      <c r="K749" t="s">
        <v>3696</v>
      </c>
      <c r="L749">
        <v>2</v>
      </c>
      <c r="M749">
        <v>58000</v>
      </c>
      <c r="N749" t="s">
        <v>3703</v>
      </c>
      <c r="O749" t="s">
        <v>3707</v>
      </c>
      <c r="P749" s="2">
        <f t="shared" si="55"/>
        <v>45973</v>
      </c>
      <c r="Q749" t="str">
        <f t="shared" si="56"/>
        <v>Drishya Sarkar</v>
      </c>
      <c r="R749" t="str">
        <f t="shared" si="57"/>
        <v>Pune</v>
      </c>
      <c r="S749" t="str">
        <f t="shared" si="58"/>
        <v>Maharashtra</v>
      </c>
      <c r="T749">
        <f t="shared" si="59"/>
        <v>116000</v>
      </c>
    </row>
    <row r="750" spans="1:20" x14ac:dyDescent="0.35">
      <c r="A750" t="s">
        <v>763</v>
      </c>
      <c r="B750" t="s">
        <v>1245</v>
      </c>
      <c r="C750" t="s">
        <v>2323</v>
      </c>
      <c r="D750" t="s">
        <v>3226</v>
      </c>
      <c r="E750" t="s">
        <v>3671</v>
      </c>
      <c r="F750">
        <v>29</v>
      </c>
      <c r="G750" t="s">
        <v>3677</v>
      </c>
      <c r="H750" t="s">
        <v>3680</v>
      </c>
      <c r="I750" t="s">
        <v>3691</v>
      </c>
      <c r="J750" t="s">
        <v>3693</v>
      </c>
      <c r="K750" t="s">
        <v>3696</v>
      </c>
      <c r="L750">
        <v>3</v>
      </c>
      <c r="M750">
        <v>58000</v>
      </c>
      <c r="N750" t="s">
        <v>3702</v>
      </c>
      <c r="O750" t="s">
        <v>3706</v>
      </c>
      <c r="P750" s="2">
        <f t="shared" si="55"/>
        <v>46010</v>
      </c>
      <c r="Q750" t="str">
        <f t="shared" si="56"/>
        <v>Neelofar Atwal</v>
      </c>
      <c r="R750" t="str">
        <f t="shared" si="57"/>
        <v>Mumbai</v>
      </c>
      <c r="S750" t="str">
        <f t="shared" si="58"/>
        <v>Maharashtra</v>
      </c>
      <c r="T750">
        <f t="shared" si="59"/>
        <v>174000</v>
      </c>
    </row>
    <row r="751" spans="1:20" x14ac:dyDescent="0.35">
      <c r="A751" t="s">
        <v>764</v>
      </c>
      <c r="B751" t="s">
        <v>1493</v>
      </c>
      <c r="C751" t="s">
        <v>2324</v>
      </c>
      <c r="D751" t="s">
        <v>3227</v>
      </c>
      <c r="E751" t="s">
        <v>3672</v>
      </c>
      <c r="F751">
        <v>19</v>
      </c>
      <c r="G751" t="s">
        <v>3678</v>
      </c>
      <c r="H751" t="s">
        <v>3683</v>
      </c>
      <c r="I751" t="s">
        <v>3687</v>
      </c>
      <c r="J751" t="s">
        <v>3693</v>
      </c>
      <c r="K751" t="s">
        <v>3697</v>
      </c>
      <c r="L751">
        <v>2</v>
      </c>
      <c r="M751">
        <v>5000</v>
      </c>
      <c r="N751" t="s">
        <v>3701</v>
      </c>
      <c r="O751" t="s">
        <v>3706</v>
      </c>
      <c r="P751" s="2">
        <f t="shared" si="55"/>
        <v>45663</v>
      </c>
      <c r="Q751" t="str">
        <f t="shared" si="56"/>
        <v>Ivana Ghose</v>
      </c>
      <c r="R751" t="str">
        <f t="shared" si="57"/>
        <v>Hyderabad</v>
      </c>
      <c r="S751" t="str">
        <f t="shared" si="58"/>
        <v>Telangana</v>
      </c>
      <c r="T751">
        <f t="shared" si="59"/>
        <v>10000</v>
      </c>
    </row>
    <row r="752" spans="1:20" x14ac:dyDescent="0.35">
      <c r="A752" t="s">
        <v>765</v>
      </c>
      <c r="B752" t="s">
        <v>1673</v>
      </c>
      <c r="C752" t="s">
        <v>2325</v>
      </c>
      <c r="D752" t="s">
        <v>3228</v>
      </c>
      <c r="E752" t="s">
        <v>3672</v>
      </c>
      <c r="F752">
        <v>46</v>
      </c>
      <c r="G752" t="s">
        <v>3679</v>
      </c>
      <c r="H752" t="s">
        <v>3684</v>
      </c>
      <c r="I752" t="s">
        <v>3688</v>
      </c>
      <c r="J752" t="s">
        <v>3694</v>
      </c>
      <c r="K752" t="s">
        <v>3698</v>
      </c>
      <c r="L752">
        <v>1</v>
      </c>
      <c r="M752">
        <v>4500</v>
      </c>
      <c r="N752" t="s">
        <v>3704</v>
      </c>
      <c r="O752" t="s">
        <v>3705</v>
      </c>
      <c r="P752" s="2">
        <f t="shared" si="55"/>
        <v>45867</v>
      </c>
      <c r="Q752" t="str">
        <f t="shared" si="56"/>
        <v>Kimaya Basak</v>
      </c>
      <c r="R752" t="str">
        <f t="shared" si="57"/>
        <v>Bengaluru</v>
      </c>
      <c r="S752" t="str">
        <f t="shared" si="58"/>
        <v>Karnataka</v>
      </c>
      <c r="T752">
        <f t="shared" si="59"/>
        <v>4500</v>
      </c>
    </row>
    <row r="753" spans="1:20" x14ac:dyDescent="0.35">
      <c r="A753" t="s">
        <v>766</v>
      </c>
      <c r="B753" t="s">
        <v>1358</v>
      </c>
      <c r="C753" t="s">
        <v>2326</v>
      </c>
      <c r="D753" t="s">
        <v>3229</v>
      </c>
      <c r="E753" t="s">
        <v>3671</v>
      </c>
      <c r="F753">
        <v>32</v>
      </c>
      <c r="G753" t="s">
        <v>3678</v>
      </c>
      <c r="H753" t="s">
        <v>3683</v>
      </c>
      <c r="I753" t="s">
        <v>3686</v>
      </c>
      <c r="J753" t="s">
        <v>3693</v>
      </c>
      <c r="K753" t="s">
        <v>3696</v>
      </c>
      <c r="L753">
        <v>5</v>
      </c>
      <c r="M753">
        <v>65000</v>
      </c>
      <c r="N753" t="s">
        <v>3702</v>
      </c>
      <c r="O753" t="s">
        <v>3707</v>
      </c>
      <c r="P753" s="2">
        <f t="shared" si="55"/>
        <v>45824</v>
      </c>
      <c r="Q753" t="str">
        <f t="shared" si="56"/>
        <v>Nirvi Kakar</v>
      </c>
      <c r="R753" t="str">
        <f t="shared" si="57"/>
        <v>Hyderabad</v>
      </c>
      <c r="S753" t="str">
        <f t="shared" si="58"/>
        <v>Telangana</v>
      </c>
      <c r="T753">
        <f t="shared" si="59"/>
        <v>325000</v>
      </c>
    </row>
    <row r="754" spans="1:20" x14ac:dyDescent="0.35">
      <c r="A754" t="s">
        <v>767</v>
      </c>
      <c r="B754" t="s">
        <v>1674</v>
      </c>
      <c r="C754" t="s">
        <v>2062</v>
      </c>
      <c r="D754" t="s">
        <v>3230</v>
      </c>
      <c r="E754" t="s">
        <v>3671</v>
      </c>
      <c r="F754">
        <v>28</v>
      </c>
      <c r="G754" t="s">
        <v>3676</v>
      </c>
      <c r="H754" t="s">
        <v>3682</v>
      </c>
      <c r="I754" t="s">
        <v>3686</v>
      </c>
      <c r="J754" t="s">
        <v>3693</v>
      </c>
      <c r="K754" t="s">
        <v>3696</v>
      </c>
      <c r="L754">
        <v>3</v>
      </c>
      <c r="M754">
        <v>65000</v>
      </c>
      <c r="N754" t="s">
        <v>3703</v>
      </c>
      <c r="O754" t="s">
        <v>3707</v>
      </c>
      <c r="P754" s="2">
        <f t="shared" si="55"/>
        <v>45977</v>
      </c>
      <c r="Q754" t="str">
        <f t="shared" si="56"/>
        <v>Yuvaan Sibal</v>
      </c>
      <c r="R754" t="str">
        <f t="shared" si="57"/>
        <v>Chennai</v>
      </c>
      <c r="S754" t="str">
        <f t="shared" si="58"/>
        <v>Tamil Nadu</v>
      </c>
      <c r="T754">
        <f t="shared" si="59"/>
        <v>195000</v>
      </c>
    </row>
    <row r="755" spans="1:20" x14ac:dyDescent="0.35">
      <c r="A755" t="s">
        <v>768</v>
      </c>
      <c r="B755" t="s">
        <v>1320</v>
      </c>
      <c r="C755" t="s">
        <v>2072</v>
      </c>
      <c r="D755" t="s">
        <v>3231</v>
      </c>
      <c r="E755" t="s">
        <v>3671</v>
      </c>
      <c r="F755">
        <v>19</v>
      </c>
      <c r="G755" t="s">
        <v>3673</v>
      </c>
      <c r="H755" t="s">
        <v>3673</v>
      </c>
      <c r="I755" t="s">
        <v>3685</v>
      </c>
      <c r="J755" t="s">
        <v>3692</v>
      </c>
      <c r="K755" t="s">
        <v>3695</v>
      </c>
      <c r="L755">
        <v>4</v>
      </c>
      <c r="M755">
        <v>12000</v>
      </c>
      <c r="N755" t="s">
        <v>3702</v>
      </c>
      <c r="O755" t="s">
        <v>3706</v>
      </c>
      <c r="P755" s="2">
        <f t="shared" si="55"/>
        <v>45841</v>
      </c>
      <c r="Q755" t="str">
        <f t="shared" si="56"/>
        <v>Siya Trivedi</v>
      </c>
      <c r="R755" t="str">
        <f t="shared" si="57"/>
        <v>Delhi</v>
      </c>
      <c r="S755" t="str">
        <f t="shared" si="58"/>
        <v>Delhi</v>
      </c>
      <c r="T755">
        <f t="shared" si="59"/>
        <v>48000</v>
      </c>
    </row>
    <row r="756" spans="1:20" x14ac:dyDescent="0.35">
      <c r="A756" t="s">
        <v>769</v>
      </c>
      <c r="B756" t="s">
        <v>1675</v>
      </c>
      <c r="C756" t="s">
        <v>2327</v>
      </c>
      <c r="D756" t="s">
        <v>3232</v>
      </c>
      <c r="E756" t="s">
        <v>3672</v>
      </c>
      <c r="F756">
        <v>44</v>
      </c>
      <c r="G756" t="s">
        <v>3674</v>
      </c>
      <c r="H756" t="s">
        <v>3680</v>
      </c>
      <c r="I756" t="s">
        <v>3689</v>
      </c>
      <c r="J756" t="s">
        <v>3694</v>
      </c>
      <c r="K756" t="s">
        <v>3699</v>
      </c>
      <c r="L756">
        <v>4</v>
      </c>
      <c r="M756">
        <v>1800</v>
      </c>
      <c r="N756" t="s">
        <v>3703</v>
      </c>
      <c r="O756" t="s">
        <v>3705</v>
      </c>
      <c r="P756" s="2">
        <f t="shared" si="55"/>
        <v>45949</v>
      </c>
      <c r="Q756" t="str">
        <f t="shared" si="56"/>
        <v>Kiara Aggarwal</v>
      </c>
      <c r="R756" t="str">
        <f t="shared" si="57"/>
        <v>Pune</v>
      </c>
      <c r="S756" t="str">
        <f t="shared" si="58"/>
        <v>Maharashtra</v>
      </c>
      <c r="T756">
        <f t="shared" si="59"/>
        <v>7200</v>
      </c>
    </row>
    <row r="757" spans="1:20" x14ac:dyDescent="0.35">
      <c r="A757" t="s">
        <v>770</v>
      </c>
      <c r="B757" t="s">
        <v>1482</v>
      </c>
      <c r="C757" t="s">
        <v>2328</v>
      </c>
      <c r="D757" t="s">
        <v>3233</v>
      </c>
      <c r="E757" t="s">
        <v>3671</v>
      </c>
      <c r="F757">
        <v>42</v>
      </c>
      <c r="G757" t="s">
        <v>3675</v>
      </c>
      <c r="H757" t="s">
        <v>3681</v>
      </c>
      <c r="I757" t="s">
        <v>3688</v>
      </c>
      <c r="J757" t="s">
        <v>3694</v>
      </c>
      <c r="K757" t="s">
        <v>3698</v>
      </c>
      <c r="L757">
        <v>1</v>
      </c>
      <c r="M757">
        <v>4500</v>
      </c>
      <c r="N757" t="s">
        <v>3702</v>
      </c>
      <c r="O757" t="s">
        <v>3706</v>
      </c>
      <c r="P757" s="2">
        <f t="shared" si="55"/>
        <v>45745</v>
      </c>
      <c r="Q757" t="str">
        <f t="shared" si="56"/>
        <v>Darshit Viswanathan</v>
      </c>
      <c r="R757" t="str">
        <f t="shared" si="57"/>
        <v>Kolkata</v>
      </c>
      <c r="S757" t="str">
        <f t="shared" si="58"/>
        <v>West Bengal</v>
      </c>
      <c r="T757">
        <f t="shared" si="59"/>
        <v>4500</v>
      </c>
    </row>
    <row r="758" spans="1:20" x14ac:dyDescent="0.35">
      <c r="A758" t="s">
        <v>771</v>
      </c>
      <c r="B758" t="s">
        <v>1676</v>
      </c>
      <c r="C758" t="s">
        <v>2329</v>
      </c>
      <c r="D758" t="s">
        <v>3234</v>
      </c>
      <c r="E758" t="s">
        <v>3671</v>
      </c>
      <c r="F758">
        <v>58</v>
      </c>
      <c r="G758" t="s">
        <v>3673</v>
      </c>
      <c r="H758" t="s">
        <v>3673</v>
      </c>
      <c r="I758" t="s">
        <v>3685</v>
      </c>
      <c r="J758" t="s">
        <v>3692</v>
      </c>
      <c r="K758" t="s">
        <v>3695</v>
      </c>
      <c r="L758">
        <v>4</v>
      </c>
      <c r="M758">
        <v>12000</v>
      </c>
      <c r="N758" t="s">
        <v>3702</v>
      </c>
      <c r="O758" t="s">
        <v>3706</v>
      </c>
      <c r="P758" s="2">
        <f t="shared" si="55"/>
        <v>45820</v>
      </c>
      <c r="Q758" t="str">
        <f t="shared" si="56"/>
        <v>Armaan Walla</v>
      </c>
      <c r="R758" t="str">
        <f t="shared" si="57"/>
        <v>Delhi</v>
      </c>
      <c r="S758" t="str">
        <f t="shared" si="58"/>
        <v>Delhi</v>
      </c>
      <c r="T758">
        <f t="shared" si="59"/>
        <v>48000</v>
      </c>
    </row>
    <row r="759" spans="1:20" x14ac:dyDescent="0.35">
      <c r="A759" t="s">
        <v>772</v>
      </c>
      <c r="B759" t="s">
        <v>1677</v>
      </c>
      <c r="C759" t="s">
        <v>2330</v>
      </c>
      <c r="D759" t="s">
        <v>3235</v>
      </c>
      <c r="E759" t="s">
        <v>3672</v>
      </c>
      <c r="F759">
        <v>48</v>
      </c>
      <c r="G759" t="s">
        <v>3677</v>
      </c>
      <c r="H759" t="s">
        <v>3680</v>
      </c>
      <c r="I759" t="s">
        <v>3688</v>
      </c>
      <c r="J759" t="s">
        <v>3694</v>
      </c>
      <c r="K759" t="s">
        <v>3698</v>
      </c>
      <c r="L759">
        <v>1</v>
      </c>
      <c r="M759">
        <v>4500</v>
      </c>
      <c r="N759" t="s">
        <v>3703</v>
      </c>
      <c r="O759" t="s">
        <v>3706</v>
      </c>
      <c r="P759" s="2">
        <f t="shared" si="55"/>
        <v>45674</v>
      </c>
      <c r="Q759" t="str">
        <f t="shared" si="56"/>
        <v>Sahil Dora</v>
      </c>
      <c r="R759" t="str">
        <f t="shared" si="57"/>
        <v>Mumbai</v>
      </c>
      <c r="S759" t="str">
        <f t="shared" si="58"/>
        <v>Maharashtra</v>
      </c>
      <c r="T759">
        <f t="shared" si="59"/>
        <v>4500</v>
      </c>
    </row>
    <row r="760" spans="1:20" x14ac:dyDescent="0.35">
      <c r="A760" t="s">
        <v>773</v>
      </c>
      <c r="B760" t="s">
        <v>1579</v>
      </c>
      <c r="C760" t="s">
        <v>2291</v>
      </c>
      <c r="D760" t="s">
        <v>3236</v>
      </c>
      <c r="E760" t="s">
        <v>3672</v>
      </c>
      <c r="F760">
        <v>29</v>
      </c>
      <c r="G760" t="s">
        <v>3676</v>
      </c>
      <c r="H760" t="s">
        <v>3682</v>
      </c>
      <c r="I760" t="s">
        <v>3688</v>
      </c>
      <c r="J760" t="s">
        <v>3694</v>
      </c>
      <c r="K760" t="s">
        <v>3698</v>
      </c>
      <c r="L760">
        <v>5</v>
      </c>
      <c r="M760">
        <v>4500</v>
      </c>
      <c r="N760" t="s">
        <v>3702</v>
      </c>
      <c r="O760" t="s">
        <v>3705</v>
      </c>
      <c r="P760" s="2">
        <f t="shared" si="55"/>
        <v>45925</v>
      </c>
      <c r="Q760" t="str">
        <f t="shared" si="56"/>
        <v>Charvi Sandal</v>
      </c>
      <c r="R760" t="str">
        <f t="shared" si="57"/>
        <v>Chennai</v>
      </c>
      <c r="S760" t="str">
        <f t="shared" si="58"/>
        <v>Tamil Nadu</v>
      </c>
      <c r="T760">
        <f t="shared" si="59"/>
        <v>22500</v>
      </c>
    </row>
    <row r="761" spans="1:20" x14ac:dyDescent="0.35">
      <c r="A761" t="s">
        <v>774</v>
      </c>
      <c r="B761" t="s">
        <v>1615</v>
      </c>
      <c r="C761" t="s">
        <v>2331</v>
      </c>
      <c r="D761" t="s">
        <v>3237</v>
      </c>
      <c r="E761" t="s">
        <v>3671</v>
      </c>
      <c r="F761">
        <v>33</v>
      </c>
      <c r="G761" t="s">
        <v>3678</v>
      </c>
      <c r="H761" t="s">
        <v>3683</v>
      </c>
      <c r="I761" t="s">
        <v>3686</v>
      </c>
      <c r="J761" t="s">
        <v>3693</v>
      </c>
      <c r="K761" t="s">
        <v>3696</v>
      </c>
      <c r="L761">
        <v>4</v>
      </c>
      <c r="M761">
        <v>65000</v>
      </c>
      <c r="N761" t="s">
        <v>3702</v>
      </c>
      <c r="O761" t="s">
        <v>3707</v>
      </c>
      <c r="P761" s="2">
        <f t="shared" si="55"/>
        <v>45918</v>
      </c>
      <c r="Q761" t="str">
        <f t="shared" si="56"/>
        <v>Misha Kota</v>
      </c>
      <c r="R761" t="str">
        <f t="shared" si="57"/>
        <v>Hyderabad</v>
      </c>
      <c r="S761" t="str">
        <f t="shared" si="58"/>
        <v>Telangana</v>
      </c>
      <c r="T761">
        <f t="shared" si="59"/>
        <v>260000</v>
      </c>
    </row>
    <row r="762" spans="1:20" x14ac:dyDescent="0.35">
      <c r="A762" t="s">
        <v>775</v>
      </c>
      <c r="B762" t="s">
        <v>1678</v>
      </c>
      <c r="C762" t="s">
        <v>2332</v>
      </c>
      <c r="D762" t="s">
        <v>3238</v>
      </c>
      <c r="E762" t="s">
        <v>3672</v>
      </c>
      <c r="F762">
        <v>57</v>
      </c>
      <c r="G762" t="s">
        <v>3676</v>
      </c>
      <c r="H762" t="s">
        <v>3682</v>
      </c>
      <c r="I762" t="s">
        <v>3689</v>
      </c>
      <c r="J762" t="s">
        <v>3694</v>
      </c>
      <c r="K762" t="s">
        <v>3699</v>
      </c>
      <c r="L762">
        <v>3</v>
      </c>
      <c r="M762">
        <v>1800</v>
      </c>
      <c r="N762" t="s">
        <v>3703</v>
      </c>
      <c r="O762" t="s">
        <v>3707</v>
      </c>
      <c r="P762" s="2">
        <f t="shared" si="55"/>
        <v>45677</v>
      </c>
      <c r="Q762" t="str">
        <f t="shared" si="56"/>
        <v>Advik Jha</v>
      </c>
      <c r="R762" t="str">
        <f t="shared" si="57"/>
        <v>Chennai</v>
      </c>
      <c r="S762" t="str">
        <f t="shared" si="58"/>
        <v>Tamil Nadu</v>
      </c>
      <c r="T762">
        <f t="shared" si="59"/>
        <v>5400</v>
      </c>
    </row>
    <row r="763" spans="1:20" x14ac:dyDescent="0.35">
      <c r="A763" t="s">
        <v>776</v>
      </c>
      <c r="B763" t="s">
        <v>1400</v>
      </c>
      <c r="C763" t="s">
        <v>2317</v>
      </c>
      <c r="D763" t="s">
        <v>3024</v>
      </c>
      <c r="E763" t="s">
        <v>3671</v>
      </c>
      <c r="F763">
        <v>37</v>
      </c>
      <c r="G763" t="s">
        <v>3676</v>
      </c>
      <c r="H763" t="s">
        <v>3682</v>
      </c>
      <c r="I763" t="s">
        <v>3688</v>
      </c>
      <c r="J763" t="s">
        <v>3694</v>
      </c>
      <c r="K763" t="s">
        <v>3698</v>
      </c>
      <c r="L763">
        <v>3</v>
      </c>
      <c r="M763">
        <v>4500</v>
      </c>
      <c r="N763" t="s">
        <v>3702</v>
      </c>
      <c r="O763" t="s">
        <v>3706</v>
      </c>
      <c r="P763" s="2">
        <f t="shared" si="55"/>
        <v>45730</v>
      </c>
      <c r="Q763" t="str">
        <f t="shared" si="56"/>
        <v>Madhup Kale</v>
      </c>
      <c r="R763" t="str">
        <f t="shared" si="57"/>
        <v>Chennai</v>
      </c>
      <c r="S763" t="str">
        <f t="shared" si="58"/>
        <v>Tamil Nadu</v>
      </c>
      <c r="T763">
        <f t="shared" si="59"/>
        <v>13500</v>
      </c>
    </row>
    <row r="764" spans="1:20" x14ac:dyDescent="0.35">
      <c r="A764" t="s">
        <v>777</v>
      </c>
      <c r="B764" t="s">
        <v>1444</v>
      </c>
      <c r="C764" t="s">
        <v>1885</v>
      </c>
      <c r="D764" t="s">
        <v>3239</v>
      </c>
      <c r="E764" t="s">
        <v>3672</v>
      </c>
      <c r="F764">
        <v>52</v>
      </c>
      <c r="G764" t="s">
        <v>3675</v>
      </c>
      <c r="H764" t="s">
        <v>3681</v>
      </c>
      <c r="I764" t="s">
        <v>3691</v>
      </c>
      <c r="J764" t="s">
        <v>3693</v>
      </c>
      <c r="K764" t="s">
        <v>3696</v>
      </c>
      <c r="L764">
        <v>4</v>
      </c>
      <c r="M764">
        <v>58000</v>
      </c>
      <c r="N764" t="s">
        <v>3703</v>
      </c>
      <c r="O764" t="s">
        <v>3705</v>
      </c>
      <c r="P764" s="2">
        <f t="shared" si="55"/>
        <v>45829</v>
      </c>
      <c r="Q764" t="str">
        <f t="shared" si="56"/>
        <v>Yuvaan Comar</v>
      </c>
      <c r="R764" t="str">
        <f t="shared" si="57"/>
        <v>Kolkata</v>
      </c>
      <c r="S764" t="str">
        <f t="shared" si="58"/>
        <v>West Bengal</v>
      </c>
      <c r="T764">
        <f t="shared" si="59"/>
        <v>232000</v>
      </c>
    </row>
    <row r="765" spans="1:20" x14ac:dyDescent="0.35">
      <c r="A765" t="s">
        <v>778</v>
      </c>
      <c r="B765" t="s">
        <v>1260</v>
      </c>
      <c r="C765" t="s">
        <v>1838</v>
      </c>
      <c r="D765" t="s">
        <v>3240</v>
      </c>
      <c r="E765" t="s">
        <v>3671</v>
      </c>
      <c r="F765">
        <v>34</v>
      </c>
      <c r="G765" t="s">
        <v>3677</v>
      </c>
      <c r="H765" t="s">
        <v>3680</v>
      </c>
      <c r="I765" t="s">
        <v>3688</v>
      </c>
      <c r="J765" t="s">
        <v>3694</v>
      </c>
      <c r="K765" t="s">
        <v>3698</v>
      </c>
      <c r="L765">
        <v>2</v>
      </c>
      <c r="M765">
        <v>4500</v>
      </c>
      <c r="N765" t="s">
        <v>3703</v>
      </c>
      <c r="O765" t="s">
        <v>3707</v>
      </c>
      <c r="P765" s="2">
        <f t="shared" si="55"/>
        <v>45877</v>
      </c>
      <c r="Q765" t="str">
        <f t="shared" si="56"/>
        <v>Riaan Boase</v>
      </c>
      <c r="R765" t="str">
        <f t="shared" si="57"/>
        <v>Mumbai</v>
      </c>
      <c r="S765" t="str">
        <f t="shared" si="58"/>
        <v>Maharashtra</v>
      </c>
      <c r="T765">
        <f t="shared" si="59"/>
        <v>9000</v>
      </c>
    </row>
    <row r="766" spans="1:20" x14ac:dyDescent="0.35">
      <c r="A766" t="s">
        <v>779</v>
      </c>
      <c r="B766" t="s">
        <v>1505</v>
      </c>
      <c r="C766" t="s">
        <v>2020</v>
      </c>
      <c r="D766" t="s">
        <v>3241</v>
      </c>
      <c r="E766" t="s">
        <v>3671</v>
      </c>
      <c r="F766">
        <v>58</v>
      </c>
      <c r="G766" t="s">
        <v>3679</v>
      </c>
      <c r="H766" t="s">
        <v>3684</v>
      </c>
      <c r="I766" t="s">
        <v>3686</v>
      </c>
      <c r="J766" t="s">
        <v>3693</v>
      </c>
      <c r="K766" t="s">
        <v>3696</v>
      </c>
      <c r="L766">
        <v>1</v>
      </c>
      <c r="M766">
        <v>65000</v>
      </c>
      <c r="N766" t="s">
        <v>3703</v>
      </c>
      <c r="O766" t="s">
        <v>3706</v>
      </c>
      <c r="P766" s="2">
        <f t="shared" si="55"/>
        <v>45764</v>
      </c>
      <c r="Q766" t="str">
        <f t="shared" si="56"/>
        <v>Stuvan Kulkarni</v>
      </c>
      <c r="R766" t="str">
        <f t="shared" si="57"/>
        <v>Bengaluru</v>
      </c>
      <c r="S766" t="str">
        <f t="shared" si="58"/>
        <v>Karnataka</v>
      </c>
      <c r="T766">
        <f t="shared" si="59"/>
        <v>65000</v>
      </c>
    </row>
    <row r="767" spans="1:20" x14ac:dyDescent="0.35">
      <c r="A767" t="s">
        <v>780</v>
      </c>
      <c r="B767" t="s">
        <v>1328</v>
      </c>
      <c r="C767" t="s">
        <v>2298</v>
      </c>
      <c r="D767" t="s">
        <v>3242</v>
      </c>
      <c r="E767" t="s">
        <v>3672</v>
      </c>
      <c r="F767">
        <v>25</v>
      </c>
      <c r="G767" t="s">
        <v>3674</v>
      </c>
      <c r="H767" t="s">
        <v>3680</v>
      </c>
      <c r="I767" t="s">
        <v>3685</v>
      </c>
      <c r="J767" t="s">
        <v>3692</v>
      </c>
      <c r="K767" t="s">
        <v>3695</v>
      </c>
      <c r="L767">
        <v>1</v>
      </c>
      <c r="M767">
        <v>12000</v>
      </c>
      <c r="N767" t="s">
        <v>3701</v>
      </c>
      <c r="O767" t="s">
        <v>3705</v>
      </c>
      <c r="P767" s="2">
        <f t="shared" si="55"/>
        <v>45851</v>
      </c>
      <c r="Q767" t="str">
        <f t="shared" si="56"/>
        <v>Anika Grewal</v>
      </c>
      <c r="R767" t="str">
        <f t="shared" si="57"/>
        <v>Pune</v>
      </c>
      <c r="S767" t="str">
        <f t="shared" si="58"/>
        <v>Maharashtra</v>
      </c>
      <c r="T767">
        <f t="shared" si="59"/>
        <v>12000</v>
      </c>
    </row>
    <row r="768" spans="1:20" x14ac:dyDescent="0.35">
      <c r="A768" t="s">
        <v>781</v>
      </c>
      <c r="B768" t="s">
        <v>1291</v>
      </c>
      <c r="C768" t="s">
        <v>2333</v>
      </c>
      <c r="D768" t="s">
        <v>3243</v>
      </c>
      <c r="E768" t="s">
        <v>3672</v>
      </c>
      <c r="F768">
        <v>25</v>
      </c>
      <c r="G768" t="s">
        <v>3678</v>
      </c>
      <c r="H768" t="s">
        <v>3683</v>
      </c>
      <c r="I768" t="s">
        <v>3689</v>
      </c>
      <c r="J768" t="s">
        <v>3694</v>
      </c>
      <c r="K768" t="s">
        <v>3699</v>
      </c>
      <c r="L768">
        <v>3</v>
      </c>
      <c r="M768">
        <v>1800</v>
      </c>
      <c r="N768" t="s">
        <v>3702</v>
      </c>
      <c r="O768" t="s">
        <v>3707</v>
      </c>
      <c r="P768" s="2">
        <f t="shared" si="55"/>
        <v>45956</v>
      </c>
      <c r="Q768" t="str">
        <f t="shared" si="56"/>
        <v>Amira Choudhry</v>
      </c>
      <c r="R768" t="str">
        <f t="shared" si="57"/>
        <v>Hyderabad</v>
      </c>
      <c r="S768" t="str">
        <f t="shared" si="58"/>
        <v>Telangana</v>
      </c>
      <c r="T768">
        <f t="shared" si="59"/>
        <v>5400</v>
      </c>
    </row>
    <row r="769" spans="1:20" x14ac:dyDescent="0.35">
      <c r="A769" t="s">
        <v>782</v>
      </c>
      <c r="B769" t="s">
        <v>1679</v>
      </c>
      <c r="C769" t="s">
        <v>2334</v>
      </c>
      <c r="D769" t="s">
        <v>3244</v>
      </c>
      <c r="E769" t="s">
        <v>3671</v>
      </c>
      <c r="F769">
        <v>23</v>
      </c>
      <c r="G769" t="s">
        <v>3679</v>
      </c>
      <c r="H769" t="s">
        <v>3684</v>
      </c>
      <c r="I769" t="s">
        <v>3685</v>
      </c>
      <c r="J769" t="s">
        <v>3692</v>
      </c>
      <c r="K769" t="s">
        <v>3695</v>
      </c>
      <c r="L769">
        <v>4</v>
      </c>
      <c r="M769">
        <v>12000</v>
      </c>
      <c r="N769" t="s">
        <v>3701</v>
      </c>
      <c r="O769" t="s">
        <v>3707</v>
      </c>
      <c r="P769" s="2">
        <f t="shared" si="55"/>
        <v>45989</v>
      </c>
      <c r="Q769" t="str">
        <f t="shared" si="56"/>
        <v>Ojas Kunda</v>
      </c>
      <c r="R769" t="str">
        <f t="shared" si="57"/>
        <v>Bengaluru</v>
      </c>
      <c r="S769" t="str">
        <f t="shared" si="58"/>
        <v>Karnataka</v>
      </c>
      <c r="T769">
        <f t="shared" si="59"/>
        <v>48000</v>
      </c>
    </row>
    <row r="770" spans="1:20" x14ac:dyDescent="0.35">
      <c r="A770" t="s">
        <v>783</v>
      </c>
      <c r="B770" t="s">
        <v>1416</v>
      </c>
      <c r="C770" t="s">
        <v>2302</v>
      </c>
      <c r="D770" t="s">
        <v>3245</v>
      </c>
      <c r="E770" t="s">
        <v>3671</v>
      </c>
      <c r="F770">
        <v>21</v>
      </c>
      <c r="G770" t="s">
        <v>3676</v>
      </c>
      <c r="H770" t="s">
        <v>3682</v>
      </c>
      <c r="I770" t="s">
        <v>3690</v>
      </c>
      <c r="J770" t="s">
        <v>3693</v>
      </c>
      <c r="K770" t="s">
        <v>3700</v>
      </c>
      <c r="L770">
        <v>4</v>
      </c>
      <c r="M770">
        <v>72000</v>
      </c>
      <c r="N770" t="s">
        <v>3704</v>
      </c>
      <c r="O770" t="s">
        <v>3705</v>
      </c>
      <c r="P770" s="2">
        <f t="shared" si="55"/>
        <v>45786</v>
      </c>
      <c r="Q770" t="str">
        <f t="shared" si="56"/>
        <v>Navya Bhagat</v>
      </c>
      <c r="R770" t="str">
        <f t="shared" si="57"/>
        <v>Chennai</v>
      </c>
      <c r="S770" t="str">
        <f t="shared" si="58"/>
        <v>Tamil Nadu</v>
      </c>
      <c r="T770">
        <f t="shared" si="59"/>
        <v>288000</v>
      </c>
    </row>
    <row r="771" spans="1:20" x14ac:dyDescent="0.35">
      <c r="A771" t="s">
        <v>784</v>
      </c>
      <c r="B771" t="s">
        <v>1680</v>
      </c>
      <c r="C771" t="s">
        <v>2245</v>
      </c>
      <c r="D771" t="s">
        <v>3246</v>
      </c>
      <c r="E771" t="s">
        <v>3672</v>
      </c>
      <c r="F771">
        <v>24</v>
      </c>
      <c r="G771" t="s">
        <v>3678</v>
      </c>
      <c r="H771" t="s">
        <v>3683</v>
      </c>
      <c r="I771" t="s">
        <v>3689</v>
      </c>
      <c r="J771" t="s">
        <v>3694</v>
      </c>
      <c r="K771" t="s">
        <v>3699</v>
      </c>
      <c r="L771">
        <v>3</v>
      </c>
      <c r="M771">
        <v>1800</v>
      </c>
      <c r="N771" t="s">
        <v>3704</v>
      </c>
      <c r="O771" t="s">
        <v>3707</v>
      </c>
      <c r="P771" s="2">
        <f t="shared" ref="P771:P834" si="60">DATEVALUE(SUBSTITUTE(B771,"/","-"))</f>
        <v>45945</v>
      </c>
      <c r="Q771" t="str">
        <f t="shared" ref="Q771:Q834" si="61">TRIM(CLEAN(D771))</f>
        <v>Misha Dewan</v>
      </c>
      <c r="R771" t="str">
        <f t="shared" ref="R771:R834" si="62">IF(G771="","Unknown",G771)</f>
        <v>Hyderabad</v>
      </c>
      <c r="S771" t="str">
        <f t="shared" ref="S771:S834" si="63">IF(H771="","Unknown",H771)</f>
        <v>Telangana</v>
      </c>
      <c r="T771">
        <f t="shared" ref="T771:T834" si="64">L771*M771</f>
        <v>5400</v>
      </c>
    </row>
    <row r="772" spans="1:20" x14ac:dyDescent="0.35">
      <c r="A772" t="s">
        <v>785</v>
      </c>
      <c r="B772" t="s">
        <v>1408</v>
      </c>
      <c r="C772" t="s">
        <v>1930</v>
      </c>
      <c r="D772" t="s">
        <v>3247</v>
      </c>
      <c r="E772" t="s">
        <v>3672</v>
      </c>
      <c r="F772">
        <v>47</v>
      </c>
      <c r="G772" t="s">
        <v>3674</v>
      </c>
      <c r="H772" t="s">
        <v>3680</v>
      </c>
      <c r="I772" t="s">
        <v>3689</v>
      </c>
      <c r="J772" t="s">
        <v>3694</v>
      </c>
      <c r="K772" t="s">
        <v>3699</v>
      </c>
      <c r="L772">
        <v>3</v>
      </c>
      <c r="M772">
        <v>1800</v>
      </c>
      <c r="N772" t="s">
        <v>3701</v>
      </c>
      <c r="O772" t="s">
        <v>3707</v>
      </c>
      <c r="P772" s="2">
        <f t="shared" si="60"/>
        <v>46019</v>
      </c>
      <c r="Q772" t="str">
        <f t="shared" si="61"/>
        <v>Tarini Hayre</v>
      </c>
      <c r="R772" t="str">
        <f t="shared" si="62"/>
        <v>Pune</v>
      </c>
      <c r="S772" t="str">
        <f t="shared" si="63"/>
        <v>Maharashtra</v>
      </c>
      <c r="T772">
        <f t="shared" si="64"/>
        <v>5400</v>
      </c>
    </row>
    <row r="773" spans="1:20" x14ac:dyDescent="0.35">
      <c r="A773" t="s">
        <v>786</v>
      </c>
      <c r="B773" t="s">
        <v>1584</v>
      </c>
      <c r="C773" t="s">
        <v>2335</v>
      </c>
      <c r="D773" t="s">
        <v>3248</v>
      </c>
      <c r="E773" t="s">
        <v>3671</v>
      </c>
      <c r="F773">
        <v>39</v>
      </c>
      <c r="G773" t="s">
        <v>3677</v>
      </c>
      <c r="H773" t="s">
        <v>3680</v>
      </c>
      <c r="I773" t="s">
        <v>3691</v>
      </c>
      <c r="J773" t="s">
        <v>3693</v>
      </c>
      <c r="K773" t="s">
        <v>3696</v>
      </c>
      <c r="L773">
        <v>1</v>
      </c>
      <c r="M773">
        <v>58000</v>
      </c>
      <c r="N773" t="s">
        <v>3701</v>
      </c>
      <c r="O773" t="s">
        <v>3707</v>
      </c>
      <c r="P773" s="2">
        <f t="shared" si="60"/>
        <v>45985</v>
      </c>
      <c r="Q773" t="str">
        <f t="shared" si="61"/>
        <v>Divit Boase</v>
      </c>
      <c r="R773" t="str">
        <f t="shared" si="62"/>
        <v>Mumbai</v>
      </c>
      <c r="S773" t="str">
        <f t="shared" si="63"/>
        <v>Maharashtra</v>
      </c>
      <c r="T773">
        <f t="shared" si="64"/>
        <v>58000</v>
      </c>
    </row>
    <row r="774" spans="1:20" x14ac:dyDescent="0.35">
      <c r="A774" t="s">
        <v>787</v>
      </c>
      <c r="B774" t="s">
        <v>1681</v>
      </c>
      <c r="C774" t="s">
        <v>2336</v>
      </c>
      <c r="D774" t="s">
        <v>3249</v>
      </c>
      <c r="E774" t="s">
        <v>3672</v>
      </c>
      <c r="F774">
        <v>24</v>
      </c>
      <c r="G774" t="s">
        <v>3678</v>
      </c>
      <c r="H774" t="s">
        <v>3683</v>
      </c>
      <c r="I774" t="s">
        <v>3689</v>
      </c>
      <c r="J774" t="s">
        <v>3694</v>
      </c>
      <c r="K774" t="s">
        <v>3699</v>
      </c>
      <c r="L774">
        <v>4</v>
      </c>
      <c r="M774">
        <v>1800</v>
      </c>
      <c r="N774" t="s">
        <v>3704</v>
      </c>
      <c r="O774" t="s">
        <v>3707</v>
      </c>
      <c r="P774" s="2">
        <f t="shared" si="60"/>
        <v>45942</v>
      </c>
      <c r="Q774" t="str">
        <f t="shared" si="61"/>
        <v>Anay Bawa</v>
      </c>
      <c r="R774" t="str">
        <f t="shared" si="62"/>
        <v>Hyderabad</v>
      </c>
      <c r="S774" t="str">
        <f t="shared" si="63"/>
        <v>Telangana</v>
      </c>
      <c r="T774">
        <f t="shared" si="64"/>
        <v>7200</v>
      </c>
    </row>
    <row r="775" spans="1:20" x14ac:dyDescent="0.35">
      <c r="A775" t="s">
        <v>788</v>
      </c>
      <c r="B775" t="s">
        <v>1682</v>
      </c>
      <c r="C775" t="s">
        <v>2337</v>
      </c>
      <c r="D775" t="s">
        <v>3250</v>
      </c>
      <c r="E775" t="s">
        <v>3671</v>
      </c>
      <c r="F775">
        <v>32</v>
      </c>
      <c r="G775" t="s">
        <v>3673</v>
      </c>
      <c r="H775" t="s">
        <v>3673</v>
      </c>
      <c r="I775" t="s">
        <v>3691</v>
      </c>
      <c r="J775" t="s">
        <v>3693</v>
      </c>
      <c r="K775" t="s">
        <v>3696</v>
      </c>
      <c r="L775">
        <v>4</v>
      </c>
      <c r="M775">
        <v>58000</v>
      </c>
      <c r="N775" t="s">
        <v>3702</v>
      </c>
      <c r="O775" t="s">
        <v>3705</v>
      </c>
      <c r="P775" s="2">
        <f t="shared" si="60"/>
        <v>46020</v>
      </c>
      <c r="Q775" t="str">
        <f t="shared" si="61"/>
        <v>Nakul Sarkar</v>
      </c>
      <c r="R775" t="str">
        <f t="shared" si="62"/>
        <v>Delhi</v>
      </c>
      <c r="S775" t="str">
        <f t="shared" si="63"/>
        <v>Delhi</v>
      </c>
      <c r="T775">
        <f t="shared" si="64"/>
        <v>232000</v>
      </c>
    </row>
    <row r="776" spans="1:20" x14ac:dyDescent="0.35">
      <c r="A776" t="s">
        <v>789</v>
      </c>
      <c r="B776" t="s">
        <v>1683</v>
      </c>
      <c r="C776" t="s">
        <v>2338</v>
      </c>
      <c r="D776" t="s">
        <v>3251</v>
      </c>
      <c r="E776" t="s">
        <v>3671</v>
      </c>
      <c r="F776">
        <v>25</v>
      </c>
      <c r="G776" t="s">
        <v>3679</v>
      </c>
      <c r="H776" t="s">
        <v>3684</v>
      </c>
      <c r="I776" t="s">
        <v>3688</v>
      </c>
      <c r="J776" t="s">
        <v>3694</v>
      </c>
      <c r="K776" t="s">
        <v>3698</v>
      </c>
      <c r="L776">
        <v>1</v>
      </c>
      <c r="M776">
        <v>4500</v>
      </c>
      <c r="N776" t="s">
        <v>3702</v>
      </c>
      <c r="O776" t="s">
        <v>3705</v>
      </c>
      <c r="P776" s="2">
        <f t="shared" si="60"/>
        <v>45665</v>
      </c>
      <c r="Q776" t="str">
        <f t="shared" si="61"/>
        <v>Misha Chaudhary</v>
      </c>
      <c r="R776" t="str">
        <f t="shared" si="62"/>
        <v>Bengaluru</v>
      </c>
      <c r="S776" t="str">
        <f t="shared" si="63"/>
        <v>Karnataka</v>
      </c>
      <c r="T776">
        <f t="shared" si="64"/>
        <v>4500</v>
      </c>
    </row>
    <row r="777" spans="1:20" x14ac:dyDescent="0.35">
      <c r="A777" t="s">
        <v>790</v>
      </c>
      <c r="B777" t="s">
        <v>1684</v>
      </c>
      <c r="C777" t="s">
        <v>1874</v>
      </c>
      <c r="D777" t="s">
        <v>3252</v>
      </c>
      <c r="E777" t="s">
        <v>3672</v>
      </c>
      <c r="F777">
        <v>21</v>
      </c>
      <c r="G777" t="s">
        <v>3679</v>
      </c>
      <c r="H777" t="s">
        <v>3684</v>
      </c>
      <c r="I777" t="s">
        <v>3689</v>
      </c>
      <c r="J777" t="s">
        <v>3694</v>
      </c>
      <c r="K777" t="s">
        <v>3699</v>
      </c>
      <c r="L777">
        <v>3</v>
      </c>
      <c r="M777">
        <v>1800</v>
      </c>
      <c r="N777" t="s">
        <v>3702</v>
      </c>
      <c r="O777" t="s">
        <v>3707</v>
      </c>
      <c r="P777" s="2">
        <f t="shared" si="60"/>
        <v>45943</v>
      </c>
      <c r="Q777" t="str">
        <f t="shared" si="61"/>
        <v>Dhanuk Chanda</v>
      </c>
      <c r="R777" t="str">
        <f t="shared" si="62"/>
        <v>Bengaluru</v>
      </c>
      <c r="S777" t="str">
        <f t="shared" si="63"/>
        <v>Karnataka</v>
      </c>
      <c r="T777">
        <f t="shared" si="64"/>
        <v>5400</v>
      </c>
    </row>
    <row r="778" spans="1:20" x14ac:dyDescent="0.35">
      <c r="A778" t="s">
        <v>791</v>
      </c>
      <c r="B778" t="s">
        <v>1404</v>
      </c>
      <c r="C778" t="s">
        <v>2339</v>
      </c>
      <c r="D778" t="s">
        <v>3253</v>
      </c>
      <c r="E778" t="s">
        <v>3671</v>
      </c>
      <c r="F778">
        <v>23</v>
      </c>
      <c r="G778" t="s">
        <v>3678</v>
      </c>
      <c r="H778" t="s">
        <v>3683</v>
      </c>
      <c r="I778" t="s">
        <v>3686</v>
      </c>
      <c r="J778" t="s">
        <v>3693</v>
      </c>
      <c r="K778" t="s">
        <v>3696</v>
      </c>
      <c r="L778">
        <v>4</v>
      </c>
      <c r="M778">
        <v>65000</v>
      </c>
      <c r="N778" t="s">
        <v>3703</v>
      </c>
      <c r="O778" t="s">
        <v>3705</v>
      </c>
      <c r="P778" s="2">
        <f t="shared" si="60"/>
        <v>45920</v>
      </c>
      <c r="Q778" t="str">
        <f t="shared" si="61"/>
        <v>Dhanuk Toor</v>
      </c>
      <c r="R778" t="str">
        <f t="shared" si="62"/>
        <v>Hyderabad</v>
      </c>
      <c r="S778" t="str">
        <f t="shared" si="63"/>
        <v>Telangana</v>
      </c>
      <c r="T778">
        <f t="shared" si="64"/>
        <v>260000</v>
      </c>
    </row>
    <row r="779" spans="1:20" x14ac:dyDescent="0.35">
      <c r="A779" t="s">
        <v>792</v>
      </c>
      <c r="B779" t="s">
        <v>1685</v>
      </c>
      <c r="C779" t="s">
        <v>2340</v>
      </c>
      <c r="D779" t="s">
        <v>3254</v>
      </c>
      <c r="E779" t="s">
        <v>3672</v>
      </c>
      <c r="F779">
        <v>29</v>
      </c>
      <c r="G779" t="s">
        <v>3677</v>
      </c>
      <c r="H779" t="s">
        <v>3680</v>
      </c>
      <c r="I779" t="s">
        <v>3689</v>
      </c>
      <c r="J779" t="s">
        <v>3694</v>
      </c>
      <c r="K779" t="s">
        <v>3699</v>
      </c>
      <c r="L779">
        <v>5</v>
      </c>
      <c r="M779">
        <v>1800</v>
      </c>
      <c r="N779" t="s">
        <v>3701</v>
      </c>
      <c r="O779" t="s">
        <v>3705</v>
      </c>
      <c r="P779" s="2">
        <f t="shared" si="60"/>
        <v>45923</v>
      </c>
      <c r="Q779" t="str">
        <f t="shared" si="61"/>
        <v>Jayesh Varty</v>
      </c>
      <c r="R779" t="str">
        <f t="shared" si="62"/>
        <v>Mumbai</v>
      </c>
      <c r="S779" t="str">
        <f t="shared" si="63"/>
        <v>Maharashtra</v>
      </c>
      <c r="T779">
        <f t="shared" si="64"/>
        <v>9000</v>
      </c>
    </row>
    <row r="780" spans="1:20" x14ac:dyDescent="0.35">
      <c r="A780" t="s">
        <v>793</v>
      </c>
      <c r="B780" t="s">
        <v>1686</v>
      </c>
      <c r="C780" t="s">
        <v>2341</v>
      </c>
      <c r="D780" t="s">
        <v>3255</v>
      </c>
      <c r="E780" t="s">
        <v>3672</v>
      </c>
      <c r="F780">
        <v>38</v>
      </c>
      <c r="G780" t="s">
        <v>3674</v>
      </c>
      <c r="H780" t="s">
        <v>3680</v>
      </c>
      <c r="I780" t="s">
        <v>3685</v>
      </c>
      <c r="J780" t="s">
        <v>3692</v>
      </c>
      <c r="K780" t="s">
        <v>3695</v>
      </c>
      <c r="L780">
        <v>4</v>
      </c>
      <c r="M780">
        <v>12000</v>
      </c>
      <c r="N780" t="s">
        <v>3701</v>
      </c>
      <c r="O780" t="s">
        <v>3707</v>
      </c>
      <c r="P780" s="2">
        <f t="shared" si="60"/>
        <v>45715</v>
      </c>
      <c r="Q780" t="str">
        <f t="shared" si="61"/>
        <v>Ranbir Shenoy</v>
      </c>
      <c r="R780" t="str">
        <f t="shared" si="62"/>
        <v>Pune</v>
      </c>
      <c r="S780" t="str">
        <f t="shared" si="63"/>
        <v>Maharashtra</v>
      </c>
      <c r="T780">
        <f t="shared" si="64"/>
        <v>48000</v>
      </c>
    </row>
    <row r="781" spans="1:20" x14ac:dyDescent="0.35">
      <c r="A781" t="s">
        <v>794</v>
      </c>
      <c r="B781" t="s">
        <v>1646</v>
      </c>
      <c r="C781" t="s">
        <v>2072</v>
      </c>
      <c r="D781" t="s">
        <v>3256</v>
      </c>
      <c r="E781" t="s">
        <v>3672</v>
      </c>
      <c r="F781">
        <v>30</v>
      </c>
      <c r="G781" t="s">
        <v>3675</v>
      </c>
      <c r="H781" t="s">
        <v>3681</v>
      </c>
      <c r="I781" t="s">
        <v>3687</v>
      </c>
      <c r="J781" t="s">
        <v>3693</v>
      </c>
      <c r="K781" t="s">
        <v>3697</v>
      </c>
      <c r="L781">
        <v>5</v>
      </c>
      <c r="M781">
        <v>5000</v>
      </c>
      <c r="N781" t="s">
        <v>3703</v>
      </c>
      <c r="O781" t="s">
        <v>3705</v>
      </c>
      <c r="P781" s="2">
        <f t="shared" si="60"/>
        <v>45691</v>
      </c>
      <c r="Q781" t="str">
        <f t="shared" si="61"/>
        <v>Nirvaan Khare</v>
      </c>
      <c r="R781" t="str">
        <f t="shared" si="62"/>
        <v>Kolkata</v>
      </c>
      <c r="S781" t="str">
        <f t="shared" si="63"/>
        <v>West Bengal</v>
      </c>
      <c r="T781">
        <f t="shared" si="64"/>
        <v>25000</v>
      </c>
    </row>
    <row r="782" spans="1:20" x14ac:dyDescent="0.35">
      <c r="A782" t="s">
        <v>795</v>
      </c>
      <c r="B782" t="s">
        <v>1546</v>
      </c>
      <c r="C782" t="s">
        <v>2342</v>
      </c>
      <c r="D782" t="s">
        <v>3257</v>
      </c>
      <c r="E782" t="s">
        <v>3671</v>
      </c>
      <c r="F782">
        <v>43</v>
      </c>
      <c r="G782" t="s">
        <v>3676</v>
      </c>
      <c r="H782" t="s">
        <v>3682</v>
      </c>
      <c r="I782" t="s">
        <v>3687</v>
      </c>
      <c r="J782" t="s">
        <v>3693</v>
      </c>
      <c r="K782" t="s">
        <v>3697</v>
      </c>
      <c r="L782">
        <v>1</v>
      </c>
      <c r="M782">
        <v>5000</v>
      </c>
      <c r="N782" t="s">
        <v>3703</v>
      </c>
      <c r="O782" t="s">
        <v>3705</v>
      </c>
      <c r="P782" s="2">
        <f t="shared" si="60"/>
        <v>45798</v>
      </c>
      <c r="Q782" t="str">
        <f t="shared" si="61"/>
        <v>Lakshit Mane</v>
      </c>
      <c r="R782" t="str">
        <f t="shared" si="62"/>
        <v>Chennai</v>
      </c>
      <c r="S782" t="str">
        <f t="shared" si="63"/>
        <v>Tamil Nadu</v>
      </c>
      <c r="T782">
        <f t="shared" si="64"/>
        <v>5000</v>
      </c>
    </row>
    <row r="783" spans="1:20" x14ac:dyDescent="0.35">
      <c r="A783" t="s">
        <v>796</v>
      </c>
      <c r="B783" t="s">
        <v>1687</v>
      </c>
      <c r="C783" t="s">
        <v>1817</v>
      </c>
      <c r="D783" t="s">
        <v>3258</v>
      </c>
      <c r="E783" t="s">
        <v>3671</v>
      </c>
      <c r="F783">
        <v>37</v>
      </c>
      <c r="G783" t="s">
        <v>3679</v>
      </c>
      <c r="H783" t="s">
        <v>3684</v>
      </c>
      <c r="I783" t="s">
        <v>3691</v>
      </c>
      <c r="J783" t="s">
        <v>3693</v>
      </c>
      <c r="K783" t="s">
        <v>3696</v>
      </c>
      <c r="L783">
        <v>2</v>
      </c>
      <c r="M783">
        <v>58000</v>
      </c>
      <c r="N783" t="s">
        <v>3704</v>
      </c>
      <c r="O783" t="s">
        <v>3707</v>
      </c>
      <c r="P783" s="2">
        <f t="shared" si="60"/>
        <v>45775</v>
      </c>
      <c r="Q783" t="str">
        <f t="shared" si="61"/>
        <v>Romil Gill</v>
      </c>
      <c r="R783" t="str">
        <f t="shared" si="62"/>
        <v>Bengaluru</v>
      </c>
      <c r="S783" t="str">
        <f t="shared" si="63"/>
        <v>Karnataka</v>
      </c>
      <c r="T783">
        <f t="shared" si="64"/>
        <v>116000</v>
      </c>
    </row>
    <row r="784" spans="1:20" x14ac:dyDescent="0.35">
      <c r="A784" t="s">
        <v>797</v>
      </c>
      <c r="B784" t="s">
        <v>1320</v>
      </c>
      <c r="C784" t="s">
        <v>2208</v>
      </c>
      <c r="D784" t="s">
        <v>3259</v>
      </c>
      <c r="E784" t="s">
        <v>3671</v>
      </c>
      <c r="F784">
        <v>50</v>
      </c>
      <c r="G784" t="s">
        <v>3673</v>
      </c>
      <c r="H784" t="s">
        <v>3673</v>
      </c>
      <c r="I784" t="s">
        <v>3687</v>
      </c>
      <c r="J784" t="s">
        <v>3693</v>
      </c>
      <c r="K784" t="s">
        <v>3697</v>
      </c>
      <c r="L784">
        <v>1</v>
      </c>
      <c r="M784">
        <v>5000</v>
      </c>
      <c r="N784" t="s">
        <v>3703</v>
      </c>
      <c r="O784" t="s">
        <v>3706</v>
      </c>
      <c r="P784" s="2">
        <f t="shared" si="60"/>
        <v>45841</v>
      </c>
      <c r="Q784" t="str">
        <f t="shared" si="61"/>
        <v>Vidur Subramaniam</v>
      </c>
      <c r="R784" t="str">
        <f t="shared" si="62"/>
        <v>Delhi</v>
      </c>
      <c r="S784" t="str">
        <f t="shared" si="63"/>
        <v>Delhi</v>
      </c>
      <c r="T784">
        <f t="shared" si="64"/>
        <v>5000</v>
      </c>
    </row>
    <row r="785" spans="1:20" x14ac:dyDescent="0.35">
      <c r="A785" t="s">
        <v>798</v>
      </c>
      <c r="B785" t="s">
        <v>1662</v>
      </c>
      <c r="C785" t="s">
        <v>2050</v>
      </c>
      <c r="D785" t="s">
        <v>3260</v>
      </c>
      <c r="E785" t="s">
        <v>3672</v>
      </c>
      <c r="F785">
        <v>31</v>
      </c>
      <c r="G785" t="s">
        <v>3675</v>
      </c>
      <c r="H785" t="s">
        <v>3681</v>
      </c>
      <c r="I785" t="s">
        <v>3688</v>
      </c>
      <c r="J785" t="s">
        <v>3694</v>
      </c>
      <c r="K785" t="s">
        <v>3698</v>
      </c>
      <c r="L785">
        <v>5</v>
      </c>
      <c r="M785">
        <v>4500</v>
      </c>
      <c r="N785" t="s">
        <v>3702</v>
      </c>
      <c r="O785" t="s">
        <v>3707</v>
      </c>
      <c r="P785" s="2">
        <f t="shared" si="60"/>
        <v>45738</v>
      </c>
      <c r="Q785" t="str">
        <f t="shared" si="61"/>
        <v>Amani Ratta</v>
      </c>
      <c r="R785" t="str">
        <f t="shared" si="62"/>
        <v>Kolkata</v>
      </c>
      <c r="S785" t="str">
        <f t="shared" si="63"/>
        <v>West Bengal</v>
      </c>
      <c r="T785">
        <f t="shared" si="64"/>
        <v>22500</v>
      </c>
    </row>
    <row r="786" spans="1:20" x14ac:dyDescent="0.35">
      <c r="A786" t="s">
        <v>799</v>
      </c>
      <c r="B786" t="s">
        <v>1596</v>
      </c>
      <c r="C786" t="s">
        <v>2343</v>
      </c>
      <c r="D786" t="s">
        <v>3261</v>
      </c>
      <c r="E786" t="s">
        <v>3671</v>
      </c>
      <c r="F786">
        <v>31</v>
      </c>
      <c r="G786" t="s">
        <v>3676</v>
      </c>
      <c r="H786" t="s">
        <v>3682</v>
      </c>
      <c r="I786" t="s">
        <v>3686</v>
      </c>
      <c r="J786" t="s">
        <v>3693</v>
      </c>
      <c r="K786" t="s">
        <v>3696</v>
      </c>
      <c r="L786">
        <v>4</v>
      </c>
      <c r="M786">
        <v>65000</v>
      </c>
      <c r="N786" t="s">
        <v>3701</v>
      </c>
      <c r="O786" t="s">
        <v>3706</v>
      </c>
      <c r="P786" s="2">
        <f t="shared" si="60"/>
        <v>45911</v>
      </c>
      <c r="Q786" t="str">
        <f t="shared" si="61"/>
        <v>Mamooty Chahal</v>
      </c>
      <c r="R786" t="str">
        <f t="shared" si="62"/>
        <v>Chennai</v>
      </c>
      <c r="S786" t="str">
        <f t="shared" si="63"/>
        <v>Tamil Nadu</v>
      </c>
      <c r="T786">
        <f t="shared" si="64"/>
        <v>260000</v>
      </c>
    </row>
    <row r="787" spans="1:20" x14ac:dyDescent="0.35">
      <c r="A787" t="s">
        <v>800</v>
      </c>
      <c r="B787" t="s">
        <v>1417</v>
      </c>
      <c r="C787" t="s">
        <v>2344</v>
      </c>
      <c r="D787" t="s">
        <v>3262</v>
      </c>
      <c r="E787" t="s">
        <v>3672</v>
      </c>
      <c r="F787">
        <v>33</v>
      </c>
      <c r="G787" t="s">
        <v>3676</v>
      </c>
      <c r="H787" t="s">
        <v>3682</v>
      </c>
      <c r="I787" t="s">
        <v>3685</v>
      </c>
      <c r="J787" t="s">
        <v>3692</v>
      </c>
      <c r="K787" t="s">
        <v>3695</v>
      </c>
      <c r="L787">
        <v>3</v>
      </c>
      <c r="M787">
        <v>12000</v>
      </c>
      <c r="N787" t="s">
        <v>3703</v>
      </c>
      <c r="O787" t="s">
        <v>3706</v>
      </c>
      <c r="P787" s="2">
        <f t="shared" si="60"/>
        <v>45675</v>
      </c>
      <c r="Q787" t="str">
        <f t="shared" si="61"/>
        <v>Jayan Lala</v>
      </c>
      <c r="R787" t="str">
        <f t="shared" si="62"/>
        <v>Chennai</v>
      </c>
      <c r="S787" t="str">
        <f t="shared" si="63"/>
        <v>Tamil Nadu</v>
      </c>
      <c r="T787">
        <f t="shared" si="64"/>
        <v>36000</v>
      </c>
    </row>
    <row r="788" spans="1:20" x14ac:dyDescent="0.35">
      <c r="A788" t="s">
        <v>801</v>
      </c>
      <c r="B788" t="s">
        <v>1616</v>
      </c>
      <c r="C788" t="s">
        <v>2345</v>
      </c>
      <c r="D788" t="s">
        <v>3263</v>
      </c>
      <c r="E788" t="s">
        <v>3671</v>
      </c>
      <c r="F788">
        <v>49</v>
      </c>
      <c r="G788" t="s">
        <v>3675</v>
      </c>
      <c r="H788" t="s">
        <v>3681</v>
      </c>
      <c r="I788" t="s">
        <v>3688</v>
      </c>
      <c r="J788" t="s">
        <v>3694</v>
      </c>
      <c r="K788" t="s">
        <v>3698</v>
      </c>
      <c r="L788">
        <v>2</v>
      </c>
      <c r="M788">
        <v>4500</v>
      </c>
      <c r="N788" t="s">
        <v>3701</v>
      </c>
      <c r="O788" t="s">
        <v>3705</v>
      </c>
      <c r="P788" s="2">
        <f t="shared" si="60"/>
        <v>45922</v>
      </c>
      <c r="Q788" t="str">
        <f t="shared" si="61"/>
        <v>Lakshit Chawla</v>
      </c>
      <c r="R788" t="str">
        <f t="shared" si="62"/>
        <v>Kolkata</v>
      </c>
      <c r="S788" t="str">
        <f t="shared" si="63"/>
        <v>West Bengal</v>
      </c>
      <c r="T788">
        <f t="shared" si="64"/>
        <v>9000</v>
      </c>
    </row>
    <row r="789" spans="1:20" x14ac:dyDescent="0.35">
      <c r="A789" t="s">
        <v>802</v>
      </c>
      <c r="B789" t="s">
        <v>1398</v>
      </c>
      <c r="C789" t="s">
        <v>1878</v>
      </c>
      <c r="D789" t="s">
        <v>3264</v>
      </c>
      <c r="E789" t="s">
        <v>3671</v>
      </c>
      <c r="F789">
        <v>54</v>
      </c>
      <c r="G789" t="s">
        <v>3674</v>
      </c>
      <c r="H789" t="s">
        <v>3680</v>
      </c>
      <c r="I789" t="s">
        <v>3690</v>
      </c>
      <c r="J789" t="s">
        <v>3693</v>
      </c>
      <c r="K789" t="s">
        <v>3700</v>
      </c>
      <c r="L789">
        <v>2</v>
      </c>
      <c r="M789">
        <v>72000</v>
      </c>
      <c r="N789" t="s">
        <v>3704</v>
      </c>
      <c r="O789" t="s">
        <v>3707</v>
      </c>
      <c r="P789" s="2">
        <f t="shared" si="60"/>
        <v>45668</v>
      </c>
      <c r="Q789" t="str">
        <f t="shared" si="61"/>
        <v>Aayush Lata</v>
      </c>
      <c r="R789" t="str">
        <f t="shared" si="62"/>
        <v>Pune</v>
      </c>
      <c r="S789" t="str">
        <f t="shared" si="63"/>
        <v>Maharashtra</v>
      </c>
      <c r="T789">
        <f t="shared" si="64"/>
        <v>144000</v>
      </c>
    </row>
    <row r="790" spans="1:20" x14ac:dyDescent="0.35">
      <c r="A790" t="s">
        <v>803</v>
      </c>
      <c r="B790" t="s">
        <v>1688</v>
      </c>
      <c r="C790" t="s">
        <v>2346</v>
      </c>
      <c r="D790" t="s">
        <v>3265</v>
      </c>
      <c r="E790" t="s">
        <v>3672</v>
      </c>
      <c r="F790">
        <v>32</v>
      </c>
      <c r="G790" t="s">
        <v>3673</v>
      </c>
      <c r="H790" t="s">
        <v>3673</v>
      </c>
      <c r="I790" t="s">
        <v>3686</v>
      </c>
      <c r="J790" t="s">
        <v>3693</v>
      </c>
      <c r="K790" t="s">
        <v>3696</v>
      </c>
      <c r="L790">
        <v>1</v>
      </c>
      <c r="M790">
        <v>65000</v>
      </c>
      <c r="N790" t="s">
        <v>3702</v>
      </c>
      <c r="O790" t="s">
        <v>3707</v>
      </c>
      <c r="P790" s="2">
        <f t="shared" si="60"/>
        <v>45900</v>
      </c>
      <c r="Q790" t="str">
        <f t="shared" si="61"/>
        <v>Adah Ahluwalia</v>
      </c>
      <c r="R790" t="str">
        <f t="shared" si="62"/>
        <v>Delhi</v>
      </c>
      <c r="S790" t="str">
        <f t="shared" si="63"/>
        <v>Delhi</v>
      </c>
      <c r="T790">
        <f t="shared" si="64"/>
        <v>65000</v>
      </c>
    </row>
    <row r="791" spans="1:20" x14ac:dyDescent="0.35">
      <c r="A791" t="s">
        <v>804</v>
      </c>
      <c r="B791" t="s">
        <v>1689</v>
      </c>
      <c r="C791" t="s">
        <v>2012</v>
      </c>
      <c r="D791" t="s">
        <v>3266</v>
      </c>
      <c r="E791" t="s">
        <v>3671</v>
      </c>
      <c r="F791">
        <v>58</v>
      </c>
      <c r="G791" t="s">
        <v>3679</v>
      </c>
      <c r="H791" t="s">
        <v>3684</v>
      </c>
      <c r="I791" t="s">
        <v>3691</v>
      </c>
      <c r="J791" t="s">
        <v>3693</v>
      </c>
      <c r="K791" t="s">
        <v>3696</v>
      </c>
      <c r="L791">
        <v>1</v>
      </c>
      <c r="M791">
        <v>58000</v>
      </c>
      <c r="N791" t="s">
        <v>3702</v>
      </c>
      <c r="O791" t="s">
        <v>3706</v>
      </c>
      <c r="P791" s="2">
        <f t="shared" si="60"/>
        <v>45756</v>
      </c>
      <c r="Q791" t="str">
        <f t="shared" si="61"/>
        <v>Vritika Bera</v>
      </c>
      <c r="R791" t="str">
        <f t="shared" si="62"/>
        <v>Bengaluru</v>
      </c>
      <c r="S791" t="str">
        <f t="shared" si="63"/>
        <v>Karnataka</v>
      </c>
      <c r="T791">
        <f t="shared" si="64"/>
        <v>58000</v>
      </c>
    </row>
    <row r="792" spans="1:20" x14ac:dyDescent="0.35">
      <c r="A792" t="s">
        <v>805</v>
      </c>
      <c r="B792" t="s">
        <v>1649</v>
      </c>
      <c r="C792" t="s">
        <v>2347</v>
      </c>
      <c r="D792" t="s">
        <v>3267</v>
      </c>
      <c r="E792" t="s">
        <v>3671</v>
      </c>
      <c r="F792">
        <v>34</v>
      </c>
      <c r="G792" t="s">
        <v>3677</v>
      </c>
      <c r="H792" t="s">
        <v>3680</v>
      </c>
      <c r="I792" t="s">
        <v>3687</v>
      </c>
      <c r="J792" t="s">
        <v>3693</v>
      </c>
      <c r="K792" t="s">
        <v>3697</v>
      </c>
      <c r="L792">
        <v>2</v>
      </c>
      <c r="M792">
        <v>5000</v>
      </c>
      <c r="N792" t="s">
        <v>3701</v>
      </c>
      <c r="O792" t="s">
        <v>3707</v>
      </c>
      <c r="P792" s="2">
        <f t="shared" si="60"/>
        <v>45844</v>
      </c>
      <c r="Q792" t="str">
        <f t="shared" si="61"/>
        <v>Stuvan Mane</v>
      </c>
      <c r="R792" t="str">
        <f t="shared" si="62"/>
        <v>Mumbai</v>
      </c>
      <c r="S792" t="str">
        <f t="shared" si="63"/>
        <v>Maharashtra</v>
      </c>
      <c r="T792">
        <f t="shared" si="64"/>
        <v>10000</v>
      </c>
    </row>
    <row r="793" spans="1:20" x14ac:dyDescent="0.35">
      <c r="A793" t="s">
        <v>806</v>
      </c>
      <c r="B793" t="s">
        <v>1481</v>
      </c>
      <c r="C793" t="s">
        <v>2348</v>
      </c>
      <c r="D793" t="s">
        <v>3268</v>
      </c>
      <c r="E793" t="s">
        <v>3672</v>
      </c>
      <c r="F793">
        <v>28</v>
      </c>
      <c r="G793" t="s">
        <v>3675</v>
      </c>
      <c r="H793" t="s">
        <v>3681</v>
      </c>
      <c r="I793" t="s">
        <v>3686</v>
      </c>
      <c r="J793" t="s">
        <v>3693</v>
      </c>
      <c r="K793" t="s">
        <v>3696</v>
      </c>
      <c r="L793">
        <v>2</v>
      </c>
      <c r="M793">
        <v>65000</v>
      </c>
      <c r="N793" t="s">
        <v>3704</v>
      </c>
      <c r="O793" t="s">
        <v>3707</v>
      </c>
      <c r="P793" s="2">
        <f t="shared" si="60"/>
        <v>45884</v>
      </c>
      <c r="Q793" t="str">
        <f t="shared" si="61"/>
        <v>Alia Mani</v>
      </c>
      <c r="R793" t="str">
        <f t="shared" si="62"/>
        <v>Kolkata</v>
      </c>
      <c r="S793" t="str">
        <f t="shared" si="63"/>
        <v>West Bengal</v>
      </c>
      <c r="T793">
        <f t="shared" si="64"/>
        <v>130000</v>
      </c>
    </row>
    <row r="794" spans="1:20" x14ac:dyDescent="0.35">
      <c r="A794" t="s">
        <v>807</v>
      </c>
      <c r="B794" t="s">
        <v>1403</v>
      </c>
      <c r="C794" t="s">
        <v>1998</v>
      </c>
      <c r="D794" t="s">
        <v>3269</v>
      </c>
      <c r="E794" t="s">
        <v>3672</v>
      </c>
      <c r="F794">
        <v>39</v>
      </c>
      <c r="G794" t="s">
        <v>3676</v>
      </c>
      <c r="H794" t="s">
        <v>3682</v>
      </c>
      <c r="I794" t="s">
        <v>3689</v>
      </c>
      <c r="J794" t="s">
        <v>3694</v>
      </c>
      <c r="K794" t="s">
        <v>3699</v>
      </c>
      <c r="L794">
        <v>1</v>
      </c>
      <c r="M794">
        <v>1800</v>
      </c>
      <c r="N794" t="s">
        <v>3702</v>
      </c>
      <c r="O794" t="s">
        <v>3706</v>
      </c>
      <c r="P794" s="2">
        <f t="shared" si="60"/>
        <v>45711</v>
      </c>
      <c r="Q794" t="str">
        <f t="shared" si="61"/>
        <v>Shalv Sarna</v>
      </c>
      <c r="R794" t="str">
        <f t="shared" si="62"/>
        <v>Chennai</v>
      </c>
      <c r="S794" t="str">
        <f t="shared" si="63"/>
        <v>Tamil Nadu</v>
      </c>
      <c r="T794">
        <f t="shared" si="64"/>
        <v>1800</v>
      </c>
    </row>
    <row r="795" spans="1:20" x14ac:dyDescent="0.35">
      <c r="A795" t="s">
        <v>808</v>
      </c>
      <c r="B795" t="s">
        <v>1690</v>
      </c>
      <c r="C795" t="s">
        <v>2056</v>
      </c>
      <c r="D795" t="s">
        <v>3270</v>
      </c>
      <c r="E795" t="s">
        <v>3671</v>
      </c>
      <c r="F795">
        <v>58</v>
      </c>
      <c r="G795" t="s">
        <v>3678</v>
      </c>
      <c r="H795" t="s">
        <v>3683</v>
      </c>
      <c r="I795" t="s">
        <v>3691</v>
      </c>
      <c r="J795" t="s">
        <v>3693</v>
      </c>
      <c r="K795" t="s">
        <v>3696</v>
      </c>
      <c r="L795">
        <v>1</v>
      </c>
      <c r="M795">
        <v>58000</v>
      </c>
      <c r="N795" t="s">
        <v>3702</v>
      </c>
      <c r="O795" t="s">
        <v>3707</v>
      </c>
      <c r="P795" s="2">
        <f t="shared" si="60"/>
        <v>45850</v>
      </c>
      <c r="Q795" t="str">
        <f t="shared" si="61"/>
        <v>Saira Bal</v>
      </c>
      <c r="R795" t="str">
        <f t="shared" si="62"/>
        <v>Hyderabad</v>
      </c>
      <c r="S795" t="str">
        <f t="shared" si="63"/>
        <v>Telangana</v>
      </c>
      <c r="T795">
        <f t="shared" si="64"/>
        <v>58000</v>
      </c>
    </row>
    <row r="796" spans="1:20" x14ac:dyDescent="0.35">
      <c r="A796" t="s">
        <v>809</v>
      </c>
      <c r="B796" t="s">
        <v>1580</v>
      </c>
      <c r="C796" t="s">
        <v>2196</v>
      </c>
      <c r="D796" t="s">
        <v>3271</v>
      </c>
      <c r="E796" t="s">
        <v>3672</v>
      </c>
      <c r="F796">
        <v>46</v>
      </c>
      <c r="G796" t="s">
        <v>3678</v>
      </c>
      <c r="H796" t="s">
        <v>3683</v>
      </c>
      <c r="I796" t="s">
        <v>3685</v>
      </c>
      <c r="J796" t="s">
        <v>3692</v>
      </c>
      <c r="K796" t="s">
        <v>3695</v>
      </c>
      <c r="L796">
        <v>3</v>
      </c>
      <c r="M796">
        <v>12000</v>
      </c>
      <c r="N796" t="s">
        <v>3701</v>
      </c>
      <c r="O796" t="s">
        <v>3707</v>
      </c>
      <c r="P796" s="2">
        <f t="shared" si="60"/>
        <v>45739</v>
      </c>
      <c r="Q796" t="str">
        <f t="shared" si="61"/>
        <v>Ela Chhabra</v>
      </c>
      <c r="R796" t="str">
        <f t="shared" si="62"/>
        <v>Hyderabad</v>
      </c>
      <c r="S796" t="str">
        <f t="shared" si="63"/>
        <v>Telangana</v>
      </c>
      <c r="T796">
        <f t="shared" si="64"/>
        <v>36000</v>
      </c>
    </row>
    <row r="797" spans="1:20" x14ac:dyDescent="0.35">
      <c r="A797" t="s">
        <v>810</v>
      </c>
      <c r="B797" t="s">
        <v>1691</v>
      </c>
      <c r="C797" t="s">
        <v>2349</v>
      </c>
      <c r="D797" t="s">
        <v>3272</v>
      </c>
      <c r="E797" t="s">
        <v>3672</v>
      </c>
      <c r="F797">
        <v>36</v>
      </c>
      <c r="G797" t="s">
        <v>3674</v>
      </c>
      <c r="H797" t="s">
        <v>3680</v>
      </c>
      <c r="I797" t="s">
        <v>3688</v>
      </c>
      <c r="J797" t="s">
        <v>3694</v>
      </c>
      <c r="K797" t="s">
        <v>3698</v>
      </c>
      <c r="L797">
        <v>1</v>
      </c>
      <c r="M797">
        <v>4500</v>
      </c>
      <c r="N797" t="s">
        <v>3702</v>
      </c>
      <c r="O797" t="s">
        <v>3707</v>
      </c>
      <c r="P797" s="2">
        <f t="shared" si="60"/>
        <v>45787</v>
      </c>
      <c r="Q797" t="str">
        <f t="shared" si="61"/>
        <v>Raghav Sant</v>
      </c>
      <c r="R797" t="str">
        <f t="shared" si="62"/>
        <v>Pune</v>
      </c>
      <c r="S797" t="str">
        <f t="shared" si="63"/>
        <v>Maharashtra</v>
      </c>
      <c r="T797">
        <f t="shared" si="64"/>
        <v>4500</v>
      </c>
    </row>
    <row r="798" spans="1:20" x14ac:dyDescent="0.35">
      <c r="A798" t="s">
        <v>811</v>
      </c>
      <c r="B798" t="s">
        <v>1652</v>
      </c>
      <c r="C798" t="s">
        <v>2350</v>
      </c>
      <c r="D798" t="s">
        <v>3273</v>
      </c>
      <c r="E798" t="s">
        <v>3671</v>
      </c>
      <c r="F798">
        <v>30</v>
      </c>
      <c r="G798" t="s">
        <v>3674</v>
      </c>
      <c r="H798" t="s">
        <v>3680</v>
      </c>
      <c r="I798" t="s">
        <v>3685</v>
      </c>
      <c r="J798" t="s">
        <v>3692</v>
      </c>
      <c r="K798" t="s">
        <v>3695</v>
      </c>
      <c r="L798">
        <v>5</v>
      </c>
      <c r="M798">
        <v>12000</v>
      </c>
      <c r="N798" t="s">
        <v>3702</v>
      </c>
      <c r="O798" t="s">
        <v>3705</v>
      </c>
      <c r="P798" s="2">
        <f t="shared" si="60"/>
        <v>46021</v>
      </c>
      <c r="Q798" t="str">
        <f t="shared" si="61"/>
        <v>Stuvan Kumar</v>
      </c>
      <c r="R798" t="str">
        <f t="shared" si="62"/>
        <v>Pune</v>
      </c>
      <c r="S798" t="str">
        <f t="shared" si="63"/>
        <v>Maharashtra</v>
      </c>
      <c r="T798">
        <f t="shared" si="64"/>
        <v>60000</v>
      </c>
    </row>
    <row r="799" spans="1:20" x14ac:dyDescent="0.35">
      <c r="A799" t="s">
        <v>812</v>
      </c>
      <c r="B799" t="s">
        <v>1625</v>
      </c>
      <c r="C799" t="s">
        <v>2351</v>
      </c>
      <c r="D799" t="s">
        <v>3274</v>
      </c>
      <c r="E799" t="s">
        <v>3671</v>
      </c>
      <c r="F799">
        <v>35</v>
      </c>
      <c r="G799" t="s">
        <v>3674</v>
      </c>
      <c r="H799" t="s">
        <v>3680</v>
      </c>
      <c r="I799" t="s">
        <v>3691</v>
      </c>
      <c r="J799" t="s">
        <v>3693</v>
      </c>
      <c r="K799" t="s">
        <v>3696</v>
      </c>
      <c r="L799">
        <v>3</v>
      </c>
      <c r="M799">
        <v>58000</v>
      </c>
      <c r="N799" t="s">
        <v>3704</v>
      </c>
      <c r="O799" t="s">
        <v>3707</v>
      </c>
      <c r="P799" s="2">
        <f t="shared" si="60"/>
        <v>45690</v>
      </c>
      <c r="Q799" t="str">
        <f t="shared" si="61"/>
        <v>Yasmin Dar</v>
      </c>
      <c r="R799" t="str">
        <f t="shared" si="62"/>
        <v>Pune</v>
      </c>
      <c r="S799" t="str">
        <f t="shared" si="63"/>
        <v>Maharashtra</v>
      </c>
      <c r="T799">
        <f t="shared" si="64"/>
        <v>174000</v>
      </c>
    </row>
    <row r="800" spans="1:20" x14ac:dyDescent="0.35">
      <c r="A800" t="s">
        <v>813</v>
      </c>
      <c r="B800" t="s">
        <v>1645</v>
      </c>
      <c r="C800" t="s">
        <v>2265</v>
      </c>
      <c r="D800" t="s">
        <v>3275</v>
      </c>
      <c r="E800" t="s">
        <v>3672</v>
      </c>
      <c r="F800">
        <v>58</v>
      </c>
      <c r="G800" t="s">
        <v>3673</v>
      </c>
      <c r="H800" t="s">
        <v>3673</v>
      </c>
      <c r="I800" t="s">
        <v>3690</v>
      </c>
      <c r="J800" t="s">
        <v>3693</v>
      </c>
      <c r="K800" t="s">
        <v>3700</v>
      </c>
      <c r="L800">
        <v>3</v>
      </c>
      <c r="M800">
        <v>72000</v>
      </c>
      <c r="N800" t="s">
        <v>3704</v>
      </c>
      <c r="O800" t="s">
        <v>3707</v>
      </c>
      <c r="P800" s="2">
        <f t="shared" si="60"/>
        <v>45961</v>
      </c>
      <c r="Q800" t="str">
        <f t="shared" si="61"/>
        <v>Purab Yadav</v>
      </c>
      <c r="R800" t="str">
        <f t="shared" si="62"/>
        <v>Delhi</v>
      </c>
      <c r="S800" t="str">
        <f t="shared" si="63"/>
        <v>Delhi</v>
      </c>
      <c r="T800">
        <f t="shared" si="64"/>
        <v>216000</v>
      </c>
    </row>
    <row r="801" spans="1:20" x14ac:dyDescent="0.35">
      <c r="A801" t="s">
        <v>814</v>
      </c>
      <c r="B801" t="s">
        <v>1692</v>
      </c>
      <c r="C801" t="s">
        <v>2210</v>
      </c>
      <c r="D801" t="s">
        <v>3276</v>
      </c>
      <c r="E801" t="s">
        <v>3671</v>
      </c>
      <c r="F801">
        <v>27</v>
      </c>
      <c r="G801" t="s">
        <v>3673</v>
      </c>
      <c r="H801" t="s">
        <v>3673</v>
      </c>
      <c r="I801" t="s">
        <v>3691</v>
      </c>
      <c r="J801" t="s">
        <v>3693</v>
      </c>
      <c r="K801" t="s">
        <v>3696</v>
      </c>
      <c r="L801">
        <v>5</v>
      </c>
      <c r="M801">
        <v>58000</v>
      </c>
      <c r="N801" t="s">
        <v>3701</v>
      </c>
      <c r="O801" t="s">
        <v>3705</v>
      </c>
      <c r="P801" s="2">
        <f t="shared" si="60"/>
        <v>45940</v>
      </c>
      <c r="Q801" t="str">
        <f t="shared" si="61"/>
        <v>Jhanvi Biswas</v>
      </c>
      <c r="R801" t="str">
        <f t="shared" si="62"/>
        <v>Delhi</v>
      </c>
      <c r="S801" t="str">
        <f t="shared" si="63"/>
        <v>Delhi</v>
      </c>
      <c r="T801">
        <f t="shared" si="64"/>
        <v>290000</v>
      </c>
    </row>
    <row r="802" spans="1:20" x14ac:dyDescent="0.35">
      <c r="A802" t="s">
        <v>815</v>
      </c>
      <c r="B802" t="s">
        <v>1653</v>
      </c>
      <c r="C802" t="s">
        <v>2352</v>
      </c>
      <c r="D802" t="s">
        <v>3277</v>
      </c>
      <c r="E802" t="s">
        <v>3671</v>
      </c>
      <c r="F802">
        <v>51</v>
      </c>
      <c r="G802" t="s">
        <v>3675</v>
      </c>
      <c r="H802" t="s">
        <v>3681</v>
      </c>
      <c r="I802" t="s">
        <v>3686</v>
      </c>
      <c r="J802" t="s">
        <v>3693</v>
      </c>
      <c r="K802" t="s">
        <v>3696</v>
      </c>
      <c r="L802">
        <v>3</v>
      </c>
      <c r="M802">
        <v>65000</v>
      </c>
      <c r="N802" t="s">
        <v>3702</v>
      </c>
      <c r="O802" t="s">
        <v>3705</v>
      </c>
      <c r="P802" s="2">
        <f t="shared" si="60"/>
        <v>45997</v>
      </c>
      <c r="Q802" t="str">
        <f t="shared" si="61"/>
        <v>Anaya Zacharia</v>
      </c>
      <c r="R802" t="str">
        <f t="shared" si="62"/>
        <v>Kolkata</v>
      </c>
      <c r="S802" t="str">
        <f t="shared" si="63"/>
        <v>West Bengal</v>
      </c>
      <c r="T802">
        <f t="shared" si="64"/>
        <v>195000</v>
      </c>
    </row>
    <row r="803" spans="1:20" x14ac:dyDescent="0.35">
      <c r="A803" t="s">
        <v>816</v>
      </c>
      <c r="B803" t="s">
        <v>1435</v>
      </c>
      <c r="C803" t="s">
        <v>2160</v>
      </c>
      <c r="D803" t="s">
        <v>3278</v>
      </c>
      <c r="E803" t="s">
        <v>3672</v>
      </c>
      <c r="F803">
        <v>19</v>
      </c>
      <c r="G803" t="s">
        <v>3677</v>
      </c>
      <c r="H803" t="s">
        <v>3680</v>
      </c>
      <c r="I803" t="s">
        <v>3688</v>
      </c>
      <c r="J803" t="s">
        <v>3694</v>
      </c>
      <c r="K803" t="s">
        <v>3698</v>
      </c>
      <c r="L803">
        <v>1</v>
      </c>
      <c r="M803">
        <v>4500</v>
      </c>
      <c r="N803" t="s">
        <v>3704</v>
      </c>
      <c r="O803" t="s">
        <v>3707</v>
      </c>
      <c r="P803" s="2">
        <f t="shared" si="60"/>
        <v>45962</v>
      </c>
      <c r="Q803" t="str">
        <f t="shared" si="61"/>
        <v>Neysa Ram</v>
      </c>
      <c r="R803" t="str">
        <f t="shared" si="62"/>
        <v>Mumbai</v>
      </c>
      <c r="S803" t="str">
        <f t="shared" si="63"/>
        <v>Maharashtra</v>
      </c>
      <c r="T803">
        <f t="shared" si="64"/>
        <v>4500</v>
      </c>
    </row>
    <row r="804" spans="1:20" x14ac:dyDescent="0.35">
      <c r="A804" t="s">
        <v>817</v>
      </c>
      <c r="B804" t="s">
        <v>1421</v>
      </c>
      <c r="C804" t="s">
        <v>2353</v>
      </c>
      <c r="D804" t="s">
        <v>3279</v>
      </c>
      <c r="E804" t="s">
        <v>3671</v>
      </c>
      <c r="F804">
        <v>35</v>
      </c>
      <c r="G804" t="s">
        <v>3676</v>
      </c>
      <c r="H804" t="s">
        <v>3682</v>
      </c>
      <c r="I804" t="s">
        <v>3688</v>
      </c>
      <c r="J804" t="s">
        <v>3694</v>
      </c>
      <c r="K804" t="s">
        <v>3698</v>
      </c>
      <c r="L804">
        <v>5</v>
      </c>
      <c r="M804">
        <v>4500</v>
      </c>
      <c r="N804" t="s">
        <v>3702</v>
      </c>
      <c r="O804" t="s">
        <v>3705</v>
      </c>
      <c r="P804" s="2">
        <f t="shared" si="60"/>
        <v>45770</v>
      </c>
      <c r="Q804" t="str">
        <f t="shared" si="61"/>
        <v>Aarush Srinivas</v>
      </c>
      <c r="R804" t="str">
        <f t="shared" si="62"/>
        <v>Chennai</v>
      </c>
      <c r="S804" t="str">
        <f t="shared" si="63"/>
        <v>Tamil Nadu</v>
      </c>
      <c r="T804">
        <f t="shared" si="64"/>
        <v>22500</v>
      </c>
    </row>
    <row r="805" spans="1:20" x14ac:dyDescent="0.35">
      <c r="A805" t="s">
        <v>818</v>
      </c>
      <c r="B805" t="s">
        <v>1400</v>
      </c>
      <c r="C805" t="s">
        <v>1943</v>
      </c>
      <c r="D805" t="s">
        <v>3280</v>
      </c>
      <c r="E805" t="s">
        <v>3671</v>
      </c>
      <c r="F805">
        <v>47</v>
      </c>
      <c r="G805" t="s">
        <v>3678</v>
      </c>
      <c r="H805" t="s">
        <v>3683</v>
      </c>
      <c r="I805" t="s">
        <v>3686</v>
      </c>
      <c r="J805" t="s">
        <v>3693</v>
      </c>
      <c r="K805" t="s">
        <v>3696</v>
      </c>
      <c r="L805">
        <v>2</v>
      </c>
      <c r="M805">
        <v>65000</v>
      </c>
      <c r="N805" t="s">
        <v>3702</v>
      </c>
      <c r="O805" t="s">
        <v>3705</v>
      </c>
      <c r="P805" s="2">
        <f t="shared" si="60"/>
        <v>45730</v>
      </c>
      <c r="Q805" t="str">
        <f t="shared" si="61"/>
        <v>Shaan Dixit</v>
      </c>
      <c r="R805" t="str">
        <f t="shared" si="62"/>
        <v>Hyderabad</v>
      </c>
      <c r="S805" t="str">
        <f t="shared" si="63"/>
        <v>Telangana</v>
      </c>
      <c r="T805">
        <f t="shared" si="64"/>
        <v>130000</v>
      </c>
    </row>
    <row r="806" spans="1:20" x14ac:dyDescent="0.35">
      <c r="A806" t="s">
        <v>819</v>
      </c>
      <c r="B806" t="s">
        <v>1373</v>
      </c>
      <c r="C806" t="s">
        <v>2097</v>
      </c>
      <c r="D806" t="s">
        <v>3281</v>
      </c>
      <c r="E806" t="s">
        <v>3672</v>
      </c>
      <c r="F806">
        <v>26</v>
      </c>
      <c r="G806" t="s">
        <v>3679</v>
      </c>
      <c r="H806" t="s">
        <v>3684</v>
      </c>
      <c r="I806" t="s">
        <v>3691</v>
      </c>
      <c r="J806" t="s">
        <v>3693</v>
      </c>
      <c r="K806" t="s">
        <v>3696</v>
      </c>
      <c r="L806">
        <v>1</v>
      </c>
      <c r="M806">
        <v>58000</v>
      </c>
      <c r="N806" t="s">
        <v>3704</v>
      </c>
      <c r="O806" t="s">
        <v>3706</v>
      </c>
      <c r="P806" s="2">
        <f t="shared" si="60"/>
        <v>45793</v>
      </c>
      <c r="Q806" t="str">
        <f t="shared" si="61"/>
        <v>Tanya Sen</v>
      </c>
      <c r="R806" t="str">
        <f t="shared" si="62"/>
        <v>Bengaluru</v>
      </c>
      <c r="S806" t="str">
        <f t="shared" si="63"/>
        <v>Karnataka</v>
      </c>
      <c r="T806">
        <f t="shared" si="64"/>
        <v>58000</v>
      </c>
    </row>
    <row r="807" spans="1:20" x14ac:dyDescent="0.35">
      <c r="A807" t="s">
        <v>820</v>
      </c>
      <c r="B807" t="s">
        <v>1289</v>
      </c>
      <c r="C807" t="s">
        <v>2034</v>
      </c>
      <c r="D807" t="s">
        <v>3282</v>
      </c>
      <c r="E807" t="s">
        <v>3672</v>
      </c>
      <c r="F807">
        <v>28</v>
      </c>
      <c r="G807" t="s">
        <v>3676</v>
      </c>
      <c r="H807" t="s">
        <v>3682</v>
      </c>
      <c r="I807" t="s">
        <v>3685</v>
      </c>
      <c r="J807" t="s">
        <v>3692</v>
      </c>
      <c r="K807" t="s">
        <v>3695</v>
      </c>
      <c r="L807">
        <v>5</v>
      </c>
      <c r="M807">
        <v>12000</v>
      </c>
      <c r="N807" t="s">
        <v>3701</v>
      </c>
      <c r="O807" t="s">
        <v>3706</v>
      </c>
      <c r="P807" s="2">
        <f t="shared" si="60"/>
        <v>45776</v>
      </c>
      <c r="Q807" t="str">
        <f t="shared" si="61"/>
        <v>Prisha Hayer</v>
      </c>
      <c r="R807" t="str">
        <f t="shared" si="62"/>
        <v>Chennai</v>
      </c>
      <c r="S807" t="str">
        <f t="shared" si="63"/>
        <v>Tamil Nadu</v>
      </c>
      <c r="T807">
        <f t="shared" si="64"/>
        <v>60000</v>
      </c>
    </row>
    <row r="808" spans="1:20" x14ac:dyDescent="0.35">
      <c r="A808" t="s">
        <v>821</v>
      </c>
      <c r="B808" t="s">
        <v>1469</v>
      </c>
      <c r="C808" t="s">
        <v>2354</v>
      </c>
      <c r="D808" t="s">
        <v>3283</v>
      </c>
      <c r="E808" t="s">
        <v>3672</v>
      </c>
      <c r="F808">
        <v>39</v>
      </c>
      <c r="G808" t="s">
        <v>3677</v>
      </c>
      <c r="H808" t="s">
        <v>3680</v>
      </c>
      <c r="I808" t="s">
        <v>3690</v>
      </c>
      <c r="J808" t="s">
        <v>3693</v>
      </c>
      <c r="K808" t="s">
        <v>3700</v>
      </c>
      <c r="L808">
        <v>2</v>
      </c>
      <c r="M808">
        <v>72000</v>
      </c>
      <c r="N808" t="s">
        <v>3703</v>
      </c>
      <c r="O808" t="s">
        <v>3707</v>
      </c>
      <c r="P808" s="2">
        <f t="shared" si="60"/>
        <v>45788</v>
      </c>
      <c r="Q808" t="str">
        <f t="shared" si="61"/>
        <v>Abram Master</v>
      </c>
      <c r="R808" t="str">
        <f t="shared" si="62"/>
        <v>Mumbai</v>
      </c>
      <c r="S808" t="str">
        <f t="shared" si="63"/>
        <v>Maharashtra</v>
      </c>
      <c r="T808">
        <f t="shared" si="64"/>
        <v>144000</v>
      </c>
    </row>
    <row r="809" spans="1:20" x14ac:dyDescent="0.35">
      <c r="A809" t="s">
        <v>822</v>
      </c>
      <c r="B809" t="s">
        <v>1693</v>
      </c>
      <c r="C809" t="s">
        <v>2355</v>
      </c>
      <c r="D809" t="s">
        <v>3284</v>
      </c>
      <c r="E809" t="s">
        <v>3671</v>
      </c>
      <c r="F809">
        <v>40</v>
      </c>
      <c r="G809" t="s">
        <v>3673</v>
      </c>
      <c r="H809" t="s">
        <v>3673</v>
      </c>
      <c r="I809" t="s">
        <v>3685</v>
      </c>
      <c r="J809" t="s">
        <v>3692</v>
      </c>
      <c r="K809" t="s">
        <v>3695</v>
      </c>
      <c r="L809">
        <v>5</v>
      </c>
      <c r="M809">
        <v>12000</v>
      </c>
      <c r="N809" t="s">
        <v>3702</v>
      </c>
      <c r="O809" t="s">
        <v>3706</v>
      </c>
      <c r="P809" s="2">
        <f t="shared" si="60"/>
        <v>45874</v>
      </c>
      <c r="Q809" t="str">
        <f t="shared" si="61"/>
        <v>Divyansh Dara</v>
      </c>
      <c r="R809" t="str">
        <f t="shared" si="62"/>
        <v>Delhi</v>
      </c>
      <c r="S809" t="str">
        <f t="shared" si="63"/>
        <v>Delhi</v>
      </c>
      <c r="T809">
        <f t="shared" si="64"/>
        <v>60000</v>
      </c>
    </row>
    <row r="810" spans="1:20" x14ac:dyDescent="0.35">
      <c r="A810" t="s">
        <v>823</v>
      </c>
      <c r="B810" t="s">
        <v>1297</v>
      </c>
      <c r="C810" t="s">
        <v>2356</v>
      </c>
      <c r="D810" t="s">
        <v>3285</v>
      </c>
      <c r="E810" t="s">
        <v>3671</v>
      </c>
      <c r="F810">
        <v>30</v>
      </c>
      <c r="G810" t="s">
        <v>3675</v>
      </c>
      <c r="H810" t="s">
        <v>3681</v>
      </c>
      <c r="I810" t="s">
        <v>3688</v>
      </c>
      <c r="J810" t="s">
        <v>3694</v>
      </c>
      <c r="K810" t="s">
        <v>3698</v>
      </c>
      <c r="L810">
        <v>2</v>
      </c>
      <c r="M810">
        <v>4500</v>
      </c>
      <c r="N810" t="s">
        <v>3704</v>
      </c>
      <c r="O810" t="s">
        <v>3705</v>
      </c>
      <c r="P810" s="2">
        <f t="shared" si="60"/>
        <v>45871</v>
      </c>
      <c r="Q810" t="str">
        <f t="shared" si="61"/>
        <v>Anika Dugar</v>
      </c>
      <c r="R810" t="str">
        <f t="shared" si="62"/>
        <v>Kolkata</v>
      </c>
      <c r="S810" t="str">
        <f t="shared" si="63"/>
        <v>West Bengal</v>
      </c>
      <c r="T810">
        <f t="shared" si="64"/>
        <v>9000</v>
      </c>
    </row>
    <row r="811" spans="1:20" x14ac:dyDescent="0.35">
      <c r="A811" t="s">
        <v>824</v>
      </c>
      <c r="B811" t="s">
        <v>1406</v>
      </c>
      <c r="C811" t="s">
        <v>1887</v>
      </c>
      <c r="D811" t="s">
        <v>3286</v>
      </c>
      <c r="E811" t="s">
        <v>3671</v>
      </c>
      <c r="F811">
        <v>43</v>
      </c>
      <c r="G811" t="s">
        <v>3677</v>
      </c>
      <c r="H811" t="s">
        <v>3680</v>
      </c>
      <c r="I811" t="s">
        <v>3685</v>
      </c>
      <c r="J811" t="s">
        <v>3692</v>
      </c>
      <c r="K811" t="s">
        <v>3695</v>
      </c>
      <c r="L811">
        <v>1</v>
      </c>
      <c r="M811">
        <v>12000</v>
      </c>
      <c r="N811" t="s">
        <v>3704</v>
      </c>
      <c r="O811" t="s">
        <v>3707</v>
      </c>
      <c r="P811" s="2">
        <f t="shared" si="60"/>
        <v>45927</v>
      </c>
      <c r="Q811" t="str">
        <f t="shared" si="61"/>
        <v>Taimur Bath</v>
      </c>
      <c r="R811" t="str">
        <f t="shared" si="62"/>
        <v>Mumbai</v>
      </c>
      <c r="S811" t="str">
        <f t="shared" si="63"/>
        <v>Maharashtra</v>
      </c>
      <c r="T811">
        <f t="shared" si="64"/>
        <v>12000</v>
      </c>
    </row>
    <row r="812" spans="1:20" x14ac:dyDescent="0.35">
      <c r="A812" t="s">
        <v>825</v>
      </c>
      <c r="B812" t="s">
        <v>1220</v>
      </c>
      <c r="C812" t="s">
        <v>1957</v>
      </c>
      <c r="D812" t="s">
        <v>3287</v>
      </c>
      <c r="E812" t="s">
        <v>3671</v>
      </c>
      <c r="F812">
        <v>29</v>
      </c>
      <c r="G812" t="s">
        <v>3677</v>
      </c>
      <c r="H812" t="s">
        <v>3680</v>
      </c>
      <c r="I812" t="s">
        <v>3687</v>
      </c>
      <c r="J812" t="s">
        <v>3693</v>
      </c>
      <c r="K812" t="s">
        <v>3697</v>
      </c>
      <c r="L812">
        <v>1</v>
      </c>
      <c r="M812">
        <v>5000</v>
      </c>
      <c r="N812" t="s">
        <v>3701</v>
      </c>
      <c r="O812" t="s">
        <v>3706</v>
      </c>
      <c r="P812" s="2">
        <f t="shared" si="60"/>
        <v>45872</v>
      </c>
      <c r="Q812" t="str">
        <f t="shared" si="61"/>
        <v>Sana Ghosh</v>
      </c>
      <c r="R812" t="str">
        <f t="shared" si="62"/>
        <v>Mumbai</v>
      </c>
      <c r="S812" t="str">
        <f t="shared" si="63"/>
        <v>Maharashtra</v>
      </c>
      <c r="T812">
        <f t="shared" si="64"/>
        <v>5000</v>
      </c>
    </row>
    <row r="813" spans="1:20" x14ac:dyDescent="0.35">
      <c r="A813" t="s">
        <v>826</v>
      </c>
      <c r="B813" t="s">
        <v>1515</v>
      </c>
      <c r="C813" t="s">
        <v>2201</v>
      </c>
      <c r="D813" t="s">
        <v>3288</v>
      </c>
      <c r="E813" t="s">
        <v>3671</v>
      </c>
      <c r="F813">
        <v>60</v>
      </c>
      <c r="G813" t="s">
        <v>3677</v>
      </c>
      <c r="H813" t="s">
        <v>3680</v>
      </c>
      <c r="I813" t="s">
        <v>3687</v>
      </c>
      <c r="J813" t="s">
        <v>3693</v>
      </c>
      <c r="K813" t="s">
        <v>3697</v>
      </c>
      <c r="L813">
        <v>4</v>
      </c>
      <c r="M813">
        <v>5000</v>
      </c>
      <c r="N813" t="s">
        <v>3701</v>
      </c>
      <c r="O813" t="s">
        <v>3706</v>
      </c>
      <c r="P813" s="2">
        <f t="shared" si="60"/>
        <v>45856</v>
      </c>
      <c r="Q813" t="str">
        <f t="shared" si="61"/>
        <v>Vedika Ratti</v>
      </c>
      <c r="R813" t="str">
        <f t="shared" si="62"/>
        <v>Mumbai</v>
      </c>
      <c r="S813" t="str">
        <f t="shared" si="63"/>
        <v>Maharashtra</v>
      </c>
      <c r="T813">
        <f t="shared" si="64"/>
        <v>20000</v>
      </c>
    </row>
    <row r="814" spans="1:20" x14ac:dyDescent="0.35">
      <c r="A814" t="s">
        <v>827</v>
      </c>
      <c r="B814" t="s">
        <v>1694</v>
      </c>
      <c r="C814" t="s">
        <v>1994</v>
      </c>
      <c r="D814" t="s">
        <v>3289</v>
      </c>
      <c r="E814" t="s">
        <v>3671</v>
      </c>
      <c r="F814">
        <v>52</v>
      </c>
      <c r="G814" t="s">
        <v>3676</v>
      </c>
      <c r="H814" t="s">
        <v>3682</v>
      </c>
      <c r="I814" t="s">
        <v>3687</v>
      </c>
      <c r="J814" t="s">
        <v>3693</v>
      </c>
      <c r="K814" t="s">
        <v>3697</v>
      </c>
      <c r="L814">
        <v>5</v>
      </c>
      <c r="M814">
        <v>5000</v>
      </c>
      <c r="N814" t="s">
        <v>3704</v>
      </c>
      <c r="O814" t="s">
        <v>3707</v>
      </c>
      <c r="P814" s="2">
        <f t="shared" si="60"/>
        <v>45963</v>
      </c>
      <c r="Q814" t="str">
        <f t="shared" si="61"/>
        <v>Misha Bhatt</v>
      </c>
      <c r="R814" t="str">
        <f t="shared" si="62"/>
        <v>Chennai</v>
      </c>
      <c r="S814" t="str">
        <f t="shared" si="63"/>
        <v>Tamil Nadu</v>
      </c>
      <c r="T814">
        <f t="shared" si="64"/>
        <v>25000</v>
      </c>
    </row>
    <row r="815" spans="1:20" x14ac:dyDescent="0.35">
      <c r="A815" t="s">
        <v>828</v>
      </c>
      <c r="B815" t="s">
        <v>1368</v>
      </c>
      <c r="C815" t="s">
        <v>2357</v>
      </c>
      <c r="D815" t="s">
        <v>3290</v>
      </c>
      <c r="E815" t="s">
        <v>3672</v>
      </c>
      <c r="F815">
        <v>47</v>
      </c>
      <c r="G815" t="s">
        <v>3675</v>
      </c>
      <c r="H815" t="s">
        <v>3681</v>
      </c>
      <c r="I815" t="s">
        <v>3688</v>
      </c>
      <c r="J815" t="s">
        <v>3694</v>
      </c>
      <c r="K815" t="s">
        <v>3698</v>
      </c>
      <c r="L815">
        <v>1</v>
      </c>
      <c r="M815">
        <v>4500</v>
      </c>
      <c r="N815" t="s">
        <v>3701</v>
      </c>
      <c r="O815" t="s">
        <v>3707</v>
      </c>
      <c r="P815" s="2">
        <f t="shared" si="60"/>
        <v>45803</v>
      </c>
      <c r="Q815" t="str">
        <f t="shared" si="61"/>
        <v>Nehmat Kulkarni</v>
      </c>
      <c r="R815" t="str">
        <f t="shared" si="62"/>
        <v>Kolkata</v>
      </c>
      <c r="S815" t="str">
        <f t="shared" si="63"/>
        <v>West Bengal</v>
      </c>
      <c r="T815">
        <f t="shared" si="64"/>
        <v>4500</v>
      </c>
    </row>
    <row r="816" spans="1:20" x14ac:dyDescent="0.35">
      <c r="A816" t="s">
        <v>829</v>
      </c>
      <c r="B816" t="s">
        <v>1695</v>
      </c>
      <c r="C816" t="s">
        <v>2055</v>
      </c>
      <c r="D816" t="s">
        <v>3291</v>
      </c>
      <c r="E816" t="s">
        <v>3671</v>
      </c>
      <c r="F816">
        <v>18</v>
      </c>
      <c r="G816" t="s">
        <v>3678</v>
      </c>
      <c r="H816" t="s">
        <v>3683</v>
      </c>
      <c r="I816" t="s">
        <v>3690</v>
      </c>
      <c r="J816" t="s">
        <v>3693</v>
      </c>
      <c r="K816" t="s">
        <v>3700</v>
      </c>
      <c r="L816">
        <v>2</v>
      </c>
      <c r="M816">
        <v>72000</v>
      </c>
      <c r="N816" t="s">
        <v>3704</v>
      </c>
      <c r="O816" t="s">
        <v>3705</v>
      </c>
      <c r="P816" s="2">
        <f t="shared" si="60"/>
        <v>45948</v>
      </c>
      <c r="Q816" t="str">
        <f t="shared" si="61"/>
        <v>Zaina Kara</v>
      </c>
      <c r="R816" t="str">
        <f t="shared" si="62"/>
        <v>Hyderabad</v>
      </c>
      <c r="S816" t="str">
        <f t="shared" si="63"/>
        <v>Telangana</v>
      </c>
      <c r="T816">
        <f t="shared" si="64"/>
        <v>144000</v>
      </c>
    </row>
    <row r="817" spans="1:20" x14ac:dyDescent="0.35">
      <c r="A817" t="s">
        <v>830</v>
      </c>
      <c r="B817" t="s">
        <v>1440</v>
      </c>
      <c r="C817" t="s">
        <v>2176</v>
      </c>
      <c r="D817" t="s">
        <v>3292</v>
      </c>
      <c r="E817" t="s">
        <v>3672</v>
      </c>
      <c r="F817">
        <v>51</v>
      </c>
      <c r="G817" t="s">
        <v>3679</v>
      </c>
      <c r="H817" t="s">
        <v>3684</v>
      </c>
      <c r="I817" t="s">
        <v>3691</v>
      </c>
      <c r="J817" t="s">
        <v>3693</v>
      </c>
      <c r="K817" t="s">
        <v>3696</v>
      </c>
      <c r="L817">
        <v>5</v>
      </c>
      <c r="M817">
        <v>58000</v>
      </c>
      <c r="N817" t="s">
        <v>3704</v>
      </c>
      <c r="O817" t="s">
        <v>3705</v>
      </c>
      <c r="P817" s="2">
        <f t="shared" si="60"/>
        <v>45795</v>
      </c>
      <c r="Q817" t="str">
        <f t="shared" si="61"/>
        <v>Neelofar Soni</v>
      </c>
      <c r="R817" t="str">
        <f t="shared" si="62"/>
        <v>Bengaluru</v>
      </c>
      <c r="S817" t="str">
        <f t="shared" si="63"/>
        <v>Karnataka</v>
      </c>
      <c r="T817">
        <f t="shared" si="64"/>
        <v>290000</v>
      </c>
    </row>
    <row r="818" spans="1:20" x14ac:dyDescent="0.35">
      <c r="A818" t="s">
        <v>831</v>
      </c>
      <c r="B818" t="s">
        <v>1581</v>
      </c>
      <c r="C818" t="s">
        <v>2029</v>
      </c>
      <c r="D818" t="s">
        <v>3293</v>
      </c>
      <c r="E818" t="s">
        <v>3671</v>
      </c>
      <c r="F818">
        <v>52</v>
      </c>
      <c r="G818" t="s">
        <v>3674</v>
      </c>
      <c r="H818" t="s">
        <v>3680</v>
      </c>
      <c r="I818" t="s">
        <v>3691</v>
      </c>
      <c r="J818" t="s">
        <v>3693</v>
      </c>
      <c r="K818" t="s">
        <v>3696</v>
      </c>
      <c r="L818">
        <v>3</v>
      </c>
      <c r="M818">
        <v>58000</v>
      </c>
      <c r="N818" t="s">
        <v>3703</v>
      </c>
      <c r="O818" t="s">
        <v>3706</v>
      </c>
      <c r="P818" s="2">
        <f t="shared" si="60"/>
        <v>45829</v>
      </c>
      <c r="Q818" t="str">
        <f t="shared" si="61"/>
        <v>Alia Sarin</v>
      </c>
      <c r="R818" t="str">
        <f t="shared" si="62"/>
        <v>Pune</v>
      </c>
      <c r="S818" t="str">
        <f t="shared" si="63"/>
        <v>Maharashtra</v>
      </c>
      <c r="T818">
        <f t="shared" si="64"/>
        <v>174000</v>
      </c>
    </row>
    <row r="819" spans="1:20" x14ac:dyDescent="0.35">
      <c r="A819" t="s">
        <v>832</v>
      </c>
      <c r="B819" t="s">
        <v>1542</v>
      </c>
      <c r="C819" t="s">
        <v>2358</v>
      </c>
      <c r="D819" t="s">
        <v>3294</v>
      </c>
      <c r="E819" t="s">
        <v>3671</v>
      </c>
      <c r="F819">
        <v>46</v>
      </c>
      <c r="G819" t="s">
        <v>3679</v>
      </c>
      <c r="H819" t="s">
        <v>3684</v>
      </c>
      <c r="I819" t="s">
        <v>3691</v>
      </c>
      <c r="J819" t="s">
        <v>3693</v>
      </c>
      <c r="K819" t="s">
        <v>3696</v>
      </c>
      <c r="L819">
        <v>2</v>
      </c>
      <c r="M819">
        <v>58000</v>
      </c>
      <c r="N819" t="s">
        <v>3704</v>
      </c>
      <c r="O819" t="s">
        <v>3707</v>
      </c>
      <c r="P819" s="2">
        <f t="shared" si="60"/>
        <v>45998</v>
      </c>
      <c r="Q819" t="str">
        <f t="shared" si="61"/>
        <v>Veer Karpe</v>
      </c>
      <c r="R819" t="str">
        <f t="shared" si="62"/>
        <v>Bengaluru</v>
      </c>
      <c r="S819" t="str">
        <f t="shared" si="63"/>
        <v>Karnataka</v>
      </c>
      <c r="T819">
        <f t="shared" si="64"/>
        <v>116000</v>
      </c>
    </row>
    <row r="820" spans="1:20" x14ac:dyDescent="0.35">
      <c r="A820" t="s">
        <v>833</v>
      </c>
      <c r="B820" t="s">
        <v>1356</v>
      </c>
      <c r="C820" t="s">
        <v>2076</v>
      </c>
      <c r="D820" t="s">
        <v>3295</v>
      </c>
      <c r="E820" t="s">
        <v>3671</v>
      </c>
      <c r="F820">
        <v>25</v>
      </c>
      <c r="G820" t="s">
        <v>3677</v>
      </c>
      <c r="H820" t="s">
        <v>3680</v>
      </c>
      <c r="I820" t="s">
        <v>3687</v>
      </c>
      <c r="J820" t="s">
        <v>3693</v>
      </c>
      <c r="K820" t="s">
        <v>3697</v>
      </c>
      <c r="L820">
        <v>5</v>
      </c>
      <c r="M820">
        <v>5000</v>
      </c>
      <c r="N820" t="s">
        <v>3702</v>
      </c>
      <c r="O820" t="s">
        <v>3705</v>
      </c>
      <c r="P820" s="2">
        <f t="shared" si="60"/>
        <v>45723</v>
      </c>
      <c r="Q820" t="str">
        <f t="shared" si="61"/>
        <v>Tarini Joshi</v>
      </c>
      <c r="R820" t="str">
        <f t="shared" si="62"/>
        <v>Mumbai</v>
      </c>
      <c r="S820" t="str">
        <f t="shared" si="63"/>
        <v>Maharashtra</v>
      </c>
      <c r="T820">
        <f t="shared" si="64"/>
        <v>25000</v>
      </c>
    </row>
    <row r="821" spans="1:20" x14ac:dyDescent="0.35">
      <c r="A821" t="s">
        <v>834</v>
      </c>
      <c r="B821" t="s">
        <v>1696</v>
      </c>
      <c r="C821" t="s">
        <v>2033</v>
      </c>
      <c r="D821" t="s">
        <v>3296</v>
      </c>
      <c r="E821" t="s">
        <v>3672</v>
      </c>
      <c r="F821">
        <v>38</v>
      </c>
      <c r="G821" t="s">
        <v>3678</v>
      </c>
      <c r="H821" t="s">
        <v>3683</v>
      </c>
      <c r="I821" t="s">
        <v>3686</v>
      </c>
      <c r="J821" t="s">
        <v>3693</v>
      </c>
      <c r="K821" t="s">
        <v>3696</v>
      </c>
      <c r="L821">
        <v>5</v>
      </c>
      <c r="M821">
        <v>65000</v>
      </c>
      <c r="N821" t="s">
        <v>3703</v>
      </c>
      <c r="O821" t="s">
        <v>3706</v>
      </c>
      <c r="P821" s="2">
        <f t="shared" si="60"/>
        <v>45826</v>
      </c>
      <c r="Q821" t="str">
        <f t="shared" si="61"/>
        <v>Manikya Johal</v>
      </c>
      <c r="R821" t="str">
        <f t="shared" si="62"/>
        <v>Hyderabad</v>
      </c>
      <c r="S821" t="str">
        <f t="shared" si="63"/>
        <v>Telangana</v>
      </c>
      <c r="T821">
        <f t="shared" si="64"/>
        <v>325000</v>
      </c>
    </row>
    <row r="822" spans="1:20" x14ac:dyDescent="0.35">
      <c r="A822" t="s">
        <v>835</v>
      </c>
      <c r="B822" t="s">
        <v>1308</v>
      </c>
      <c r="C822" t="s">
        <v>2146</v>
      </c>
      <c r="D822" t="s">
        <v>3297</v>
      </c>
      <c r="E822" t="s">
        <v>3671</v>
      </c>
      <c r="F822">
        <v>32</v>
      </c>
      <c r="G822" t="s">
        <v>3679</v>
      </c>
      <c r="H822" t="s">
        <v>3684</v>
      </c>
      <c r="I822" t="s">
        <v>3690</v>
      </c>
      <c r="J822" t="s">
        <v>3693</v>
      </c>
      <c r="K822" t="s">
        <v>3700</v>
      </c>
      <c r="L822">
        <v>1</v>
      </c>
      <c r="M822">
        <v>72000</v>
      </c>
      <c r="N822" t="s">
        <v>3701</v>
      </c>
      <c r="O822" t="s">
        <v>3706</v>
      </c>
      <c r="P822" s="2">
        <f t="shared" si="60"/>
        <v>45837</v>
      </c>
      <c r="Q822" t="str">
        <f t="shared" si="61"/>
        <v>Anay Shankar</v>
      </c>
      <c r="R822" t="str">
        <f t="shared" si="62"/>
        <v>Bengaluru</v>
      </c>
      <c r="S822" t="str">
        <f t="shared" si="63"/>
        <v>Karnataka</v>
      </c>
      <c r="T822">
        <f t="shared" si="64"/>
        <v>72000</v>
      </c>
    </row>
    <row r="823" spans="1:20" x14ac:dyDescent="0.35">
      <c r="A823" t="s">
        <v>836</v>
      </c>
      <c r="B823" t="s">
        <v>1434</v>
      </c>
      <c r="C823" t="s">
        <v>2083</v>
      </c>
      <c r="D823" t="s">
        <v>3298</v>
      </c>
      <c r="E823" t="s">
        <v>3671</v>
      </c>
      <c r="F823">
        <v>30</v>
      </c>
      <c r="G823" t="s">
        <v>3674</v>
      </c>
      <c r="H823" t="s">
        <v>3680</v>
      </c>
      <c r="I823" t="s">
        <v>3686</v>
      </c>
      <c r="J823" t="s">
        <v>3693</v>
      </c>
      <c r="K823" t="s">
        <v>3696</v>
      </c>
      <c r="L823">
        <v>5</v>
      </c>
      <c r="M823">
        <v>65000</v>
      </c>
      <c r="N823" t="s">
        <v>3704</v>
      </c>
      <c r="O823" t="s">
        <v>3707</v>
      </c>
      <c r="P823" s="2">
        <f t="shared" si="60"/>
        <v>45736</v>
      </c>
      <c r="Q823" t="str">
        <f t="shared" si="61"/>
        <v>Mehul Dey</v>
      </c>
      <c r="R823" t="str">
        <f t="shared" si="62"/>
        <v>Pune</v>
      </c>
      <c r="S823" t="str">
        <f t="shared" si="63"/>
        <v>Maharashtra</v>
      </c>
      <c r="T823">
        <f t="shared" si="64"/>
        <v>325000</v>
      </c>
    </row>
    <row r="824" spans="1:20" x14ac:dyDescent="0.35">
      <c r="A824" t="s">
        <v>837</v>
      </c>
      <c r="B824" t="s">
        <v>1697</v>
      </c>
      <c r="C824" t="s">
        <v>2359</v>
      </c>
      <c r="D824" t="s">
        <v>3299</v>
      </c>
      <c r="E824" t="s">
        <v>3672</v>
      </c>
      <c r="F824">
        <v>40</v>
      </c>
      <c r="G824" t="s">
        <v>3673</v>
      </c>
      <c r="H824" t="s">
        <v>3673</v>
      </c>
      <c r="I824" t="s">
        <v>3690</v>
      </c>
      <c r="J824" t="s">
        <v>3693</v>
      </c>
      <c r="K824" t="s">
        <v>3700</v>
      </c>
      <c r="L824">
        <v>1</v>
      </c>
      <c r="M824">
        <v>72000</v>
      </c>
      <c r="N824" t="s">
        <v>3704</v>
      </c>
      <c r="O824" t="s">
        <v>3706</v>
      </c>
      <c r="P824" s="2">
        <f t="shared" si="60"/>
        <v>45676</v>
      </c>
      <c r="Q824" t="str">
        <f t="shared" si="61"/>
        <v>Tara Sha</v>
      </c>
      <c r="R824" t="str">
        <f t="shared" si="62"/>
        <v>Delhi</v>
      </c>
      <c r="S824" t="str">
        <f t="shared" si="63"/>
        <v>Delhi</v>
      </c>
      <c r="T824">
        <f t="shared" si="64"/>
        <v>72000</v>
      </c>
    </row>
    <row r="825" spans="1:20" x14ac:dyDescent="0.35">
      <c r="A825" t="s">
        <v>838</v>
      </c>
      <c r="B825" t="s">
        <v>1698</v>
      </c>
      <c r="C825" t="s">
        <v>2028</v>
      </c>
      <c r="D825" t="s">
        <v>3300</v>
      </c>
      <c r="E825" t="s">
        <v>3671</v>
      </c>
      <c r="F825">
        <v>43</v>
      </c>
      <c r="G825" t="s">
        <v>3678</v>
      </c>
      <c r="H825" t="s">
        <v>3683</v>
      </c>
      <c r="I825" t="s">
        <v>3685</v>
      </c>
      <c r="J825" t="s">
        <v>3692</v>
      </c>
      <c r="K825" t="s">
        <v>3695</v>
      </c>
      <c r="L825">
        <v>2</v>
      </c>
      <c r="M825">
        <v>12000</v>
      </c>
      <c r="N825" t="s">
        <v>3704</v>
      </c>
      <c r="O825" t="s">
        <v>3707</v>
      </c>
      <c r="P825" s="2">
        <f t="shared" si="60"/>
        <v>45835</v>
      </c>
      <c r="Q825" t="str">
        <f t="shared" si="61"/>
        <v>Miraan Vig</v>
      </c>
      <c r="R825" t="str">
        <f t="shared" si="62"/>
        <v>Hyderabad</v>
      </c>
      <c r="S825" t="str">
        <f t="shared" si="63"/>
        <v>Telangana</v>
      </c>
      <c r="T825">
        <f t="shared" si="64"/>
        <v>24000</v>
      </c>
    </row>
    <row r="826" spans="1:20" x14ac:dyDescent="0.35">
      <c r="A826" t="s">
        <v>839</v>
      </c>
      <c r="B826" t="s">
        <v>1501</v>
      </c>
      <c r="C826" t="s">
        <v>2360</v>
      </c>
      <c r="D826" t="s">
        <v>3301</v>
      </c>
      <c r="E826" t="s">
        <v>3672</v>
      </c>
      <c r="F826">
        <v>58</v>
      </c>
      <c r="G826" t="s">
        <v>3674</v>
      </c>
      <c r="H826" t="s">
        <v>3680</v>
      </c>
      <c r="I826" t="s">
        <v>3690</v>
      </c>
      <c r="J826" t="s">
        <v>3693</v>
      </c>
      <c r="K826" t="s">
        <v>3700</v>
      </c>
      <c r="L826">
        <v>3</v>
      </c>
      <c r="M826">
        <v>72000</v>
      </c>
      <c r="N826" t="s">
        <v>3704</v>
      </c>
      <c r="O826" t="s">
        <v>3707</v>
      </c>
      <c r="P826" s="2">
        <f t="shared" si="60"/>
        <v>45666</v>
      </c>
      <c r="Q826" t="str">
        <f t="shared" si="61"/>
        <v>Taimur Dalal</v>
      </c>
      <c r="R826" t="str">
        <f t="shared" si="62"/>
        <v>Pune</v>
      </c>
      <c r="S826" t="str">
        <f t="shared" si="63"/>
        <v>Maharashtra</v>
      </c>
      <c r="T826">
        <f t="shared" si="64"/>
        <v>216000</v>
      </c>
    </row>
    <row r="827" spans="1:20" x14ac:dyDescent="0.35">
      <c r="A827" t="s">
        <v>840</v>
      </c>
      <c r="B827" t="s">
        <v>1478</v>
      </c>
      <c r="C827" t="s">
        <v>2164</v>
      </c>
      <c r="D827" t="s">
        <v>3302</v>
      </c>
      <c r="E827" t="s">
        <v>3672</v>
      </c>
      <c r="F827">
        <v>47</v>
      </c>
      <c r="G827" t="s">
        <v>3673</v>
      </c>
      <c r="H827" t="s">
        <v>3673</v>
      </c>
      <c r="I827" t="s">
        <v>3691</v>
      </c>
      <c r="J827" t="s">
        <v>3693</v>
      </c>
      <c r="K827" t="s">
        <v>3696</v>
      </c>
      <c r="L827">
        <v>4</v>
      </c>
      <c r="M827">
        <v>58000</v>
      </c>
      <c r="N827" t="s">
        <v>3704</v>
      </c>
      <c r="O827" t="s">
        <v>3705</v>
      </c>
      <c r="P827" s="2">
        <f t="shared" si="60"/>
        <v>45735</v>
      </c>
      <c r="Q827" t="str">
        <f t="shared" si="61"/>
        <v>Mahika Raju</v>
      </c>
      <c r="R827" t="str">
        <f t="shared" si="62"/>
        <v>Delhi</v>
      </c>
      <c r="S827" t="str">
        <f t="shared" si="63"/>
        <v>Delhi</v>
      </c>
      <c r="T827">
        <f t="shared" si="64"/>
        <v>232000</v>
      </c>
    </row>
    <row r="828" spans="1:20" x14ac:dyDescent="0.35">
      <c r="A828" t="s">
        <v>841</v>
      </c>
      <c r="B828" t="s">
        <v>1699</v>
      </c>
      <c r="C828" t="s">
        <v>2215</v>
      </c>
      <c r="D828" t="s">
        <v>3303</v>
      </c>
      <c r="E828" t="s">
        <v>3672</v>
      </c>
      <c r="F828">
        <v>35</v>
      </c>
      <c r="G828" t="s">
        <v>3678</v>
      </c>
      <c r="H828" t="s">
        <v>3683</v>
      </c>
      <c r="I828" t="s">
        <v>3686</v>
      </c>
      <c r="J828" t="s">
        <v>3693</v>
      </c>
      <c r="K828" t="s">
        <v>3696</v>
      </c>
      <c r="L828">
        <v>2</v>
      </c>
      <c r="M828">
        <v>65000</v>
      </c>
      <c r="N828" t="s">
        <v>3703</v>
      </c>
      <c r="O828" t="s">
        <v>3706</v>
      </c>
      <c r="P828" s="2">
        <f t="shared" si="60"/>
        <v>45994</v>
      </c>
      <c r="Q828" t="str">
        <f t="shared" si="61"/>
        <v>Dhruv Sarkar</v>
      </c>
      <c r="R828" t="str">
        <f t="shared" si="62"/>
        <v>Hyderabad</v>
      </c>
      <c r="S828" t="str">
        <f t="shared" si="63"/>
        <v>Telangana</v>
      </c>
      <c r="T828">
        <f t="shared" si="64"/>
        <v>130000</v>
      </c>
    </row>
    <row r="829" spans="1:20" x14ac:dyDescent="0.35">
      <c r="A829" t="s">
        <v>842</v>
      </c>
      <c r="B829" t="s">
        <v>1700</v>
      </c>
      <c r="C829" t="s">
        <v>2361</v>
      </c>
      <c r="D829" t="s">
        <v>3304</v>
      </c>
      <c r="E829" t="s">
        <v>3672</v>
      </c>
      <c r="F829">
        <v>32</v>
      </c>
      <c r="G829" t="s">
        <v>3673</v>
      </c>
      <c r="H829" t="s">
        <v>3673</v>
      </c>
      <c r="I829" t="s">
        <v>3686</v>
      </c>
      <c r="J829" t="s">
        <v>3693</v>
      </c>
      <c r="K829" t="s">
        <v>3696</v>
      </c>
      <c r="L829">
        <v>1</v>
      </c>
      <c r="M829">
        <v>65000</v>
      </c>
      <c r="N829" t="s">
        <v>3703</v>
      </c>
      <c r="O829" t="s">
        <v>3706</v>
      </c>
      <c r="P829" s="2">
        <f t="shared" si="60"/>
        <v>45667</v>
      </c>
      <c r="Q829" t="str">
        <f t="shared" si="61"/>
        <v>Hazel Goswami</v>
      </c>
      <c r="R829" t="str">
        <f t="shared" si="62"/>
        <v>Delhi</v>
      </c>
      <c r="S829" t="str">
        <f t="shared" si="63"/>
        <v>Delhi</v>
      </c>
      <c r="T829">
        <f t="shared" si="64"/>
        <v>65000</v>
      </c>
    </row>
    <row r="830" spans="1:20" x14ac:dyDescent="0.35">
      <c r="A830" t="s">
        <v>843</v>
      </c>
      <c r="B830" t="s">
        <v>1389</v>
      </c>
      <c r="C830" t="s">
        <v>2362</v>
      </c>
      <c r="D830" t="s">
        <v>3305</v>
      </c>
      <c r="E830" t="s">
        <v>3671</v>
      </c>
      <c r="F830">
        <v>49</v>
      </c>
      <c r="G830" t="s">
        <v>3677</v>
      </c>
      <c r="H830" t="s">
        <v>3680</v>
      </c>
      <c r="I830" t="s">
        <v>3691</v>
      </c>
      <c r="J830" t="s">
        <v>3693</v>
      </c>
      <c r="K830" t="s">
        <v>3696</v>
      </c>
      <c r="L830">
        <v>1</v>
      </c>
      <c r="M830">
        <v>58000</v>
      </c>
      <c r="N830" t="s">
        <v>3702</v>
      </c>
      <c r="O830" t="s">
        <v>3706</v>
      </c>
      <c r="P830" s="2">
        <f t="shared" si="60"/>
        <v>45686</v>
      </c>
      <c r="Q830" t="str">
        <f t="shared" si="61"/>
        <v>Shayak Chaudhry</v>
      </c>
      <c r="R830" t="str">
        <f t="shared" si="62"/>
        <v>Mumbai</v>
      </c>
      <c r="S830" t="str">
        <f t="shared" si="63"/>
        <v>Maharashtra</v>
      </c>
      <c r="T830">
        <f t="shared" si="64"/>
        <v>58000</v>
      </c>
    </row>
    <row r="831" spans="1:20" x14ac:dyDescent="0.35">
      <c r="A831" t="s">
        <v>844</v>
      </c>
      <c r="B831" t="s">
        <v>1701</v>
      </c>
      <c r="C831" t="s">
        <v>2363</v>
      </c>
      <c r="D831" t="s">
        <v>3306</v>
      </c>
      <c r="E831" t="s">
        <v>3671</v>
      </c>
      <c r="F831">
        <v>25</v>
      </c>
      <c r="G831" t="s">
        <v>3675</v>
      </c>
      <c r="H831" t="s">
        <v>3681</v>
      </c>
      <c r="I831" t="s">
        <v>3690</v>
      </c>
      <c r="J831" t="s">
        <v>3693</v>
      </c>
      <c r="K831" t="s">
        <v>3700</v>
      </c>
      <c r="L831">
        <v>4</v>
      </c>
      <c r="M831">
        <v>72000</v>
      </c>
      <c r="N831" t="s">
        <v>3704</v>
      </c>
      <c r="O831" t="s">
        <v>3705</v>
      </c>
      <c r="P831" s="2">
        <f t="shared" si="60"/>
        <v>45779</v>
      </c>
      <c r="Q831" t="str">
        <f t="shared" si="61"/>
        <v>Riaan Shenoy</v>
      </c>
      <c r="R831" t="str">
        <f t="shared" si="62"/>
        <v>Kolkata</v>
      </c>
      <c r="S831" t="str">
        <f t="shared" si="63"/>
        <v>West Bengal</v>
      </c>
      <c r="T831">
        <f t="shared" si="64"/>
        <v>288000</v>
      </c>
    </row>
    <row r="832" spans="1:20" x14ac:dyDescent="0.35">
      <c r="A832" t="s">
        <v>845</v>
      </c>
      <c r="B832" t="s">
        <v>1491</v>
      </c>
      <c r="C832" t="s">
        <v>1809</v>
      </c>
      <c r="D832" t="s">
        <v>3307</v>
      </c>
      <c r="E832" t="s">
        <v>3671</v>
      </c>
      <c r="F832">
        <v>19</v>
      </c>
      <c r="G832" t="s">
        <v>3673</v>
      </c>
      <c r="H832" t="s">
        <v>3673</v>
      </c>
      <c r="I832" t="s">
        <v>3689</v>
      </c>
      <c r="J832" t="s">
        <v>3694</v>
      </c>
      <c r="K832" t="s">
        <v>3699</v>
      </c>
      <c r="L832">
        <v>4</v>
      </c>
      <c r="M832">
        <v>1800</v>
      </c>
      <c r="N832" t="s">
        <v>3704</v>
      </c>
      <c r="O832" t="s">
        <v>3705</v>
      </c>
      <c r="P832" s="2">
        <f t="shared" si="60"/>
        <v>45794</v>
      </c>
      <c r="Q832" t="str">
        <f t="shared" si="61"/>
        <v>Trisha Lal</v>
      </c>
      <c r="R832" t="str">
        <f t="shared" si="62"/>
        <v>Delhi</v>
      </c>
      <c r="S832" t="str">
        <f t="shared" si="63"/>
        <v>Delhi</v>
      </c>
      <c r="T832">
        <f t="shared" si="64"/>
        <v>7200</v>
      </c>
    </row>
    <row r="833" spans="1:20" x14ac:dyDescent="0.35">
      <c r="A833" t="s">
        <v>846</v>
      </c>
      <c r="B833" t="s">
        <v>1573</v>
      </c>
      <c r="C833" t="s">
        <v>1827</v>
      </c>
      <c r="D833" t="s">
        <v>3308</v>
      </c>
      <c r="E833" t="s">
        <v>3672</v>
      </c>
      <c r="F833">
        <v>49</v>
      </c>
      <c r="G833" t="s">
        <v>3678</v>
      </c>
      <c r="H833" t="s">
        <v>3683</v>
      </c>
      <c r="I833" t="s">
        <v>3688</v>
      </c>
      <c r="J833" t="s">
        <v>3694</v>
      </c>
      <c r="K833" t="s">
        <v>3698</v>
      </c>
      <c r="L833">
        <v>5</v>
      </c>
      <c r="M833">
        <v>4500</v>
      </c>
      <c r="N833" t="s">
        <v>3703</v>
      </c>
      <c r="O833" t="s">
        <v>3705</v>
      </c>
      <c r="P833" s="2">
        <f t="shared" si="60"/>
        <v>45669</v>
      </c>
      <c r="Q833" t="str">
        <f t="shared" si="61"/>
        <v>Pranay Grewal</v>
      </c>
      <c r="R833" t="str">
        <f t="shared" si="62"/>
        <v>Hyderabad</v>
      </c>
      <c r="S833" t="str">
        <f t="shared" si="63"/>
        <v>Telangana</v>
      </c>
      <c r="T833">
        <f t="shared" si="64"/>
        <v>22500</v>
      </c>
    </row>
    <row r="834" spans="1:20" x14ac:dyDescent="0.35">
      <c r="A834" t="s">
        <v>847</v>
      </c>
      <c r="B834" t="s">
        <v>1702</v>
      </c>
      <c r="C834" t="s">
        <v>1914</v>
      </c>
      <c r="D834" t="s">
        <v>3309</v>
      </c>
      <c r="E834" t="s">
        <v>3672</v>
      </c>
      <c r="F834">
        <v>40</v>
      </c>
      <c r="G834" t="s">
        <v>3676</v>
      </c>
      <c r="H834" t="s">
        <v>3682</v>
      </c>
      <c r="I834" t="s">
        <v>3685</v>
      </c>
      <c r="J834" t="s">
        <v>3692</v>
      </c>
      <c r="K834" t="s">
        <v>3695</v>
      </c>
      <c r="L834">
        <v>3</v>
      </c>
      <c r="M834">
        <v>12000</v>
      </c>
      <c r="N834" t="s">
        <v>3701</v>
      </c>
      <c r="O834" t="s">
        <v>3707</v>
      </c>
      <c r="P834" s="2">
        <f t="shared" si="60"/>
        <v>45980</v>
      </c>
      <c r="Q834" t="str">
        <f t="shared" si="61"/>
        <v>Mahika Chaudhuri</v>
      </c>
      <c r="R834" t="str">
        <f t="shared" si="62"/>
        <v>Chennai</v>
      </c>
      <c r="S834" t="str">
        <f t="shared" si="63"/>
        <v>Tamil Nadu</v>
      </c>
      <c r="T834">
        <f t="shared" si="64"/>
        <v>36000</v>
      </c>
    </row>
    <row r="835" spans="1:20" x14ac:dyDescent="0.35">
      <c r="A835" t="s">
        <v>848</v>
      </c>
      <c r="B835" t="s">
        <v>1394</v>
      </c>
      <c r="C835" t="s">
        <v>2183</v>
      </c>
      <c r="D835" t="s">
        <v>3310</v>
      </c>
      <c r="E835" t="s">
        <v>3671</v>
      </c>
      <c r="F835">
        <v>35</v>
      </c>
      <c r="G835" t="s">
        <v>3676</v>
      </c>
      <c r="H835" t="s">
        <v>3682</v>
      </c>
      <c r="I835" t="s">
        <v>3689</v>
      </c>
      <c r="J835" t="s">
        <v>3694</v>
      </c>
      <c r="K835" t="s">
        <v>3699</v>
      </c>
      <c r="L835">
        <v>5</v>
      </c>
      <c r="M835">
        <v>1800</v>
      </c>
      <c r="N835" t="s">
        <v>3703</v>
      </c>
      <c r="O835" t="s">
        <v>3706</v>
      </c>
      <c r="P835" s="2">
        <f t="shared" ref="P835:P898" si="65">DATEVALUE(SUBSTITUTE(B835,"/","-"))</f>
        <v>46016</v>
      </c>
      <c r="Q835" t="str">
        <f t="shared" ref="Q835:Q898" si="66">TRIM(CLEAN(D835))</f>
        <v>Uthkarsh Kari</v>
      </c>
      <c r="R835" t="str">
        <f t="shared" ref="R835:R898" si="67">IF(G835="","Unknown",G835)</f>
        <v>Chennai</v>
      </c>
      <c r="S835" t="str">
        <f t="shared" ref="S835:S898" si="68">IF(H835="","Unknown",H835)</f>
        <v>Tamil Nadu</v>
      </c>
      <c r="T835">
        <f t="shared" ref="T835:T898" si="69">L835*M835</f>
        <v>9000</v>
      </c>
    </row>
    <row r="836" spans="1:20" x14ac:dyDescent="0.35">
      <c r="A836" t="s">
        <v>849</v>
      </c>
      <c r="B836" t="s">
        <v>1703</v>
      </c>
      <c r="C836" t="s">
        <v>2042</v>
      </c>
      <c r="D836" t="s">
        <v>3311</v>
      </c>
      <c r="E836" t="s">
        <v>3672</v>
      </c>
      <c r="F836">
        <v>45</v>
      </c>
      <c r="G836" t="s">
        <v>3676</v>
      </c>
      <c r="H836" t="s">
        <v>3682</v>
      </c>
      <c r="I836" t="s">
        <v>3685</v>
      </c>
      <c r="J836" t="s">
        <v>3692</v>
      </c>
      <c r="K836" t="s">
        <v>3695</v>
      </c>
      <c r="L836">
        <v>3</v>
      </c>
      <c r="M836">
        <v>12000</v>
      </c>
      <c r="N836" t="s">
        <v>3703</v>
      </c>
      <c r="O836" t="s">
        <v>3707</v>
      </c>
      <c r="P836" s="2">
        <f t="shared" si="65"/>
        <v>45834</v>
      </c>
      <c r="Q836" t="str">
        <f t="shared" si="66"/>
        <v>Inaaya Dasgupta</v>
      </c>
      <c r="R836" t="str">
        <f t="shared" si="67"/>
        <v>Chennai</v>
      </c>
      <c r="S836" t="str">
        <f t="shared" si="68"/>
        <v>Tamil Nadu</v>
      </c>
      <c r="T836">
        <f t="shared" si="69"/>
        <v>36000</v>
      </c>
    </row>
    <row r="837" spans="1:20" x14ac:dyDescent="0.35">
      <c r="A837" t="s">
        <v>850</v>
      </c>
      <c r="B837" t="s">
        <v>1514</v>
      </c>
      <c r="C837" t="s">
        <v>2364</v>
      </c>
      <c r="D837" t="s">
        <v>3312</v>
      </c>
      <c r="E837" t="s">
        <v>3671</v>
      </c>
      <c r="F837">
        <v>44</v>
      </c>
      <c r="G837" t="s">
        <v>3674</v>
      </c>
      <c r="H837" t="s">
        <v>3680</v>
      </c>
      <c r="I837" t="s">
        <v>3688</v>
      </c>
      <c r="J837" t="s">
        <v>3694</v>
      </c>
      <c r="K837" t="s">
        <v>3698</v>
      </c>
      <c r="L837">
        <v>1</v>
      </c>
      <c r="M837">
        <v>4500</v>
      </c>
      <c r="N837" t="s">
        <v>3702</v>
      </c>
      <c r="O837" t="s">
        <v>3705</v>
      </c>
      <c r="P837" s="2">
        <f t="shared" si="65"/>
        <v>45785</v>
      </c>
      <c r="Q837" t="str">
        <f t="shared" si="66"/>
        <v>Raunak Sanghvi</v>
      </c>
      <c r="R837" t="str">
        <f t="shared" si="67"/>
        <v>Pune</v>
      </c>
      <c r="S837" t="str">
        <f t="shared" si="68"/>
        <v>Maharashtra</v>
      </c>
      <c r="T837">
        <f t="shared" si="69"/>
        <v>4500</v>
      </c>
    </row>
    <row r="838" spans="1:20" x14ac:dyDescent="0.35">
      <c r="A838" t="s">
        <v>851</v>
      </c>
      <c r="B838" t="s">
        <v>1704</v>
      </c>
      <c r="C838" t="s">
        <v>1965</v>
      </c>
      <c r="D838" t="s">
        <v>3313</v>
      </c>
      <c r="E838" t="s">
        <v>3672</v>
      </c>
      <c r="F838">
        <v>50</v>
      </c>
      <c r="G838" t="s">
        <v>3674</v>
      </c>
      <c r="H838" t="s">
        <v>3680</v>
      </c>
      <c r="I838" t="s">
        <v>3687</v>
      </c>
      <c r="J838" t="s">
        <v>3693</v>
      </c>
      <c r="K838" t="s">
        <v>3697</v>
      </c>
      <c r="L838">
        <v>3</v>
      </c>
      <c r="M838">
        <v>5000</v>
      </c>
      <c r="N838" t="s">
        <v>3703</v>
      </c>
      <c r="O838" t="s">
        <v>3706</v>
      </c>
      <c r="P838" s="2">
        <f t="shared" si="65"/>
        <v>45752</v>
      </c>
      <c r="Q838" t="str">
        <f t="shared" si="66"/>
        <v>Zaina Lala</v>
      </c>
      <c r="R838" t="str">
        <f t="shared" si="67"/>
        <v>Pune</v>
      </c>
      <c r="S838" t="str">
        <f t="shared" si="68"/>
        <v>Maharashtra</v>
      </c>
      <c r="T838">
        <f t="shared" si="69"/>
        <v>15000</v>
      </c>
    </row>
    <row r="839" spans="1:20" x14ac:dyDescent="0.35">
      <c r="A839" t="s">
        <v>852</v>
      </c>
      <c r="B839" t="s">
        <v>1383</v>
      </c>
      <c r="C839" t="s">
        <v>1992</v>
      </c>
      <c r="D839" t="s">
        <v>3314</v>
      </c>
      <c r="E839" t="s">
        <v>3672</v>
      </c>
      <c r="F839">
        <v>23</v>
      </c>
      <c r="G839" t="s">
        <v>3676</v>
      </c>
      <c r="H839" t="s">
        <v>3682</v>
      </c>
      <c r="I839" t="s">
        <v>3690</v>
      </c>
      <c r="J839" t="s">
        <v>3693</v>
      </c>
      <c r="K839" t="s">
        <v>3700</v>
      </c>
      <c r="L839">
        <v>3</v>
      </c>
      <c r="M839">
        <v>72000</v>
      </c>
      <c r="N839" t="s">
        <v>3702</v>
      </c>
      <c r="O839" t="s">
        <v>3707</v>
      </c>
      <c r="P839" s="2">
        <f t="shared" si="65"/>
        <v>45698</v>
      </c>
      <c r="Q839" t="str">
        <f t="shared" si="66"/>
        <v>Badal Varma</v>
      </c>
      <c r="R839" t="str">
        <f t="shared" si="67"/>
        <v>Chennai</v>
      </c>
      <c r="S839" t="str">
        <f t="shared" si="68"/>
        <v>Tamil Nadu</v>
      </c>
      <c r="T839">
        <f t="shared" si="69"/>
        <v>216000</v>
      </c>
    </row>
    <row r="840" spans="1:20" x14ac:dyDescent="0.35">
      <c r="A840" t="s">
        <v>853</v>
      </c>
      <c r="B840" t="s">
        <v>1705</v>
      </c>
      <c r="C840" t="s">
        <v>2301</v>
      </c>
      <c r="D840" t="s">
        <v>3315</v>
      </c>
      <c r="E840" t="s">
        <v>3671</v>
      </c>
      <c r="F840">
        <v>49</v>
      </c>
      <c r="G840" t="s">
        <v>3675</v>
      </c>
      <c r="H840" t="s">
        <v>3681</v>
      </c>
      <c r="I840" t="s">
        <v>3691</v>
      </c>
      <c r="J840" t="s">
        <v>3693</v>
      </c>
      <c r="K840" t="s">
        <v>3696</v>
      </c>
      <c r="L840">
        <v>2</v>
      </c>
      <c r="M840">
        <v>58000</v>
      </c>
      <c r="N840" t="s">
        <v>3703</v>
      </c>
      <c r="O840" t="s">
        <v>3706</v>
      </c>
      <c r="P840" s="2">
        <f t="shared" si="65"/>
        <v>45964</v>
      </c>
      <c r="Q840" t="str">
        <f t="shared" si="66"/>
        <v>Manikya Chawla</v>
      </c>
      <c r="R840" t="str">
        <f t="shared" si="67"/>
        <v>Kolkata</v>
      </c>
      <c r="S840" t="str">
        <f t="shared" si="68"/>
        <v>West Bengal</v>
      </c>
      <c r="T840">
        <f t="shared" si="69"/>
        <v>116000</v>
      </c>
    </row>
    <row r="841" spans="1:20" x14ac:dyDescent="0.35">
      <c r="A841" t="s">
        <v>854</v>
      </c>
      <c r="B841" t="s">
        <v>1335</v>
      </c>
      <c r="C841" t="s">
        <v>2365</v>
      </c>
      <c r="D841" t="s">
        <v>3316</v>
      </c>
      <c r="E841" t="s">
        <v>3672</v>
      </c>
      <c r="F841">
        <v>19</v>
      </c>
      <c r="G841" t="s">
        <v>3676</v>
      </c>
      <c r="H841" t="s">
        <v>3682</v>
      </c>
      <c r="I841" t="s">
        <v>3691</v>
      </c>
      <c r="J841" t="s">
        <v>3693</v>
      </c>
      <c r="K841" t="s">
        <v>3696</v>
      </c>
      <c r="L841">
        <v>3</v>
      </c>
      <c r="M841">
        <v>58000</v>
      </c>
      <c r="N841" t="s">
        <v>3703</v>
      </c>
      <c r="O841" t="s">
        <v>3705</v>
      </c>
      <c r="P841" s="2">
        <f t="shared" si="65"/>
        <v>45870</v>
      </c>
      <c r="Q841" t="str">
        <f t="shared" si="66"/>
        <v>Jiya Lanka</v>
      </c>
      <c r="R841" t="str">
        <f t="shared" si="67"/>
        <v>Chennai</v>
      </c>
      <c r="S841" t="str">
        <f t="shared" si="68"/>
        <v>Tamil Nadu</v>
      </c>
      <c r="T841">
        <f t="shared" si="69"/>
        <v>174000</v>
      </c>
    </row>
    <row r="842" spans="1:20" x14ac:dyDescent="0.35">
      <c r="A842" t="s">
        <v>855</v>
      </c>
      <c r="B842" t="s">
        <v>1706</v>
      </c>
      <c r="C842" t="s">
        <v>2335</v>
      </c>
      <c r="D842" t="s">
        <v>3317</v>
      </c>
      <c r="E842" t="s">
        <v>3672</v>
      </c>
      <c r="F842">
        <v>32</v>
      </c>
      <c r="G842" t="s">
        <v>3679</v>
      </c>
      <c r="H842" t="s">
        <v>3684</v>
      </c>
      <c r="I842" t="s">
        <v>3690</v>
      </c>
      <c r="J842" t="s">
        <v>3693</v>
      </c>
      <c r="K842" t="s">
        <v>3700</v>
      </c>
      <c r="L842">
        <v>2</v>
      </c>
      <c r="M842">
        <v>72000</v>
      </c>
      <c r="N842" t="s">
        <v>3704</v>
      </c>
      <c r="O842" t="s">
        <v>3705</v>
      </c>
      <c r="P842" s="2">
        <f t="shared" si="65"/>
        <v>45913</v>
      </c>
      <c r="Q842" t="str">
        <f t="shared" si="66"/>
        <v>Nehmat Sagar</v>
      </c>
      <c r="R842" t="str">
        <f t="shared" si="67"/>
        <v>Bengaluru</v>
      </c>
      <c r="S842" t="str">
        <f t="shared" si="68"/>
        <v>Karnataka</v>
      </c>
      <c r="T842">
        <f t="shared" si="69"/>
        <v>144000</v>
      </c>
    </row>
    <row r="843" spans="1:20" x14ac:dyDescent="0.35">
      <c r="A843" t="s">
        <v>856</v>
      </c>
      <c r="B843" t="s">
        <v>1707</v>
      </c>
      <c r="C843" t="s">
        <v>2366</v>
      </c>
      <c r="D843" t="s">
        <v>3318</v>
      </c>
      <c r="E843" t="s">
        <v>3671</v>
      </c>
      <c r="F843">
        <v>26</v>
      </c>
      <c r="G843" t="s">
        <v>3678</v>
      </c>
      <c r="H843" t="s">
        <v>3683</v>
      </c>
      <c r="I843" t="s">
        <v>3688</v>
      </c>
      <c r="J843" t="s">
        <v>3694</v>
      </c>
      <c r="K843" t="s">
        <v>3698</v>
      </c>
      <c r="L843">
        <v>4</v>
      </c>
      <c r="M843">
        <v>4500</v>
      </c>
      <c r="N843" t="s">
        <v>3703</v>
      </c>
      <c r="O843" t="s">
        <v>3707</v>
      </c>
      <c r="P843" s="2">
        <f t="shared" si="65"/>
        <v>45987</v>
      </c>
      <c r="Q843" t="str">
        <f t="shared" si="66"/>
        <v>Lakshit Saha</v>
      </c>
      <c r="R843" t="str">
        <f t="shared" si="67"/>
        <v>Hyderabad</v>
      </c>
      <c r="S843" t="str">
        <f t="shared" si="68"/>
        <v>Telangana</v>
      </c>
      <c r="T843">
        <f t="shared" si="69"/>
        <v>18000</v>
      </c>
    </row>
    <row r="844" spans="1:20" x14ac:dyDescent="0.35">
      <c r="A844" t="s">
        <v>857</v>
      </c>
      <c r="B844" t="s">
        <v>1708</v>
      </c>
      <c r="C844" t="s">
        <v>2367</v>
      </c>
      <c r="D844" t="s">
        <v>3319</v>
      </c>
      <c r="E844" t="s">
        <v>3671</v>
      </c>
      <c r="F844">
        <v>40</v>
      </c>
      <c r="G844" t="s">
        <v>3676</v>
      </c>
      <c r="H844" t="s">
        <v>3682</v>
      </c>
      <c r="I844" t="s">
        <v>3688</v>
      </c>
      <c r="J844" t="s">
        <v>3694</v>
      </c>
      <c r="K844" t="s">
        <v>3698</v>
      </c>
      <c r="L844">
        <v>4</v>
      </c>
      <c r="M844">
        <v>4500</v>
      </c>
      <c r="N844" t="s">
        <v>3703</v>
      </c>
      <c r="O844" t="s">
        <v>3705</v>
      </c>
      <c r="P844" s="2">
        <f t="shared" si="65"/>
        <v>45897</v>
      </c>
      <c r="Q844" t="str">
        <f t="shared" si="66"/>
        <v>Arnav Sastry</v>
      </c>
      <c r="R844" t="str">
        <f t="shared" si="67"/>
        <v>Chennai</v>
      </c>
      <c r="S844" t="str">
        <f t="shared" si="68"/>
        <v>Tamil Nadu</v>
      </c>
      <c r="T844">
        <f t="shared" si="69"/>
        <v>18000</v>
      </c>
    </row>
    <row r="845" spans="1:20" x14ac:dyDescent="0.35">
      <c r="A845" t="s">
        <v>858</v>
      </c>
      <c r="B845" t="s">
        <v>1354</v>
      </c>
      <c r="C845" t="s">
        <v>2368</v>
      </c>
      <c r="D845" t="s">
        <v>3320</v>
      </c>
      <c r="E845" t="s">
        <v>3671</v>
      </c>
      <c r="F845">
        <v>46</v>
      </c>
      <c r="G845" t="s">
        <v>3677</v>
      </c>
      <c r="H845" t="s">
        <v>3680</v>
      </c>
      <c r="I845" t="s">
        <v>3686</v>
      </c>
      <c r="J845" t="s">
        <v>3693</v>
      </c>
      <c r="K845" t="s">
        <v>3696</v>
      </c>
      <c r="L845">
        <v>1</v>
      </c>
      <c r="M845">
        <v>65000</v>
      </c>
      <c r="N845" t="s">
        <v>3701</v>
      </c>
      <c r="O845" t="s">
        <v>3705</v>
      </c>
      <c r="P845" s="2">
        <f t="shared" si="65"/>
        <v>45733</v>
      </c>
      <c r="Q845" t="str">
        <f t="shared" si="66"/>
        <v>Riaan Bhattacharyya</v>
      </c>
      <c r="R845" t="str">
        <f t="shared" si="67"/>
        <v>Mumbai</v>
      </c>
      <c r="S845" t="str">
        <f t="shared" si="68"/>
        <v>Maharashtra</v>
      </c>
      <c r="T845">
        <f t="shared" si="69"/>
        <v>65000</v>
      </c>
    </row>
    <row r="846" spans="1:20" x14ac:dyDescent="0.35">
      <c r="A846" t="s">
        <v>859</v>
      </c>
      <c r="B846" t="s">
        <v>1709</v>
      </c>
      <c r="C846" t="s">
        <v>2336</v>
      </c>
      <c r="D846" t="s">
        <v>3321</v>
      </c>
      <c r="E846" t="s">
        <v>3671</v>
      </c>
      <c r="F846">
        <v>27</v>
      </c>
      <c r="G846" t="s">
        <v>3675</v>
      </c>
      <c r="H846" t="s">
        <v>3681</v>
      </c>
      <c r="I846" t="s">
        <v>3689</v>
      </c>
      <c r="J846" t="s">
        <v>3694</v>
      </c>
      <c r="K846" t="s">
        <v>3699</v>
      </c>
      <c r="L846">
        <v>5</v>
      </c>
      <c r="M846">
        <v>1800</v>
      </c>
      <c r="N846" t="s">
        <v>3704</v>
      </c>
      <c r="O846" t="s">
        <v>3707</v>
      </c>
      <c r="P846" s="2">
        <f t="shared" si="65"/>
        <v>45820</v>
      </c>
      <c r="Q846" t="str">
        <f t="shared" si="66"/>
        <v>Sana Sheth</v>
      </c>
      <c r="R846" t="str">
        <f t="shared" si="67"/>
        <v>Kolkata</v>
      </c>
      <c r="S846" t="str">
        <f t="shared" si="68"/>
        <v>West Bengal</v>
      </c>
      <c r="T846">
        <f t="shared" si="69"/>
        <v>9000</v>
      </c>
    </row>
    <row r="847" spans="1:20" x14ac:dyDescent="0.35">
      <c r="A847" t="s">
        <v>860</v>
      </c>
      <c r="B847" t="s">
        <v>1710</v>
      </c>
      <c r="C847" t="s">
        <v>2103</v>
      </c>
      <c r="D847" t="s">
        <v>3322</v>
      </c>
      <c r="E847" t="s">
        <v>3671</v>
      </c>
      <c r="F847">
        <v>31</v>
      </c>
      <c r="G847" t="s">
        <v>3675</v>
      </c>
      <c r="H847" t="s">
        <v>3681</v>
      </c>
      <c r="I847" t="s">
        <v>3688</v>
      </c>
      <c r="J847" t="s">
        <v>3694</v>
      </c>
      <c r="K847" t="s">
        <v>3698</v>
      </c>
      <c r="L847">
        <v>2</v>
      </c>
      <c r="M847">
        <v>4500</v>
      </c>
      <c r="N847" t="s">
        <v>3702</v>
      </c>
      <c r="O847" t="s">
        <v>3706</v>
      </c>
      <c r="P847" s="2">
        <f t="shared" si="65"/>
        <v>46002</v>
      </c>
      <c r="Q847" t="str">
        <f t="shared" si="66"/>
        <v>Kartik Sarkar</v>
      </c>
      <c r="R847" t="str">
        <f t="shared" si="67"/>
        <v>Kolkata</v>
      </c>
      <c r="S847" t="str">
        <f t="shared" si="68"/>
        <v>West Bengal</v>
      </c>
      <c r="T847">
        <f t="shared" si="69"/>
        <v>9000</v>
      </c>
    </row>
    <row r="848" spans="1:20" x14ac:dyDescent="0.35">
      <c r="A848" t="s">
        <v>861</v>
      </c>
      <c r="B848" t="s">
        <v>1523</v>
      </c>
      <c r="C848" t="s">
        <v>2283</v>
      </c>
      <c r="D848" t="s">
        <v>3323</v>
      </c>
      <c r="E848" t="s">
        <v>3671</v>
      </c>
      <c r="F848">
        <v>24</v>
      </c>
      <c r="G848" t="s">
        <v>3673</v>
      </c>
      <c r="H848" t="s">
        <v>3673</v>
      </c>
      <c r="I848" t="s">
        <v>3688</v>
      </c>
      <c r="J848" t="s">
        <v>3694</v>
      </c>
      <c r="K848" t="s">
        <v>3698</v>
      </c>
      <c r="L848">
        <v>3</v>
      </c>
      <c r="M848">
        <v>4500</v>
      </c>
      <c r="N848" t="s">
        <v>3702</v>
      </c>
      <c r="O848" t="s">
        <v>3707</v>
      </c>
      <c r="P848" s="2">
        <f t="shared" si="65"/>
        <v>45910</v>
      </c>
      <c r="Q848" t="str">
        <f t="shared" si="66"/>
        <v>Hunar Sastry</v>
      </c>
      <c r="R848" t="str">
        <f t="shared" si="67"/>
        <v>Delhi</v>
      </c>
      <c r="S848" t="str">
        <f t="shared" si="68"/>
        <v>Delhi</v>
      </c>
      <c r="T848">
        <f t="shared" si="69"/>
        <v>13500</v>
      </c>
    </row>
    <row r="849" spans="1:20" x14ac:dyDescent="0.35">
      <c r="A849" t="s">
        <v>862</v>
      </c>
      <c r="B849" t="s">
        <v>1637</v>
      </c>
      <c r="C849" t="s">
        <v>2369</v>
      </c>
      <c r="D849" t="s">
        <v>3324</v>
      </c>
      <c r="E849" t="s">
        <v>3672</v>
      </c>
      <c r="F849">
        <v>20</v>
      </c>
      <c r="G849" t="s">
        <v>3674</v>
      </c>
      <c r="H849" t="s">
        <v>3680</v>
      </c>
      <c r="I849" t="s">
        <v>3686</v>
      </c>
      <c r="J849" t="s">
        <v>3693</v>
      </c>
      <c r="K849" t="s">
        <v>3696</v>
      </c>
      <c r="L849">
        <v>4</v>
      </c>
      <c r="M849">
        <v>65000</v>
      </c>
      <c r="N849" t="s">
        <v>3703</v>
      </c>
      <c r="O849" t="s">
        <v>3706</v>
      </c>
      <c r="P849" s="2">
        <f t="shared" si="65"/>
        <v>45808</v>
      </c>
      <c r="Q849" t="str">
        <f t="shared" si="66"/>
        <v>Khushi Srinivas</v>
      </c>
      <c r="R849" t="str">
        <f t="shared" si="67"/>
        <v>Pune</v>
      </c>
      <c r="S849" t="str">
        <f t="shared" si="68"/>
        <v>Maharashtra</v>
      </c>
      <c r="T849">
        <f t="shared" si="69"/>
        <v>260000</v>
      </c>
    </row>
    <row r="850" spans="1:20" x14ac:dyDescent="0.35">
      <c r="A850" t="s">
        <v>863</v>
      </c>
      <c r="B850" t="s">
        <v>1497</v>
      </c>
      <c r="C850" t="s">
        <v>2169</v>
      </c>
      <c r="D850" t="s">
        <v>3325</v>
      </c>
      <c r="E850" t="s">
        <v>3672</v>
      </c>
      <c r="F850">
        <v>35</v>
      </c>
      <c r="G850" t="s">
        <v>3677</v>
      </c>
      <c r="H850" t="s">
        <v>3680</v>
      </c>
      <c r="I850" t="s">
        <v>3687</v>
      </c>
      <c r="J850" t="s">
        <v>3693</v>
      </c>
      <c r="K850" t="s">
        <v>3697</v>
      </c>
      <c r="L850">
        <v>2</v>
      </c>
      <c r="M850">
        <v>5000</v>
      </c>
      <c r="N850" t="s">
        <v>3703</v>
      </c>
      <c r="O850" t="s">
        <v>3707</v>
      </c>
      <c r="P850" s="2">
        <f t="shared" si="65"/>
        <v>45694</v>
      </c>
      <c r="Q850" t="str">
        <f t="shared" si="66"/>
        <v>Shray Das</v>
      </c>
      <c r="R850" t="str">
        <f t="shared" si="67"/>
        <v>Mumbai</v>
      </c>
      <c r="S850" t="str">
        <f t="shared" si="68"/>
        <v>Maharashtra</v>
      </c>
      <c r="T850">
        <f t="shared" si="69"/>
        <v>10000</v>
      </c>
    </row>
    <row r="851" spans="1:20" x14ac:dyDescent="0.35">
      <c r="A851" t="s">
        <v>864</v>
      </c>
      <c r="B851" t="s">
        <v>1711</v>
      </c>
      <c r="C851" t="s">
        <v>2370</v>
      </c>
      <c r="D851" t="s">
        <v>3326</v>
      </c>
      <c r="E851" t="s">
        <v>3671</v>
      </c>
      <c r="F851">
        <v>56</v>
      </c>
      <c r="G851" t="s">
        <v>3678</v>
      </c>
      <c r="H851" t="s">
        <v>3683</v>
      </c>
      <c r="I851" t="s">
        <v>3690</v>
      </c>
      <c r="J851" t="s">
        <v>3693</v>
      </c>
      <c r="K851" t="s">
        <v>3700</v>
      </c>
      <c r="L851">
        <v>3</v>
      </c>
      <c r="M851">
        <v>72000</v>
      </c>
      <c r="N851" t="s">
        <v>3701</v>
      </c>
      <c r="O851" t="s">
        <v>3707</v>
      </c>
      <c r="P851" s="2">
        <f t="shared" si="65"/>
        <v>45697</v>
      </c>
      <c r="Q851" t="str">
        <f t="shared" si="66"/>
        <v>Aarush Tara</v>
      </c>
      <c r="R851" t="str">
        <f t="shared" si="67"/>
        <v>Hyderabad</v>
      </c>
      <c r="S851" t="str">
        <f t="shared" si="68"/>
        <v>Telangana</v>
      </c>
      <c r="T851">
        <f t="shared" si="69"/>
        <v>216000</v>
      </c>
    </row>
    <row r="852" spans="1:20" x14ac:dyDescent="0.35">
      <c r="A852" t="s">
        <v>865</v>
      </c>
      <c r="B852" t="s">
        <v>1375</v>
      </c>
      <c r="C852" t="s">
        <v>1884</v>
      </c>
      <c r="D852" t="s">
        <v>3327</v>
      </c>
      <c r="E852" t="s">
        <v>3671</v>
      </c>
      <c r="F852">
        <v>22</v>
      </c>
      <c r="G852" t="s">
        <v>3674</v>
      </c>
      <c r="H852" t="s">
        <v>3680</v>
      </c>
      <c r="I852" t="s">
        <v>3686</v>
      </c>
      <c r="J852" t="s">
        <v>3693</v>
      </c>
      <c r="K852" t="s">
        <v>3696</v>
      </c>
      <c r="L852">
        <v>2</v>
      </c>
      <c r="M852">
        <v>65000</v>
      </c>
      <c r="N852" t="s">
        <v>3704</v>
      </c>
      <c r="O852" t="s">
        <v>3705</v>
      </c>
      <c r="P852" s="2">
        <f t="shared" si="65"/>
        <v>45806</v>
      </c>
      <c r="Q852" t="str">
        <f t="shared" si="66"/>
        <v>Tanya Sachdeva</v>
      </c>
      <c r="R852" t="str">
        <f t="shared" si="67"/>
        <v>Pune</v>
      </c>
      <c r="S852" t="str">
        <f t="shared" si="68"/>
        <v>Maharashtra</v>
      </c>
      <c r="T852">
        <f t="shared" si="69"/>
        <v>130000</v>
      </c>
    </row>
    <row r="853" spans="1:20" x14ac:dyDescent="0.35">
      <c r="A853" t="s">
        <v>866</v>
      </c>
      <c r="B853" t="s">
        <v>1456</v>
      </c>
      <c r="C853" t="s">
        <v>2371</v>
      </c>
      <c r="D853" t="s">
        <v>3328</v>
      </c>
      <c r="E853" t="s">
        <v>3671</v>
      </c>
      <c r="F853">
        <v>56</v>
      </c>
      <c r="G853" t="s">
        <v>3674</v>
      </c>
      <c r="H853" t="s">
        <v>3680</v>
      </c>
      <c r="I853" t="s">
        <v>3686</v>
      </c>
      <c r="J853" t="s">
        <v>3693</v>
      </c>
      <c r="K853" t="s">
        <v>3696</v>
      </c>
      <c r="L853">
        <v>3</v>
      </c>
      <c r="M853">
        <v>65000</v>
      </c>
      <c r="N853" t="s">
        <v>3703</v>
      </c>
      <c r="O853" t="s">
        <v>3706</v>
      </c>
      <c r="P853" s="2">
        <f t="shared" si="65"/>
        <v>45887</v>
      </c>
      <c r="Q853" t="str">
        <f t="shared" si="66"/>
        <v>Tejas Sodhi</v>
      </c>
      <c r="R853" t="str">
        <f t="shared" si="67"/>
        <v>Pune</v>
      </c>
      <c r="S853" t="str">
        <f t="shared" si="68"/>
        <v>Maharashtra</v>
      </c>
      <c r="T853">
        <f t="shared" si="69"/>
        <v>195000</v>
      </c>
    </row>
    <row r="854" spans="1:20" x14ac:dyDescent="0.35">
      <c r="A854" t="s">
        <v>867</v>
      </c>
      <c r="B854" t="s">
        <v>1712</v>
      </c>
      <c r="C854" t="s">
        <v>2125</v>
      </c>
      <c r="D854" t="s">
        <v>3329</v>
      </c>
      <c r="E854" t="s">
        <v>3671</v>
      </c>
      <c r="F854">
        <v>18</v>
      </c>
      <c r="G854" t="s">
        <v>3673</v>
      </c>
      <c r="H854" t="s">
        <v>3673</v>
      </c>
      <c r="I854" t="s">
        <v>3689</v>
      </c>
      <c r="J854" t="s">
        <v>3694</v>
      </c>
      <c r="K854" t="s">
        <v>3699</v>
      </c>
      <c r="L854">
        <v>2</v>
      </c>
      <c r="M854">
        <v>1800</v>
      </c>
      <c r="N854" t="s">
        <v>3703</v>
      </c>
      <c r="O854" t="s">
        <v>3705</v>
      </c>
      <c r="P854" s="2">
        <f t="shared" si="65"/>
        <v>45896</v>
      </c>
      <c r="Q854" t="str">
        <f t="shared" si="66"/>
        <v>Armaan Ganesan</v>
      </c>
      <c r="R854" t="str">
        <f t="shared" si="67"/>
        <v>Delhi</v>
      </c>
      <c r="S854" t="str">
        <f t="shared" si="68"/>
        <v>Delhi</v>
      </c>
      <c r="T854">
        <f t="shared" si="69"/>
        <v>3600</v>
      </c>
    </row>
    <row r="855" spans="1:20" x14ac:dyDescent="0.35">
      <c r="A855" t="s">
        <v>868</v>
      </c>
      <c r="B855" t="s">
        <v>1381</v>
      </c>
      <c r="C855" t="s">
        <v>2272</v>
      </c>
      <c r="D855" t="s">
        <v>3330</v>
      </c>
      <c r="E855" t="s">
        <v>3672</v>
      </c>
      <c r="F855">
        <v>30</v>
      </c>
      <c r="G855" t="s">
        <v>3673</v>
      </c>
      <c r="H855" t="s">
        <v>3673</v>
      </c>
      <c r="I855" t="s">
        <v>3687</v>
      </c>
      <c r="J855" t="s">
        <v>3693</v>
      </c>
      <c r="K855" t="s">
        <v>3697</v>
      </c>
      <c r="L855">
        <v>2</v>
      </c>
      <c r="M855">
        <v>5000</v>
      </c>
      <c r="N855" t="s">
        <v>3704</v>
      </c>
      <c r="O855" t="s">
        <v>3705</v>
      </c>
      <c r="P855" s="2">
        <f t="shared" si="65"/>
        <v>46018</v>
      </c>
      <c r="Q855" t="str">
        <f t="shared" si="66"/>
        <v>Drishya Chokshi</v>
      </c>
      <c r="R855" t="str">
        <f t="shared" si="67"/>
        <v>Delhi</v>
      </c>
      <c r="S855" t="str">
        <f t="shared" si="68"/>
        <v>Delhi</v>
      </c>
      <c r="T855">
        <f t="shared" si="69"/>
        <v>10000</v>
      </c>
    </row>
    <row r="856" spans="1:20" x14ac:dyDescent="0.35">
      <c r="A856" t="s">
        <v>869</v>
      </c>
      <c r="B856" t="s">
        <v>1307</v>
      </c>
      <c r="C856" t="s">
        <v>2372</v>
      </c>
      <c r="D856" t="s">
        <v>3331</v>
      </c>
      <c r="E856" t="s">
        <v>3671</v>
      </c>
      <c r="F856">
        <v>37</v>
      </c>
      <c r="G856" t="s">
        <v>3677</v>
      </c>
      <c r="H856" t="s">
        <v>3680</v>
      </c>
      <c r="I856" t="s">
        <v>3687</v>
      </c>
      <c r="J856" t="s">
        <v>3693</v>
      </c>
      <c r="K856" t="s">
        <v>3697</v>
      </c>
      <c r="L856">
        <v>3</v>
      </c>
      <c r="M856">
        <v>5000</v>
      </c>
      <c r="N856" t="s">
        <v>3701</v>
      </c>
      <c r="O856" t="s">
        <v>3707</v>
      </c>
      <c r="P856" s="2">
        <f t="shared" si="65"/>
        <v>45965</v>
      </c>
      <c r="Q856" t="str">
        <f t="shared" si="66"/>
        <v>Madhav Boase</v>
      </c>
      <c r="R856" t="str">
        <f t="shared" si="67"/>
        <v>Mumbai</v>
      </c>
      <c r="S856" t="str">
        <f t="shared" si="68"/>
        <v>Maharashtra</v>
      </c>
      <c r="T856">
        <f t="shared" si="69"/>
        <v>15000</v>
      </c>
    </row>
    <row r="857" spans="1:20" x14ac:dyDescent="0.35">
      <c r="A857" t="s">
        <v>870</v>
      </c>
      <c r="B857" t="s">
        <v>1474</v>
      </c>
      <c r="C857" t="s">
        <v>2373</v>
      </c>
      <c r="D857" t="s">
        <v>3332</v>
      </c>
      <c r="E857" t="s">
        <v>3671</v>
      </c>
      <c r="F857">
        <v>57</v>
      </c>
      <c r="G857" t="s">
        <v>3673</v>
      </c>
      <c r="H857" t="s">
        <v>3673</v>
      </c>
      <c r="I857" t="s">
        <v>3690</v>
      </c>
      <c r="J857" t="s">
        <v>3693</v>
      </c>
      <c r="K857" t="s">
        <v>3700</v>
      </c>
      <c r="L857">
        <v>4</v>
      </c>
      <c r="M857">
        <v>72000</v>
      </c>
      <c r="N857" t="s">
        <v>3701</v>
      </c>
      <c r="O857" t="s">
        <v>3707</v>
      </c>
      <c r="P857" s="2">
        <f t="shared" si="65"/>
        <v>45834</v>
      </c>
      <c r="Q857" t="str">
        <f t="shared" si="66"/>
        <v>Neelofar Tata</v>
      </c>
      <c r="R857" t="str">
        <f t="shared" si="67"/>
        <v>Delhi</v>
      </c>
      <c r="S857" t="str">
        <f t="shared" si="68"/>
        <v>Delhi</v>
      </c>
      <c r="T857">
        <f t="shared" si="69"/>
        <v>288000</v>
      </c>
    </row>
    <row r="858" spans="1:20" x14ac:dyDescent="0.35">
      <c r="A858" t="s">
        <v>871</v>
      </c>
      <c r="B858" t="s">
        <v>1713</v>
      </c>
      <c r="C858" t="s">
        <v>1883</v>
      </c>
      <c r="D858" t="s">
        <v>3333</v>
      </c>
      <c r="E858" t="s">
        <v>3671</v>
      </c>
      <c r="F858">
        <v>32</v>
      </c>
      <c r="G858" t="s">
        <v>3678</v>
      </c>
      <c r="H858" t="s">
        <v>3683</v>
      </c>
      <c r="I858" t="s">
        <v>3688</v>
      </c>
      <c r="J858" t="s">
        <v>3694</v>
      </c>
      <c r="K858" t="s">
        <v>3698</v>
      </c>
      <c r="L858">
        <v>1</v>
      </c>
      <c r="M858">
        <v>4500</v>
      </c>
      <c r="N858" t="s">
        <v>3703</v>
      </c>
      <c r="O858" t="s">
        <v>3706</v>
      </c>
      <c r="P858" s="2">
        <f t="shared" si="65"/>
        <v>45747</v>
      </c>
      <c r="Q858" t="str">
        <f t="shared" si="66"/>
        <v>Yuvraj Bora</v>
      </c>
      <c r="R858" t="str">
        <f t="shared" si="67"/>
        <v>Hyderabad</v>
      </c>
      <c r="S858" t="str">
        <f t="shared" si="68"/>
        <v>Telangana</v>
      </c>
      <c r="T858">
        <f t="shared" si="69"/>
        <v>4500</v>
      </c>
    </row>
    <row r="859" spans="1:20" x14ac:dyDescent="0.35">
      <c r="A859" t="s">
        <v>872</v>
      </c>
      <c r="B859" t="s">
        <v>1426</v>
      </c>
      <c r="C859" t="s">
        <v>2119</v>
      </c>
      <c r="D859" t="s">
        <v>3334</v>
      </c>
      <c r="E859" t="s">
        <v>3672</v>
      </c>
      <c r="F859">
        <v>32</v>
      </c>
      <c r="G859" t="s">
        <v>3675</v>
      </c>
      <c r="H859" t="s">
        <v>3681</v>
      </c>
      <c r="I859" t="s">
        <v>3690</v>
      </c>
      <c r="J859" t="s">
        <v>3693</v>
      </c>
      <c r="K859" t="s">
        <v>3700</v>
      </c>
      <c r="L859">
        <v>3</v>
      </c>
      <c r="M859">
        <v>72000</v>
      </c>
      <c r="N859" t="s">
        <v>3704</v>
      </c>
      <c r="O859" t="s">
        <v>3707</v>
      </c>
      <c r="P859" s="2">
        <f t="shared" si="65"/>
        <v>45909</v>
      </c>
      <c r="Q859" t="str">
        <f t="shared" si="66"/>
        <v>Heer Bahri</v>
      </c>
      <c r="R859" t="str">
        <f t="shared" si="67"/>
        <v>Kolkata</v>
      </c>
      <c r="S859" t="str">
        <f t="shared" si="68"/>
        <v>West Bengal</v>
      </c>
      <c r="T859">
        <f t="shared" si="69"/>
        <v>216000</v>
      </c>
    </row>
    <row r="860" spans="1:20" x14ac:dyDescent="0.35">
      <c r="A860" t="s">
        <v>873</v>
      </c>
      <c r="B860" t="s">
        <v>1286</v>
      </c>
      <c r="C860" t="s">
        <v>1789</v>
      </c>
      <c r="D860" t="s">
        <v>3335</v>
      </c>
      <c r="E860" t="s">
        <v>3671</v>
      </c>
      <c r="F860">
        <v>44</v>
      </c>
      <c r="G860" t="s">
        <v>3679</v>
      </c>
      <c r="H860" t="s">
        <v>3684</v>
      </c>
      <c r="I860" t="s">
        <v>3689</v>
      </c>
      <c r="J860" t="s">
        <v>3694</v>
      </c>
      <c r="K860" t="s">
        <v>3699</v>
      </c>
      <c r="L860">
        <v>3</v>
      </c>
      <c r="M860">
        <v>1800</v>
      </c>
      <c r="N860" t="s">
        <v>3701</v>
      </c>
      <c r="O860" t="s">
        <v>3706</v>
      </c>
      <c r="P860" s="2">
        <f t="shared" si="65"/>
        <v>45938</v>
      </c>
      <c r="Q860" t="str">
        <f t="shared" si="66"/>
        <v>Ryan Jain</v>
      </c>
      <c r="R860" t="str">
        <f t="shared" si="67"/>
        <v>Bengaluru</v>
      </c>
      <c r="S860" t="str">
        <f t="shared" si="68"/>
        <v>Karnataka</v>
      </c>
      <c r="T860">
        <f t="shared" si="69"/>
        <v>5400</v>
      </c>
    </row>
    <row r="861" spans="1:20" x14ac:dyDescent="0.35">
      <c r="A861" t="s">
        <v>874</v>
      </c>
      <c r="B861" t="s">
        <v>1438</v>
      </c>
      <c r="C861" t="s">
        <v>1864</v>
      </c>
      <c r="D861" t="s">
        <v>3336</v>
      </c>
      <c r="E861" t="s">
        <v>3672</v>
      </c>
      <c r="F861">
        <v>29</v>
      </c>
      <c r="G861" t="s">
        <v>3675</v>
      </c>
      <c r="H861" t="s">
        <v>3681</v>
      </c>
      <c r="I861" t="s">
        <v>3688</v>
      </c>
      <c r="J861" t="s">
        <v>3694</v>
      </c>
      <c r="K861" t="s">
        <v>3698</v>
      </c>
      <c r="L861">
        <v>4</v>
      </c>
      <c r="M861">
        <v>4500</v>
      </c>
      <c r="N861" t="s">
        <v>3702</v>
      </c>
      <c r="O861" t="s">
        <v>3705</v>
      </c>
      <c r="P861" s="2">
        <f t="shared" si="65"/>
        <v>45894</v>
      </c>
      <c r="Q861" t="str">
        <f t="shared" si="66"/>
        <v>Umang Tandon</v>
      </c>
      <c r="R861" t="str">
        <f t="shared" si="67"/>
        <v>Kolkata</v>
      </c>
      <c r="S861" t="str">
        <f t="shared" si="68"/>
        <v>West Bengal</v>
      </c>
      <c r="T861">
        <f t="shared" si="69"/>
        <v>18000</v>
      </c>
    </row>
    <row r="862" spans="1:20" x14ac:dyDescent="0.35">
      <c r="A862" t="s">
        <v>875</v>
      </c>
      <c r="B862" t="s">
        <v>1355</v>
      </c>
      <c r="C862" t="s">
        <v>2374</v>
      </c>
      <c r="D862" t="s">
        <v>3337</v>
      </c>
      <c r="E862" t="s">
        <v>3671</v>
      </c>
      <c r="F862">
        <v>41</v>
      </c>
      <c r="G862" t="s">
        <v>3679</v>
      </c>
      <c r="H862" t="s">
        <v>3684</v>
      </c>
      <c r="I862" t="s">
        <v>3685</v>
      </c>
      <c r="J862" t="s">
        <v>3692</v>
      </c>
      <c r="K862" t="s">
        <v>3695</v>
      </c>
      <c r="L862">
        <v>3</v>
      </c>
      <c r="M862">
        <v>12000</v>
      </c>
      <c r="N862" t="s">
        <v>3702</v>
      </c>
      <c r="O862" t="s">
        <v>3707</v>
      </c>
      <c r="P862" s="2">
        <f t="shared" si="65"/>
        <v>45875</v>
      </c>
      <c r="Q862" t="str">
        <f t="shared" si="66"/>
        <v>Tejas Mammen</v>
      </c>
      <c r="R862" t="str">
        <f t="shared" si="67"/>
        <v>Bengaluru</v>
      </c>
      <c r="S862" t="str">
        <f t="shared" si="68"/>
        <v>Karnataka</v>
      </c>
      <c r="T862">
        <f t="shared" si="69"/>
        <v>36000</v>
      </c>
    </row>
    <row r="863" spans="1:20" x14ac:dyDescent="0.35">
      <c r="A863" t="s">
        <v>876</v>
      </c>
      <c r="B863" t="s">
        <v>1546</v>
      </c>
      <c r="C863" t="s">
        <v>2305</v>
      </c>
      <c r="D863" t="s">
        <v>3338</v>
      </c>
      <c r="E863" t="s">
        <v>3672</v>
      </c>
      <c r="F863">
        <v>35</v>
      </c>
      <c r="G863" t="s">
        <v>3675</v>
      </c>
      <c r="H863" t="s">
        <v>3681</v>
      </c>
      <c r="I863" t="s">
        <v>3690</v>
      </c>
      <c r="J863" t="s">
        <v>3693</v>
      </c>
      <c r="K863" t="s">
        <v>3700</v>
      </c>
      <c r="L863">
        <v>3</v>
      </c>
      <c r="M863">
        <v>72000</v>
      </c>
      <c r="N863" t="s">
        <v>3703</v>
      </c>
      <c r="O863" t="s">
        <v>3705</v>
      </c>
      <c r="P863" s="2">
        <f t="shared" si="65"/>
        <v>45798</v>
      </c>
      <c r="Q863" t="str">
        <f t="shared" si="66"/>
        <v>Hiran D’Alia</v>
      </c>
      <c r="R863" t="str">
        <f t="shared" si="67"/>
        <v>Kolkata</v>
      </c>
      <c r="S863" t="str">
        <f t="shared" si="68"/>
        <v>West Bengal</v>
      </c>
      <c r="T863">
        <f t="shared" si="69"/>
        <v>216000</v>
      </c>
    </row>
    <row r="864" spans="1:20" x14ac:dyDescent="0.35">
      <c r="A864" t="s">
        <v>877</v>
      </c>
      <c r="B864" t="s">
        <v>1714</v>
      </c>
      <c r="C864" t="s">
        <v>2151</v>
      </c>
      <c r="D864" t="s">
        <v>3339</v>
      </c>
      <c r="E864" t="s">
        <v>3671</v>
      </c>
      <c r="F864">
        <v>26</v>
      </c>
      <c r="G864" t="s">
        <v>3676</v>
      </c>
      <c r="H864" t="s">
        <v>3682</v>
      </c>
      <c r="I864" t="s">
        <v>3687</v>
      </c>
      <c r="J864" t="s">
        <v>3693</v>
      </c>
      <c r="K864" t="s">
        <v>3697</v>
      </c>
      <c r="L864">
        <v>5</v>
      </c>
      <c r="M864">
        <v>5000</v>
      </c>
      <c r="N864" t="s">
        <v>3702</v>
      </c>
      <c r="O864" t="s">
        <v>3707</v>
      </c>
      <c r="P864" s="2">
        <f t="shared" si="65"/>
        <v>45840</v>
      </c>
      <c r="Q864" t="str">
        <f t="shared" si="66"/>
        <v>Madhup Bhat</v>
      </c>
      <c r="R864" t="str">
        <f t="shared" si="67"/>
        <v>Chennai</v>
      </c>
      <c r="S864" t="str">
        <f t="shared" si="68"/>
        <v>Tamil Nadu</v>
      </c>
      <c r="T864">
        <f t="shared" si="69"/>
        <v>25000</v>
      </c>
    </row>
    <row r="865" spans="1:20" x14ac:dyDescent="0.35">
      <c r="A865" t="s">
        <v>878</v>
      </c>
      <c r="B865" t="s">
        <v>1420</v>
      </c>
      <c r="C865" t="s">
        <v>2375</v>
      </c>
      <c r="D865" t="s">
        <v>3340</v>
      </c>
      <c r="E865" t="s">
        <v>3672</v>
      </c>
      <c r="F865">
        <v>50</v>
      </c>
      <c r="G865" t="s">
        <v>3673</v>
      </c>
      <c r="H865" t="s">
        <v>3673</v>
      </c>
      <c r="I865" t="s">
        <v>3691</v>
      </c>
      <c r="J865" t="s">
        <v>3693</v>
      </c>
      <c r="K865" t="s">
        <v>3696</v>
      </c>
      <c r="L865">
        <v>3</v>
      </c>
      <c r="M865">
        <v>58000</v>
      </c>
      <c r="N865" t="s">
        <v>3704</v>
      </c>
      <c r="O865" t="s">
        <v>3707</v>
      </c>
      <c r="P865" s="2">
        <f t="shared" si="65"/>
        <v>45742</v>
      </c>
      <c r="Q865" t="str">
        <f t="shared" si="66"/>
        <v>Kavya Bhalla</v>
      </c>
      <c r="R865" t="str">
        <f t="shared" si="67"/>
        <v>Delhi</v>
      </c>
      <c r="S865" t="str">
        <f t="shared" si="68"/>
        <v>Delhi</v>
      </c>
      <c r="T865">
        <f t="shared" si="69"/>
        <v>174000</v>
      </c>
    </row>
    <row r="866" spans="1:20" x14ac:dyDescent="0.35">
      <c r="A866" t="s">
        <v>879</v>
      </c>
      <c r="B866" t="s">
        <v>1715</v>
      </c>
      <c r="C866" t="s">
        <v>1842</v>
      </c>
      <c r="D866" t="s">
        <v>3341</v>
      </c>
      <c r="E866" t="s">
        <v>3672</v>
      </c>
      <c r="F866">
        <v>22</v>
      </c>
      <c r="G866" t="s">
        <v>3679</v>
      </c>
      <c r="H866" t="s">
        <v>3684</v>
      </c>
      <c r="I866" t="s">
        <v>3687</v>
      </c>
      <c r="J866" t="s">
        <v>3693</v>
      </c>
      <c r="K866" t="s">
        <v>3697</v>
      </c>
      <c r="L866">
        <v>2</v>
      </c>
      <c r="M866">
        <v>5000</v>
      </c>
      <c r="N866" t="s">
        <v>3702</v>
      </c>
      <c r="O866" t="s">
        <v>3705</v>
      </c>
      <c r="P866" s="2">
        <f t="shared" si="65"/>
        <v>45710</v>
      </c>
      <c r="Q866" t="str">
        <f t="shared" si="66"/>
        <v>Hrishita Vora</v>
      </c>
      <c r="R866" t="str">
        <f t="shared" si="67"/>
        <v>Bengaluru</v>
      </c>
      <c r="S866" t="str">
        <f t="shared" si="68"/>
        <v>Karnataka</v>
      </c>
      <c r="T866">
        <f t="shared" si="69"/>
        <v>10000</v>
      </c>
    </row>
    <row r="867" spans="1:20" x14ac:dyDescent="0.35">
      <c r="A867" t="s">
        <v>880</v>
      </c>
      <c r="B867" t="s">
        <v>1716</v>
      </c>
      <c r="C867" t="s">
        <v>1857</v>
      </c>
      <c r="D867" t="s">
        <v>3342</v>
      </c>
      <c r="E867" t="s">
        <v>3672</v>
      </c>
      <c r="F867">
        <v>60</v>
      </c>
      <c r="G867" t="s">
        <v>3677</v>
      </c>
      <c r="H867" t="s">
        <v>3680</v>
      </c>
      <c r="I867" t="s">
        <v>3685</v>
      </c>
      <c r="J867" t="s">
        <v>3692</v>
      </c>
      <c r="K867" t="s">
        <v>3695</v>
      </c>
      <c r="L867">
        <v>5</v>
      </c>
      <c r="M867">
        <v>12000</v>
      </c>
      <c r="N867" t="s">
        <v>3703</v>
      </c>
      <c r="O867" t="s">
        <v>3706</v>
      </c>
      <c r="P867" s="2">
        <f t="shared" si="65"/>
        <v>45671</v>
      </c>
      <c r="Q867" t="str">
        <f t="shared" si="66"/>
        <v>Lavanya Cheema</v>
      </c>
      <c r="R867" t="str">
        <f t="shared" si="67"/>
        <v>Mumbai</v>
      </c>
      <c r="S867" t="str">
        <f t="shared" si="68"/>
        <v>Maharashtra</v>
      </c>
      <c r="T867">
        <f t="shared" si="69"/>
        <v>60000</v>
      </c>
    </row>
    <row r="868" spans="1:20" x14ac:dyDescent="0.35">
      <c r="A868" t="s">
        <v>881</v>
      </c>
      <c r="B868" t="s">
        <v>1583</v>
      </c>
      <c r="C868" t="s">
        <v>2376</v>
      </c>
      <c r="D868" t="s">
        <v>3343</v>
      </c>
      <c r="E868" t="s">
        <v>3672</v>
      </c>
      <c r="F868">
        <v>50</v>
      </c>
      <c r="G868" t="s">
        <v>3676</v>
      </c>
      <c r="H868" t="s">
        <v>3682</v>
      </c>
      <c r="I868" t="s">
        <v>3689</v>
      </c>
      <c r="J868" t="s">
        <v>3694</v>
      </c>
      <c r="K868" t="s">
        <v>3699</v>
      </c>
      <c r="L868">
        <v>2</v>
      </c>
      <c r="M868">
        <v>1800</v>
      </c>
      <c r="N868" t="s">
        <v>3704</v>
      </c>
      <c r="O868" t="s">
        <v>3706</v>
      </c>
      <c r="P868" s="2">
        <f t="shared" si="65"/>
        <v>46014</v>
      </c>
      <c r="Q868" t="str">
        <f t="shared" si="66"/>
        <v>Riya Walla</v>
      </c>
      <c r="R868" t="str">
        <f t="shared" si="67"/>
        <v>Chennai</v>
      </c>
      <c r="S868" t="str">
        <f t="shared" si="68"/>
        <v>Tamil Nadu</v>
      </c>
      <c r="T868">
        <f t="shared" si="69"/>
        <v>3600</v>
      </c>
    </row>
    <row r="869" spans="1:20" x14ac:dyDescent="0.35">
      <c r="A869" t="s">
        <v>882</v>
      </c>
      <c r="B869" t="s">
        <v>1283</v>
      </c>
      <c r="C869" t="s">
        <v>1853</v>
      </c>
      <c r="D869" t="s">
        <v>3344</v>
      </c>
      <c r="E869" t="s">
        <v>3672</v>
      </c>
      <c r="F869">
        <v>45</v>
      </c>
      <c r="G869" t="s">
        <v>3679</v>
      </c>
      <c r="H869" t="s">
        <v>3684</v>
      </c>
      <c r="I869" t="s">
        <v>3690</v>
      </c>
      <c r="J869" t="s">
        <v>3693</v>
      </c>
      <c r="K869" t="s">
        <v>3700</v>
      </c>
      <c r="L869">
        <v>4</v>
      </c>
      <c r="M869">
        <v>72000</v>
      </c>
      <c r="N869" t="s">
        <v>3701</v>
      </c>
      <c r="O869" t="s">
        <v>3706</v>
      </c>
      <c r="P869" s="2">
        <f t="shared" si="65"/>
        <v>45683</v>
      </c>
      <c r="Q869" t="str">
        <f t="shared" si="66"/>
        <v>Nehmat Badal</v>
      </c>
      <c r="R869" t="str">
        <f t="shared" si="67"/>
        <v>Bengaluru</v>
      </c>
      <c r="S869" t="str">
        <f t="shared" si="68"/>
        <v>Karnataka</v>
      </c>
      <c r="T869">
        <f t="shared" si="69"/>
        <v>288000</v>
      </c>
    </row>
    <row r="870" spans="1:20" x14ac:dyDescent="0.35">
      <c r="A870" t="s">
        <v>883</v>
      </c>
      <c r="B870" t="s">
        <v>1246</v>
      </c>
      <c r="C870" t="s">
        <v>2377</v>
      </c>
      <c r="D870" t="s">
        <v>3345</v>
      </c>
      <c r="E870" t="s">
        <v>3671</v>
      </c>
      <c r="F870">
        <v>54</v>
      </c>
      <c r="G870" t="s">
        <v>3677</v>
      </c>
      <c r="H870" t="s">
        <v>3680</v>
      </c>
      <c r="I870" t="s">
        <v>3685</v>
      </c>
      <c r="J870" t="s">
        <v>3692</v>
      </c>
      <c r="K870" t="s">
        <v>3695</v>
      </c>
      <c r="L870">
        <v>2</v>
      </c>
      <c r="M870">
        <v>12000</v>
      </c>
      <c r="N870" t="s">
        <v>3701</v>
      </c>
      <c r="O870" t="s">
        <v>3707</v>
      </c>
      <c r="P870" s="2">
        <f t="shared" si="65"/>
        <v>45914</v>
      </c>
      <c r="Q870" t="str">
        <f t="shared" si="66"/>
        <v>Yuvraj Tripathi</v>
      </c>
      <c r="R870" t="str">
        <f t="shared" si="67"/>
        <v>Mumbai</v>
      </c>
      <c r="S870" t="str">
        <f t="shared" si="68"/>
        <v>Maharashtra</v>
      </c>
      <c r="T870">
        <f t="shared" si="69"/>
        <v>24000</v>
      </c>
    </row>
    <row r="871" spans="1:20" x14ac:dyDescent="0.35">
      <c r="A871" t="s">
        <v>884</v>
      </c>
      <c r="B871" t="s">
        <v>1717</v>
      </c>
      <c r="C871" t="s">
        <v>2378</v>
      </c>
      <c r="D871" t="s">
        <v>3346</v>
      </c>
      <c r="E871" t="s">
        <v>3672</v>
      </c>
      <c r="F871">
        <v>50</v>
      </c>
      <c r="G871" t="s">
        <v>3678</v>
      </c>
      <c r="H871" t="s">
        <v>3683</v>
      </c>
      <c r="I871" t="s">
        <v>3685</v>
      </c>
      <c r="J871" t="s">
        <v>3692</v>
      </c>
      <c r="K871" t="s">
        <v>3695</v>
      </c>
      <c r="L871">
        <v>1</v>
      </c>
      <c r="M871">
        <v>12000</v>
      </c>
      <c r="N871" t="s">
        <v>3702</v>
      </c>
      <c r="O871" t="s">
        <v>3707</v>
      </c>
      <c r="P871" s="2">
        <f t="shared" si="65"/>
        <v>45836</v>
      </c>
      <c r="Q871" t="str">
        <f t="shared" si="66"/>
        <v>Rati Badami</v>
      </c>
      <c r="R871" t="str">
        <f t="shared" si="67"/>
        <v>Hyderabad</v>
      </c>
      <c r="S871" t="str">
        <f t="shared" si="68"/>
        <v>Telangana</v>
      </c>
      <c r="T871">
        <f t="shared" si="69"/>
        <v>12000</v>
      </c>
    </row>
    <row r="872" spans="1:20" x14ac:dyDescent="0.35">
      <c r="A872" t="s">
        <v>885</v>
      </c>
      <c r="B872" t="s">
        <v>1663</v>
      </c>
      <c r="C872" t="s">
        <v>2251</v>
      </c>
      <c r="D872" t="s">
        <v>3347</v>
      </c>
      <c r="E872" t="s">
        <v>3671</v>
      </c>
      <c r="F872">
        <v>47</v>
      </c>
      <c r="G872" t="s">
        <v>3678</v>
      </c>
      <c r="H872" t="s">
        <v>3683</v>
      </c>
      <c r="I872" t="s">
        <v>3687</v>
      </c>
      <c r="J872" t="s">
        <v>3693</v>
      </c>
      <c r="K872" t="s">
        <v>3697</v>
      </c>
      <c r="L872">
        <v>1</v>
      </c>
      <c r="M872">
        <v>5000</v>
      </c>
      <c r="N872" t="s">
        <v>3701</v>
      </c>
      <c r="O872" t="s">
        <v>3706</v>
      </c>
      <c r="P872" s="2">
        <f t="shared" si="65"/>
        <v>45985</v>
      </c>
      <c r="Q872" t="str">
        <f t="shared" si="66"/>
        <v>Kimaya Agrawal</v>
      </c>
      <c r="R872" t="str">
        <f t="shared" si="67"/>
        <v>Hyderabad</v>
      </c>
      <c r="S872" t="str">
        <f t="shared" si="68"/>
        <v>Telangana</v>
      </c>
      <c r="T872">
        <f t="shared" si="69"/>
        <v>5000</v>
      </c>
    </row>
    <row r="873" spans="1:20" x14ac:dyDescent="0.35">
      <c r="A873" t="s">
        <v>886</v>
      </c>
      <c r="B873" t="s">
        <v>1338</v>
      </c>
      <c r="C873" t="s">
        <v>1871</v>
      </c>
      <c r="D873" t="s">
        <v>3348</v>
      </c>
      <c r="E873" t="s">
        <v>3671</v>
      </c>
      <c r="F873">
        <v>58</v>
      </c>
      <c r="G873" t="s">
        <v>3678</v>
      </c>
      <c r="H873" t="s">
        <v>3683</v>
      </c>
      <c r="I873" t="s">
        <v>3690</v>
      </c>
      <c r="J873" t="s">
        <v>3693</v>
      </c>
      <c r="K873" t="s">
        <v>3700</v>
      </c>
      <c r="L873">
        <v>5</v>
      </c>
      <c r="M873">
        <v>72000</v>
      </c>
      <c r="N873" t="s">
        <v>3704</v>
      </c>
      <c r="O873" t="s">
        <v>3705</v>
      </c>
      <c r="P873" s="2">
        <f t="shared" si="65"/>
        <v>45718</v>
      </c>
      <c r="Q873" t="str">
        <f t="shared" si="66"/>
        <v>Kaira Khalsa</v>
      </c>
      <c r="R873" t="str">
        <f t="shared" si="67"/>
        <v>Hyderabad</v>
      </c>
      <c r="S873" t="str">
        <f t="shared" si="68"/>
        <v>Telangana</v>
      </c>
      <c r="T873">
        <f t="shared" si="69"/>
        <v>360000</v>
      </c>
    </row>
    <row r="874" spans="1:20" x14ac:dyDescent="0.35">
      <c r="A874" t="s">
        <v>887</v>
      </c>
      <c r="B874" t="s">
        <v>1718</v>
      </c>
      <c r="C874" t="s">
        <v>1998</v>
      </c>
      <c r="D874" t="s">
        <v>3349</v>
      </c>
      <c r="E874" t="s">
        <v>3672</v>
      </c>
      <c r="F874">
        <v>60</v>
      </c>
      <c r="G874" t="s">
        <v>3673</v>
      </c>
      <c r="H874" t="s">
        <v>3673</v>
      </c>
      <c r="I874" t="s">
        <v>3686</v>
      </c>
      <c r="J874" t="s">
        <v>3693</v>
      </c>
      <c r="K874" t="s">
        <v>3696</v>
      </c>
      <c r="L874">
        <v>3</v>
      </c>
      <c r="M874">
        <v>65000</v>
      </c>
      <c r="N874" t="s">
        <v>3703</v>
      </c>
      <c r="O874" t="s">
        <v>3705</v>
      </c>
      <c r="P874" s="2">
        <f t="shared" si="65"/>
        <v>45940</v>
      </c>
      <c r="Q874" t="str">
        <f t="shared" si="66"/>
        <v>Ojas Magar</v>
      </c>
      <c r="R874" t="str">
        <f t="shared" si="67"/>
        <v>Delhi</v>
      </c>
      <c r="S874" t="str">
        <f t="shared" si="68"/>
        <v>Delhi</v>
      </c>
      <c r="T874">
        <f t="shared" si="69"/>
        <v>195000</v>
      </c>
    </row>
    <row r="875" spans="1:20" x14ac:dyDescent="0.35">
      <c r="A875" t="s">
        <v>888</v>
      </c>
      <c r="B875" t="s">
        <v>1634</v>
      </c>
      <c r="C875" t="s">
        <v>2379</v>
      </c>
      <c r="D875" t="s">
        <v>3350</v>
      </c>
      <c r="E875" t="s">
        <v>3671</v>
      </c>
      <c r="F875">
        <v>19</v>
      </c>
      <c r="G875" t="s">
        <v>3677</v>
      </c>
      <c r="H875" t="s">
        <v>3680</v>
      </c>
      <c r="I875" t="s">
        <v>3688</v>
      </c>
      <c r="J875" t="s">
        <v>3694</v>
      </c>
      <c r="K875" t="s">
        <v>3698</v>
      </c>
      <c r="L875">
        <v>1</v>
      </c>
      <c r="M875">
        <v>4500</v>
      </c>
      <c r="N875" t="s">
        <v>3702</v>
      </c>
      <c r="O875" t="s">
        <v>3706</v>
      </c>
      <c r="P875" s="2">
        <f t="shared" si="65"/>
        <v>45955</v>
      </c>
      <c r="Q875" t="str">
        <f t="shared" si="66"/>
        <v>Myra Bava</v>
      </c>
      <c r="R875" t="str">
        <f t="shared" si="67"/>
        <v>Mumbai</v>
      </c>
      <c r="S875" t="str">
        <f t="shared" si="68"/>
        <v>Maharashtra</v>
      </c>
      <c r="T875">
        <f t="shared" si="69"/>
        <v>4500</v>
      </c>
    </row>
    <row r="876" spans="1:20" x14ac:dyDescent="0.35">
      <c r="A876" t="s">
        <v>889</v>
      </c>
      <c r="B876" t="s">
        <v>1303</v>
      </c>
      <c r="C876" t="s">
        <v>2380</v>
      </c>
      <c r="D876" t="s">
        <v>3351</v>
      </c>
      <c r="E876" t="s">
        <v>3671</v>
      </c>
      <c r="F876">
        <v>36</v>
      </c>
      <c r="G876" t="s">
        <v>3673</v>
      </c>
      <c r="H876" t="s">
        <v>3673</v>
      </c>
      <c r="I876" t="s">
        <v>3690</v>
      </c>
      <c r="J876" t="s">
        <v>3693</v>
      </c>
      <c r="K876" t="s">
        <v>3700</v>
      </c>
      <c r="L876">
        <v>2</v>
      </c>
      <c r="M876">
        <v>72000</v>
      </c>
      <c r="N876" t="s">
        <v>3704</v>
      </c>
      <c r="O876" t="s">
        <v>3706</v>
      </c>
      <c r="P876" s="2">
        <f t="shared" si="65"/>
        <v>45743</v>
      </c>
      <c r="Q876" t="str">
        <f t="shared" si="66"/>
        <v>Anika Ravi</v>
      </c>
      <c r="R876" t="str">
        <f t="shared" si="67"/>
        <v>Delhi</v>
      </c>
      <c r="S876" t="str">
        <f t="shared" si="68"/>
        <v>Delhi</v>
      </c>
      <c r="T876">
        <f t="shared" si="69"/>
        <v>144000</v>
      </c>
    </row>
    <row r="877" spans="1:20" x14ac:dyDescent="0.35">
      <c r="A877" t="s">
        <v>890</v>
      </c>
      <c r="B877" t="s">
        <v>1272</v>
      </c>
      <c r="C877" t="s">
        <v>2341</v>
      </c>
      <c r="D877" t="s">
        <v>3352</v>
      </c>
      <c r="E877" t="s">
        <v>3672</v>
      </c>
      <c r="F877">
        <v>51</v>
      </c>
      <c r="G877" t="s">
        <v>3675</v>
      </c>
      <c r="H877" t="s">
        <v>3681</v>
      </c>
      <c r="I877" t="s">
        <v>3686</v>
      </c>
      <c r="J877" t="s">
        <v>3693</v>
      </c>
      <c r="K877" t="s">
        <v>3696</v>
      </c>
      <c r="L877">
        <v>4</v>
      </c>
      <c r="M877">
        <v>65000</v>
      </c>
      <c r="N877" t="s">
        <v>3703</v>
      </c>
      <c r="O877" t="s">
        <v>3707</v>
      </c>
      <c r="P877" s="2">
        <f t="shared" si="65"/>
        <v>45827</v>
      </c>
      <c r="Q877" t="str">
        <f t="shared" si="66"/>
        <v>Jayant Zachariah</v>
      </c>
      <c r="R877" t="str">
        <f t="shared" si="67"/>
        <v>Kolkata</v>
      </c>
      <c r="S877" t="str">
        <f t="shared" si="68"/>
        <v>West Bengal</v>
      </c>
      <c r="T877">
        <f t="shared" si="69"/>
        <v>260000</v>
      </c>
    </row>
    <row r="878" spans="1:20" x14ac:dyDescent="0.35">
      <c r="A878" t="s">
        <v>891</v>
      </c>
      <c r="B878" t="s">
        <v>1612</v>
      </c>
      <c r="C878" t="s">
        <v>2381</v>
      </c>
      <c r="D878" t="s">
        <v>3353</v>
      </c>
      <c r="E878" t="s">
        <v>3671</v>
      </c>
      <c r="F878">
        <v>31</v>
      </c>
      <c r="G878" t="s">
        <v>3679</v>
      </c>
      <c r="H878" t="s">
        <v>3684</v>
      </c>
      <c r="I878" t="s">
        <v>3687</v>
      </c>
      <c r="J878" t="s">
        <v>3693</v>
      </c>
      <c r="K878" t="s">
        <v>3697</v>
      </c>
      <c r="L878">
        <v>4</v>
      </c>
      <c r="M878">
        <v>5000</v>
      </c>
      <c r="N878" t="s">
        <v>3702</v>
      </c>
      <c r="O878" t="s">
        <v>3707</v>
      </c>
      <c r="P878" s="2">
        <f t="shared" si="65"/>
        <v>45781</v>
      </c>
      <c r="Q878" t="str">
        <f t="shared" si="66"/>
        <v>Shamik Kapur</v>
      </c>
      <c r="R878" t="str">
        <f t="shared" si="67"/>
        <v>Bengaluru</v>
      </c>
      <c r="S878" t="str">
        <f t="shared" si="68"/>
        <v>Karnataka</v>
      </c>
      <c r="T878">
        <f t="shared" si="69"/>
        <v>20000</v>
      </c>
    </row>
    <row r="879" spans="1:20" x14ac:dyDescent="0.35">
      <c r="A879" t="s">
        <v>892</v>
      </c>
      <c r="B879" t="s">
        <v>1649</v>
      </c>
      <c r="C879" t="s">
        <v>1810</v>
      </c>
      <c r="D879" t="s">
        <v>3354</v>
      </c>
      <c r="E879" t="s">
        <v>3672</v>
      </c>
      <c r="F879">
        <v>57</v>
      </c>
      <c r="G879" t="s">
        <v>3675</v>
      </c>
      <c r="H879" t="s">
        <v>3681</v>
      </c>
      <c r="I879" t="s">
        <v>3685</v>
      </c>
      <c r="J879" t="s">
        <v>3692</v>
      </c>
      <c r="K879" t="s">
        <v>3695</v>
      </c>
      <c r="L879">
        <v>3</v>
      </c>
      <c r="M879">
        <v>12000</v>
      </c>
      <c r="N879" t="s">
        <v>3702</v>
      </c>
      <c r="O879" t="s">
        <v>3707</v>
      </c>
      <c r="P879" s="2">
        <f t="shared" si="65"/>
        <v>45844</v>
      </c>
      <c r="Q879" t="str">
        <f t="shared" si="66"/>
        <v>Eva Singhal</v>
      </c>
      <c r="R879" t="str">
        <f t="shared" si="67"/>
        <v>Kolkata</v>
      </c>
      <c r="S879" t="str">
        <f t="shared" si="68"/>
        <v>West Bengal</v>
      </c>
      <c r="T879">
        <f t="shared" si="69"/>
        <v>36000</v>
      </c>
    </row>
    <row r="880" spans="1:20" x14ac:dyDescent="0.35">
      <c r="A880" t="s">
        <v>893</v>
      </c>
      <c r="B880" t="s">
        <v>1291</v>
      </c>
      <c r="C880" t="s">
        <v>1933</v>
      </c>
      <c r="D880" t="s">
        <v>3355</v>
      </c>
      <c r="E880" t="s">
        <v>3672</v>
      </c>
      <c r="F880">
        <v>35</v>
      </c>
      <c r="G880" t="s">
        <v>3673</v>
      </c>
      <c r="H880" t="s">
        <v>3673</v>
      </c>
      <c r="I880" t="s">
        <v>3685</v>
      </c>
      <c r="J880" t="s">
        <v>3692</v>
      </c>
      <c r="K880" t="s">
        <v>3695</v>
      </c>
      <c r="L880">
        <v>3</v>
      </c>
      <c r="M880">
        <v>12000</v>
      </c>
      <c r="N880" t="s">
        <v>3701</v>
      </c>
      <c r="O880" t="s">
        <v>3707</v>
      </c>
      <c r="P880" s="2">
        <f t="shared" si="65"/>
        <v>45956</v>
      </c>
      <c r="Q880" t="str">
        <f t="shared" si="66"/>
        <v>Alia Halder</v>
      </c>
      <c r="R880" t="str">
        <f t="shared" si="67"/>
        <v>Delhi</v>
      </c>
      <c r="S880" t="str">
        <f t="shared" si="68"/>
        <v>Delhi</v>
      </c>
      <c r="T880">
        <f t="shared" si="69"/>
        <v>36000</v>
      </c>
    </row>
    <row r="881" spans="1:20" x14ac:dyDescent="0.35">
      <c r="A881" t="s">
        <v>894</v>
      </c>
      <c r="B881" t="s">
        <v>1645</v>
      </c>
      <c r="C881" t="s">
        <v>1927</v>
      </c>
      <c r="D881" t="s">
        <v>3356</v>
      </c>
      <c r="E881" t="s">
        <v>3672</v>
      </c>
      <c r="F881">
        <v>41</v>
      </c>
      <c r="G881" t="s">
        <v>3674</v>
      </c>
      <c r="H881" t="s">
        <v>3680</v>
      </c>
      <c r="I881" t="s">
        <v>3686</v>
      </c>
      <c r="J881" t="s">
        <v>3693</v>
      </c>
      <c r="K881" t="s">
        <v>3696</v>
      </c>
      <c r="L881">
        <v>5</v>
      </c>
      <c r="M881">
        <v>65000</v>
      </c>
      <c r="N881" t="s">
        <v>3704</v>
      </c>
      <c r="O881" t="s">
        <v>3706</v>
      </c>
      <c r="P881" s="2">
        <f t="shared" si="65"/>
        <v>45961</v>
      </c>
      <c r="Q881" t="str">
        <f t="shared" si="66"/>
        <v>Pari Sampath</v>
      </c>
      <c r="R881" t="str">
        <f t="shared" si="67"/>
        <v>Pune</v>
      </c>
      <c r="S881" t="str">
        <f t="shared" si="68"/>
        <v>Maharashtra</v>
      </c>
      <c r="T881">
        <f t="shared" si="69"/>
        <v>325000</v>
      </c>
    </row>
    <row r="882" spans="1:20" x14ac:dyDescent="0.35">
      <c r="A882" t="s">
        <v>895</v>
      </c>
      <c r="B882" t="s">
        <v>1719</v>
      </c>
      <c r="C882" t="s">
        <v>2259</v>
      </c>
      <c r="D882" t="s">
        <v>3357</v>
      </c>
      <c r="E882" t="s">
        <v>3671</v>
      </c>
      <c r="F882">
        <v>56</v>
      </c>
      <c r="G882" t="s">
        <v>3679</v>
      </c>
      <c r="H882" t="s">
        <v>3684</v>
      </c>
      <c r="I882" t="s">
        <v>3689</v>
      </c>
      <c r="J882" t="s">
        <v>3694</v>
      </c>
      <c r="K882" t="s">
        <v>3699</v>
      </c>
      <c r="L882">
        <v>5</v>
      </c>
      <c r="M882">
        <v>1800</v>
      </c>
      <c r="N882" t="s">
        <v>3702</v>
      </c>
      <c r="O882" t="s">
        <v>3706</v>
      </c>
      <c r="P882" s="2">
        <f t="shared" si="65"/>
        <v>45723</v>
      </c>
      <c r="Q882" t="str">
        <f t="shared" si="66"/>
        <v>Aayush Dixit</v>
      </c>
      <c r="R882" t="str">
        <f t="shared" si="67"/>
        <v>Bengaluru</v>
      </c>
      <c r="S882" t="str">
        <f t="shared" si="68"/>
        <v>Karnataka</v>
      </c>
      <c r="T882">
        <f t="shared" si="69"/>
        <v>9000</v>
      </c>
    </row>
    <row r="883" spans="1:20" x14ac:dyDescent="0.35">
      <c r="A883" t="s">
        <v>896</v>
      </c>
      <c r="B883" t="s">
        <v>1720</v>
      </c>
      <c r="C883" t="s">
        <v>1962</v>
      </c>
      <c r="D883" t="s">
        <v>3358</v>
      </c>
      <c r="E883" t="s">
        <v>3672</v>
      </c>
      <c r="F883">
        <v>35</v>
      </c>
      <c r="G883" t="s">
        <v>3675</v>
      </c>
      <c r="H883" t="s">
        <v>3681</v>
      </c>
      <c r="I883" t="s">
        <v>3686</v>
      </c>
      <c r="J883" t="s">
        <v>3693</v>
      </c>
      <c r="K883" t="s">
        <v>3696</v>
      </c>
      <c r="L883">
        <v>4</v>
      </c>
      <c r="M883">
        <v>65000</v>
      </c>
      <c r="N883" t="s">
        <v>3704</v>
      </c>
      <c r="O883" t="s">
        <v>3706</v>
      </c>
      <c r="P883" s="2">
        <f t="shared" si="65"/>
        <v>45719</v>
      </c>
      <c r="Q883" t="str">
        <f t="shared" si="66"/>
        <v>Eshani Kalla</v>
      </c>
      <c r="R883" t="str">
        <f t="shared" si="67"/>
        <v>Kolkata</v>
      </c>
      <c r="S883" t="str">
        <f t="shared" si="68"/>
        <v>West Bengal</v>
      </c>
      <c r="T883">
        <f t="shared" si="69"/>
        <v>260000</v>
      </c>
    </row>
    <row r="884" spans="1:20" x14ac:dyDescent="0.35">
      <c r="A884" t="s">
        <v>897</v>
      </c>
      <c r="B884" t="s">
        <v>1657</v>
      </c>
      <c r="C884" t="s">
        <v>2033</v>
      </c>
      <c r="D884" t="s">
        <v>3359</v>
      </c>
      <c r="E884" t="s">
        <v>3672</v>
      </c>
      <c r="F884">
        <v>53</v>
      </c>
      <c r="G884" t="s">
        <v>3673</v>
      </c>
      <c r="H884" t="s">
        <v>3673</v>
      </c>
      <c r="I884" t="s">
        <v>3688</v>
      </c>
      <c r="J884" t="s">
        <v>3694</v>
      </c>
      <c r="K884" t="s">
        <v>3698</v>
      </c>
      <c r="L884">
        <v>2</v>
      </c>
      <c r="M884">
        <v>4500</v>
      </c>
      <c r="N884" t="s">
        <v>3702</v>
      </c>
      <c r="O884" t="s">
        <v>3705</v>
      </c>
      <c r="P884" s="2">
        <f t="shared" si="65"/>
        <v>45788</v>
      </c>
      <c r="Q884" t="str">
        <f t="shared" si="66"/>
        <v>Dishani Tara</v>
      </c>
      <c r="R884" t="str">
        <f t="shared" si="67"/>
        <v>Delhi</v>
      </c>
      <c r="S884" t="str">
        <f t="shared" si="68"/>
        <v>Delhi</v>
      </c>
      <c r="T884">
        <f t="shared" si="69"/>
        <v>9000</v>
      </c>
    </row>
    <row r="885" spans="1:20" x14ac:dyDescent="0.35">
      <c r="A885" t="s">
        <v>898</v>
      </c>
      <c r="B885" t="s">
        <v>1721</v>
      </c>
      <c r="C885" t="s">
        <v>2038</v>
      </c>
      <c r="D885" t="s">
        <v>3360</v>
      </c>
      <c r="E885" t="s">
        <v>3672</v>
      </c>
      <c r="F885">
        <v>38</v>
      </c>
      <c r="G885" t="s">
        <v>3679</v>
      </c>
      <c r="H885" t="s">
        <v>3684</v>
      </c>
      <c r="I885" t="s">
        <v>3691</v>
      </c>
      <c r="J885" t="s">
        <v>3693</v>
      </c>
      <c r="K885" t="s">
        <v>3696</v>
      </c>
      <c r="L885">
        <v>1</v>
      </c>
      <c r="M885">
        <v>58000</v>
      </c>
      <c r="N885" t="s">
        <v>3703</v>
      </c>
      <c r="O885" t="s">
        <v>3706</v>
      </c>
      <c r="P885" s="2">
        <f t="shared" si="65"/>
        <v>45993</v>
      </c>
      <c r="Q885" t="str">
        <f t="shared" si="66"/>
        <v>Dharmajan Jhaveri</v>
      </c>
      <c r="R885" t="str">
        <f t="shared" si="67"/>
        <v>Bengaluru</v>
      </c>
      <c r="S885" t="str">
        <f t="shared" si="68"/>
        <v>Karnataka</v>
      </c>
      <c r="T885">
        <f t="shared" si="69"/>
        <v>58000</v>
      </c>
    </row>
    <row r="886" spans="1:20" x14ac:dyDescent="0.35">
      <c r="A886" t="s">
        <v>899</v>
      </c>
      <c r="B886" t="s">
        <v>1320</v>
      </c>
      <c r="C886" t="s">
        <v>2353</v>
      </c>
      <c r="D886" t="s">
        <v>3361</v>
      </c>
      <c r="E886" t="s">
        <v>3672</v>
      </c>
      <c r="F886">
        <v>43</v>
      </c>
      <c r="G886" t="s">
        <v>3674</v>
      </c>
      <c r="H886" t="s">
        <v>3680</v>
      </c>
      <c r="I886" t="s">
        <v>3687</v>
      </c>
      <c r="J886" t="s">
        <v>3693</v>
      </c>
      <c r="K886" t="s">
        <v>3697</v>
      </c>
      <c r="L886">
        <v>1</v>
      </c>
      <c r="M886">
        <v>5000</v>
      </c>
      <c r="N886" t="s">
        <v>3701</v>
      </c>
      <c r="O886" t="s">
        <v>3706</v>
      </c>
      <c r="P886" s="2">
        <f t="shared" si="65"/>
        <v>45841</v>
      </c>
      <c r="Q886" t="str">
        <f t="shared" si="66"/>
        <v>Mannat Upadhyay</v>
      </c>
      <c r="R886" t="str">
        <f t="shared" si="67"/>
        <v>Pune</v>
      </c>
      <c r="S886" t="str">
        <f t="shared" si="68"/>
        <v>Maharashtra</v>
      </c>
      <c r="T886">
        <f t="shared" si="69"/>
        <v>5000</v>
      </c>
    </row>
    <row r="887" spans="1:20" x14ac:dyDescent="0.35">
      <c r="A887" t="s">
        <v>900</v>
      </c>
      <c r="B887" t="s">
        <v>1722</v>
      </c>
      <c r="C887" t="s">
        <v>1872</v>
      </c>
      <c r="D887" t="s">
        <v>3362</v>
      </c>
      <c r="E887" t="s">
        <v>3672</v>
      </c>
      <c r="F887">
        <v>52</v>
      </c>
      <c r="G887" t="s">
        <v>3673</v>
      </c>
      <c r="H887" t="s">
        <v>3673</v>
      </c>
      <c r="I887" t="s">
        <v>3689</v>
      </c>
      <c r="J887" t="s">
        <v>3694</v>
      </c>
      <c r="K887" t="s">
        <v>3699</v>
      </c>
      <c r="L887">
        <v>3</v>
      </c>
      <c r="M887">
        <v>1800</v>
      </c>
      <c r="N887" t="s">
        <v>3701</v>
      </c>
      <c r="O887" t="s">
        <v>3707</v>
      </c>
      <c r="P887" s="2">
        <f t="shared" si="65"/>
        <v>45796</v>
      </c>
      <c r="Q887" t="str">
        <f t="shared" si="66"/>
        <v>Jiya Chopra</v>
      </c>
      <c r="R887" t="str">
        <f t="shared" si="67"/>
        <v>Delhi</v>
      </c>
      <c r="S887" t="str">
        <f t="shared" si="68"/>
        <v>Delhi</v>
      </c>
      <c r="T887">
        <f t="shared" si="69"/>
        <v>5400</v>
      </c>
    </row>
    <row r="888" spans="1:20" x14ac:dyDescent="0.35">
      <c r="A888" t="s">
        <v>901</v>
      </c>
      <c r="B888" t="s">
        <v>1723</v>
      </c>
      <c r="C888" t="s">
        <v>2382</v>
      </c>
      <c r="D888" t="s">
        <v>3363</v>
      </c>
      <c r="E888" t="s">
        <v>3672</v>
      </c>
      <c r="F888">
        <v>36</v>
      </c>
      <c r="G888" t="s">
        <v>3678</v>
      </c>
      <c r="H888" t="s">
        <v>3683</v>
      </c>
      <c r="I888" t="s">
        <v>3689</v>
      </c>
      <c r="J888" t="s">
        <v>3694</v>
      </c>
      <c r="K888" t="s">
        <v>3699</v>
      </c>
      <c r="L888">
        <v>2</v>
      </c>
      <c r="M888">
        <v>1800</v>
      </c>
      <c r="N888" t="s">
        <v>3703</v>
      </c>
      <c r="O888" t="s">
        <v>3706</v>
      </c>
      <c r="P888" s="2">
        <f t="shared" si="65"/>
        <v>45966</v>
      </c>
      <c r="Q888" t="str">
        <f t="shared" si="66"/>
        <v>Adira Chaudhuri</v>
      </c>
      <c r="R888" t="str">
        <f t="shared" si="67"/>
        <v>Hyderabad</v>
      </c>
      <c r="S888" t="str">
        <f t="shared" si="68"/>
        <v>Telangana</v>
      </c>
      <c r="T888">
        <f t="shared" si="69"/>
        <v>3600</v>
      </c>
    </row>
    <row r="889" spans="1:20" x14ac:dyDescent="0.35">
      <c r="A889" t="s">
        <v>902</v>
      </c>
      <c r="B889" t="s">
        <v>1724</v>
      </c>
      <c r="C889" t="s">
        <v>2383</v>
      </c>
      <c r="D889" t="s">
        <v>3364</v>
      </c>
      <c r="E889" t="s">
        <v>3672</v>
      </c>
      <c r="F889">
        <v>48</v>
      </c>
      <c r="G889" t="s">
        <v>3674</v>
      </c>
      <c r="H889" t="s">
        <v>3680</v>
      </c>
      <c r="I889" t="s">
        <v>3685</v>
      </c>
      <c r="J889" t="s">
        <v>3692</v>
      </c>
      <c r="K889" t="s">
        <v>3695</v>
      </c>
      <c r="L889">
        <v>1</v>
      </c>
      <c r="M889">
        <v>12000</v>
      </c>
      <c r="N889" t="s">
        <v>3701</v>
      </c>
      <c r="O889" t="s">
        <v>3705</v>
      </c>
      <c r="P889" s="2">
        <f t="shared" si="65"/>
        <v>45991</v>
      </c>
      <c r="Q889" t="str">
        <f t="shared" si="66"/>
        <v>Hrishita De</v>
      </c>
      <c r="R889" t="str">
        <f t="shared" si="67"/>
        <v>Pune</v>
      </c>
      <c r="S889" t="str">
        <f t="shared" si="68"/>
        <v>Maharashtra</v>
      </c>
      <c r="T889">
        <f t="shared" si="69"/>
        <v>12000</v>
      </c>
    </row>
    <row r="890" spans="1:20" x14ac:dyDescent="0.35">
      <c r="A890" t="s">
        <v>903</v>
      </c>
      <c r="B890" t="s">
        <v>1625</v>
      </c>
      <c r="C890" t="s">
        <v>2045</v>
      </c>
      <c r="D890" t="s">
        <v>3365</v>
      </c>
      <c r="E890" t="s">
        <v>3671</v>
      </c>
      <c r="F890">
        <v>43</v>
      </c>
      <c r="G890" t="s">
        <v>3674</v>
      </c>
      <c r="H890" t="s">
        <v>3680</v>
      </c>
      <c r="I890" t="s">
        <v>3688</v>
      </c>
      <c r="J890" t="s">
        <v>3694</v>
      </c>
      <c r="K890" t="s">
        <v>3698</v>
      </c>
      <c r="L890">
        <v>4</v>
      </c>
      <c r="M890">
        <v>4500</v>
      </c>
      <c r="N890" t="s">
        <v>3702</v>
      </c>
      <c r="O890" t="s">
        <v>3707</v>
      </c>
      <c r="P890" s="2">
        <f t="shared" si="65"/>
        <v>45690</v>
      </c>
      <c r="Q890" t="str">
        <f t="shared" si="66"/>
        <v>Myra Dasgupta</v>
      </c>
      <c r="R890" t="str">
        <f t="shared" si="67"/>
        <v>Pune</v>
      </c>
      <c r="S890" t="str">
        <f t="shared" si="68"/>
        <v>Maharashtra</v>
      </c>
      <c r="T890">
        <f t="shared" si="69"/>
        <v>18000</v>
      </c>
    </row>
    <row r="891" spans="1:20" x14ac:dyDescent="0.35">
      <c r="A891" t="s">
        <v>904</v>
      </c>
      <c r="B891" t="s">
        <v>1219</v>
      </c>
      <c r="C891" t="s">
        <v>1859</v>
      </c>
      <c r="D891" t="s">
        <v>3366</v>
      </c>
      <c r="E891" t="s">
        <v>3672</v>
      </c>
      <c r="F891">
        <v>33</v>
      </c>
      <c r="G891" t="s">
        <v>3676</v>
      </c>
      <c r="H891" t="s">
        <v>3682</v>
      </c>
      <c r="I891" t="s">
        <v>3689</v>
      </c>
      <c r="J891" t="s">
        <v>3694</v>
      </c>
      <c r="K891" t="s">
        <v>3699</v>
      </c>
      <c r="L891">
        <v>2</v>
      </c>
      <c r="M891">
        <v>1800</v>
      </c>
      <c r="N891" t="s">
        <v>3704</v>
      </c>
      <c r="O891" t="s">
        <v>3706</v>
      </c>
      <c r="P891" s="2">
        <f t="shared" si="65"/>
        <v>45778</v>
      </c>
      <c r="Q891" t="str">
        <f t="shared" si="66"/>
        <v>Shray Wali</v>
      </c>
      <c r="R891" t="str">
        <f t="shared" si="67"/>
        <v>Chennai</v>
      </c>
      <c r="S891" t="str">
        <f t="shared" si="68"/>
        <v>Tamil Nadu</v>
      </c>
      <c r="T891">
        <f t="shared" si="69"/>
        <v>3600</v>
      </c>
    </row>
    <row r="892" spans="1:20" x14ac:dyDescent="0.35">
      <c r="A892" t="s">
        <v>905</v>
      </c>
      <c r="B892" t="s">
        <v>1306</v>
      </c>
      <c r="C892" t="s">
        <v>2384</v>
      </c>
      <c r="D892" t="s">
        <v>3367</v>
      </c>
      <c r="E892" t="s">
        <v>3671</v>
      </c>
      <c r="F892">
        <v>34</v>
      </c>
      <c r="G892" t="s">
        <v>3678</v>
      </c>
      <c r="H892" t="s">
        <v>3683</v>
      </c>
      <c r="I892" t="s">
        <v>3689</v>
      </c>
      <c r="J892" t="s">
        <v>3694</v>
      </c>
      <c r="K892" t="s">
        <v>3699</v>
      </c>
      <c r="L892">
        <v>1</v>
      </c>
      <c r="M892">
        <v>1800</v>
      </c>
      <c r="N892" t="s">
        <v>3701</v>
      </c>
      <c r="O892" t="s">
        <v>3705</v>
      </c>
      <c r="P892" s="2">
        <f t="shared" si="65"/>
        <v>45671</v>
      </c>
      <c r="Q892" t="str">
        <f t="shared" si="66"/>
        <v>Drishya Sheth</v>
      </c>
      <c r="R892" t="str">
        <f t="shared" si="67"/>
        <v>Hyderabad</v>
      </c>
      <c r="S892" t="str">
        <f t="shared" si="68"/>
        <v>Telangana</v>
      </c>
      <c r="T892">
        <f t="shared" si="69"/>
        <v>1800</v>
      </c>
    </row>
    <row r="893" spans="1:20" x14ac:dyDescent="0.35">
      <c r="A893" t="s">
        <v>906</v>
      </c>
      <c r="B893" t="s">
        <v>1501</v>
      </c>
      <c r="C893" t="s">
        <v>2269</v>
      </c>
      <c r="D893" t="s">
        <v>3368</v>
      </c>
      <c r="E893" t="s">
        <v>3672</v>
      </c>
      <c r="F893">
        <v>59</v>
      </c>
      <c r="G893" t="s">
        <v>3679</v>
      </c>
      <c r="H893" t="s">
        <v>3684</v>
      </c>
      <c r="I893" t="s">
        <v>3685</v>
      </c>
      <c r="J893" t="s">
        <v>3692</v>
      </c>
      <c r="K893" t="s">
        <v>3695</v>
      </c>
      <c r="L893">
        <v>4</v>
      </c>
      <c r="M893">
        <v>12000</v>
      </c>
      <c r="N893" t="s">
        <v>3702</v>
      </c>
      <c r="O893" t="s">
        <v>3706</v>
      </c>
      <c r="P893" s="2">
        <f t="shared" si="65"/>
        <v>45666</v>
      </c>
      <c r="Q893" t="str">
        <f t="shared" si="66"/>
        <v>Aayush Sahota</v>
      </c>
      <c r="R893" t="str">
        <f t="shared" si="67"/>
        <v>Bengaluru</v>
      </c>
      <c r="S893" t="str">
        <f t="shared" si="68"/>
        <v>Karnataka</v>
      </c>
      <c r="T893">
        <f t="shared" si="69"/>
        <v>48000</v>
      </c>
    </row>
    <row r="894" spans="1:20" x14ac:dyDescent="0.35">
      <c r="A894" t="s">
        <v>907</v>
      </c>
      <c r="B894" t="s">
        <v>1333</v>
      </c>
      <c r="C894" t="s">
        <v>2385</v>
      </c>
      <c r="D894" t="s">
        <v>3369</v>
      </c>
      <c r="E894" t="s">
        <v>3672</v>
      </c>
      <c r="F894">
        <v>52</v>
      </c>
      <c r="G894" t="s">
        <v>3673</v>
      </c>
      <c r="H894" t="s">
        <v>3673</v>
      </c>
      <c r="I894" t="s">
        <v>3688</v>
      </c>
      <c r="J894" t="s">
        <v>3694</v>
      </c>
      <c r="K894" t="s">
        <v>3698</v>
      </c>
      <c r="L894">
        <v>3</v>
      </c>
      <c r="M894">
        <v>4500</v>
      </c>
      <c r="N894" t="s">
        <v>3701</v>
      </c>
      <c r="O894" t="s">
        <v>3707</v>
      </c>
      <c r="P894" s="2">
        <f t="shared" si="65"/>
        <v>45869</v>
      </c>
      <c r="Q894" t="str">
        <f t="shared" si="66"/>
        <v>Romil Sachdeva</v>
      </c>
      <c r="R894" t="str">
        <f t="shared" si="67"/>
        <v>Delhi</v>
      </c>
      <c r="S894" t="str">
        <f t="shared" si="68"/>
        <v>Delhi</v>
      </c>
      <c r="T894">
        <f t="shared" si="69"/>
        <v>13500</v>
      </c>
    </row>
    <row r="895" spans="1:20" x14ac:dyDescent="0.35">
      <c r="A895" t="s">
        <v>908</v>
      </c>
      <c r="B895" t="s">
        <v>1725</v>
      </c>
      <c r="C895" t="s">
        <v>2386</v>
      </c>
      <c r="D895" t="s">
        <v>3370</v>
      </c>
      <c r="E895" t="s">
        <v>3672</v>
      </c>
      <c r="F895">
        <v>46</v>
      </c>
      <c r="G895" t="s">
        <v>3674</v>
      </c>
      <c r="H895" t="s">
        <v>3680</v>
      </c>
      <c r="I895" t="s">
        <v>3688</v>
      </c>
      <c r="J895" t="s">
        <v>3694</v>
      </c>
      <c r="K895" t="s">
        <v>3698</v>
      </c>
      <c r="L895">
        <v>3</v>
      </c>
      <c r="M895">
        <v>4500</v>
      </c>
      <c r="N895" t="s">
        <v>3703</v>
      </c>
      <c r="O895" t="s">
        <v>3706</v>
      </c>
      <c r="P895" s="2">
        <f t="shared" si="65"/>
        <v>45813</v>
      </c>
      <c r="Q895" t="str">
        <f t="shared" si="66"/>
        <v>Misha Rout</v>
      </c>
      <c r="R895" t="str">
        <f t="shared" si="67"/>
        <v>Pune</v>
      </c>
      <c r="S895" t="str">
        <f t="shared" si="68"/>
        <v>Maharashtra</v>
      </c>
      <c r="T895">
        <f t="shared" si="69"/>
        <v>13500</v>
      </c>
    </row>
    <row r="896" spans="1:20" x14ac:dyDescent="0.35">
      <c r="A896" t="s">
        <v>909</v>
      </c>
      <c r="B896" t="s">
        <v>1726</v>
      </c>
      <c r="C896" t="s">
        <v>2339</v>
      </c>
      <c r="D896" t="s">
        <v>3371</v>
      </c>
      <c r="E896" t="s">
        <v>3672</v>
      </c>
      <c r="F896">
        <v>27</v>
      </c>
      <c r="G896" t="s">
        <v>3676</v>
      </c>
      <c r="H896" t="s">
        <v>3682</v>
      </c>
      <c r="I896" t="s">
        <v>3691</v>
      </c>
      <c r="J896" t="s">
        <v>3693</v>
      </c>
      <c r="K896" t="s">
        <v>3696</v>
      </c>
      <c r="L896">
        <v>5</v>
      </c>
      <c r="M896">
        <v>58000</v>
      </c>
      <c r="N896" t="s">
        <v>3703</v>
      </c>
      <c r="O896" t="s">
        <v>3705</v>
      </c>
      <c r="P896" s="2">
        <f t="shared" si="65"/>
        <v>45875</v>
      </c>
      <c r="Q896" t="str">
        <f t="shared" si="66"/>
        <v>Fateh Tripathi</v>
      </c>
      <c r="R896" t="str">
        <f t="shared" si="67"/>
        <v>Chennai</v>
      </c>
      <c r="S896" t="str">
        <f t="shared" si="68"/>
        <v>Tamil Nadu</v>
      </c>
      <c r="T896">
        <f t="shared" si="69"/>
        <v>290000</v>
      </c>
    </row>
    <row r="897" spans="1:20" x14ac:dyDescent="0.35">
      <c r="A897" t="s">
        <v>910</v>
      </c>
      <c r="B897" t="s">
        <v>1727</v>
      </c>
      <c r="C897" t="s">
        <v>2261</v>
      </c>
      <c r="D897" t="s">
        <v>3372</v>
      </c>
      <c r="E897" t="s">
        <v>3671</v>
      </c>
      <c r="F897">
        <v>44</v>
      </c>
      <c r="G897" t="s">
        <v>3673</v>
      </c>
      <c r="H897" t="s">
        <v>3673</v>
      </c>
      <c r="I897" t="s">
        <v>3686</v>
      </c>
      <c r="J897" t="s">
        <v>3693</v>
      </c>
      <c r="K897" t="s">
        <v>3696</v>
      </c>
      <c r="L897">
        <v>5</v>
      </c>
      <c r="M897">
        <v>65000</v>
      </c>
      <c r="N897" t="s">
        <v>3702</v>
      </c>
      <c r="O897" t="s">
        <v>3706</v>
      </c>
      <c r="P897" s="2">
        <f t="shared" si="65"/>
        <v>45997</v>
      </c>
      <c r="Q897" t="str">
        <f t="shared" si="66"/>
        <v>Adah Chahal</v>
      </c>
      <c r="R897" t="str">
        <f t="shared" si="67"/>
        <v>Delhi</v>
      </c>
      <c r="S897" t="str">
        <f t="shared" si="68"/>
        <v>Delhi</v>
      </c>
      <c r="T897">
        <f t="shared" si="69"/>
        <v>325000</v>
      </c>
    </row>
    <row r="898" spans="1:20" x14ac:dyDescent="0.35">
      <c r="A898" t="s">
        <v>911</v>
      </c>
      <c r="B898" t="s">
        <v>1582</v>
      </c>
      <c r="C898" t="s">
        <v>2387</v>
      </c>
      <c r="D898" t="s">
        <v>3373</v>
      </c>
      <c r="E898" t="s">
        <v>3672</v>
      </c>
      <c r="F898">
        <v>28</v>
      </c>
      <c r="G898" t="s">
        <v>3674</v>
      </c>
      <c r="H898" t="s">
        <v>3680</v>
      </c>
      <c r="I898" t="s">
        <v>3689</v>
      </c>
      <c r="J898" t="s">
        <v>3694</v>
      </c>
      <c r="K898" t="s">
        <v>3699</v>
      </c>
      <c r="L898">
        <v>5</v>
      </c>
      <c r="M898">
        <v>1800</v>
      </c>
      <c r="N898" t="s">
        <v>3704</v>
      </c>
      <c r="O898" t="s">
        <v>3707</v>
      </c>
      <c r="P898" s="2">
        <f t="shared" si="65"/>
        <v>45819</v>
      </c>
      <c r="Q898" t="str">
        <f t="shared" si="66"/>
        <v>Biju Sinha</v>
      </c>
      <c r="R898" t="str">
        <f t="shared" si="67"/>
        <v>Pune</v>
      </c>
      <c r="S898" t="str">
        <f t="shared" si="68"/>
        <v>Maharashtra</v>
      </c>
      <c r="T898">
        <f t="shared" si="69"/>
        <v>9000</v>
      </c>
    </row>
    <row r="899" spans="1:20" x14ac:dyDescent="0.35">
      <c r="A899" t="s">
        <v>912</v>
      </c>
      <c r="B899" t="s">
        <v>1455</v>
      </c>
      <c r="C899" t="s">
        <v>2102</v>
      </c>
      <c r="D899" t="s">
        <v>3374</v>
      </c>
      <c r="E899" t="s">
        <v>3671</v>
      </c>
      <c r="F899">
        <v>38</v>
      </c>
      <c r="G899" t="s">
        <v>3678</v>
      </c>
      <c r="H899" t="s">
        <v>3683</v>
      </c>
      <c r="I899" t="s">
        <v>3688</v>
      </c>
      <c r="J899" t="s">
        <v>3694</v>
      </c>
      <c r="K899" t="s">
        <v>3698</v>
      </c>
      <c r="L899">
        <v>2</v>
      </c>
      <c r="M899">
        <v>4500</v>
      </c>
      <c r="N899" t="s">
        <v>3702</v>
      </c>
      <c r="O899" t="s">
        <v>3706</v>
      </c>
      <c r="P899" s="2">
        <f t="shared" ref="P899:P962" si="70">DATEVALUE(SUBSTITUTE(B899,"/","-"))</f>
        <v>45891</v>
      </c>
      <c r="Q899" t="str">
        <f t="shared" ref="Q899:Q962" si="71">TRIM(CLEAN(D899))</f>
        <v>Oorja Lad</v>
      </c>
      <c r="R899" t="str">
        <f t="shared" ref="R899:R962" si="72">IF(G899="","Unknown",G899)</f>
        <v>Hyderabad</v>
      </c>
      <c r="S899" t="str">
        <f t="shared" ref="S899:S962" si="73">IF(H899="","Unknown",H899)</f>
        <v>Telangana</v>
      </c>
      <c r="T899">
        <f t="shared" ref="T899:T962" si="74">L899*M899</f>
        <v>9000</v>
      </c>
    </row>
    <row r="900" spans="1:20" x14ac:dyDescent="0.35">
      <c r="A900" t="s">
        <v>913</v>
      </c>
      <c r="B900" t="s">
        <v>1244</v>
      </c>
      <c r="C900" t="s">
        <v>2388</v>
      </c>
      <c r="D900" t="s">
        <v>3056</v>
      </c>
      <c r="E900" t="s">
        <v>3671</v>
      </c>
      <c r="F900">
        <v>23</v>
      </c>
      <c r="G900" t="s">
        <v>3676</v>
      </c>
      <c r="H900" t="s">
        <v>3682</v>
      </c>
      <c r="I900" t="s">
        <v>3689</v>
      </c>
      <c r="J900" t="s">
        <v>3694</v>
      </c>
      <c r="K900" t="s">
        <v>3699</v>
      </c>
      <c r="L900">
        <v>4</v>
      </c>
      <c r="M900">
        <v>1800</v>
      </c>
      <c r="N900" t="s">
        <v>3701</v>
      </c>
      <c r="O900" t="s">
        <v>3706</v>
      </c>
      <c r="P900" s="2">
        <f t="shared" si="70"/>
        <v>45678</v>
      </c>
      <c r="Q900" t="str">
        <f t="shared" si="71"/>
        <v>Kimaya Ganesh</v>
      </c>
      <c r="R900" t="str">
        <f t="shared" si="72"/>
        <v>Chennai</v>
      </c>
      <c r="S900" t="str">
        <f t="shared" si="73"/>
        <v>Tamil Nadu</v>
      </c>
      <c r="T900">
        <f t="shared" si="74"/>
        <v>7200</v>
      </c>
    </row>
    <row r="901" spans="1:20" x14ac:dyDescent="0.35">
      <c r="A901" t="s">
        <v>914</v>
      </c>
      <c r="B901" t="s">
        <v>1279</v>
      </c>
      <c r="C901" t="s">
        <v>2116</v>
      </c>
      <c r="D901" t="s">
        <v>3375</v>
      </c>
      <c r="E901" t="s">
        <v>3672</v>
      </c>
      <c r="F901">
        <v>59</v>
      </c>
      <c r="G901" t="s">
        <v>3675</v>
      </c>
      <c r="H901" t="s">
        <v>3681</v>
      </c>
      <c r="I901" t="s">
        <v>3691</v>
      </c>
      <c r="J901" t="s">
        <v>3693</v>
      </c>
      <c r="K901" t="s">
        <v>3696</v>
      </c>
      <c r="L901">
        <v>4</v>
      </c>
      <c r="M901">
        <v>58000</v>
      </c>
      <c r="N901" t="s">
        <v>3703</v>
      </c>
      <c r="O901" t="s">
        <v>3705</v>
      </c>
      <c r="P901" s="2">
        <f t="shared" si="70"/>
        <v>45717</v>
      </c>
      <c r="Q901" t="str">
        <f t="shared" si="71"/>
        <v>Anvi Hayer</v>
      </c>
      <c r="R901" t="str">
        <f t="shared" si="72"/>
        <v>Kolkata</v>
      </c>
      <c r="S901" t="str">
        <f t="shared" si="73"/>
        <v>West Bengal</v>
      </c>
      <c r="T901">
        <f t="shared" si="74"/>
        <v>232000</v>
      </c>
    </row>
    <row r="902" spans="1:20" x14ac:dyDescent="0.35">
      <c r="A902" t="s">
        <v>915</v>
      </c>
      <c r="B902" t="s">
        <v>1638</v>
      </c>
      <c r="C902" t="s">
        <v>2389</v>
      </c>
      <c r="D902" t="s">
        <v>3376</v>
      </c>
      <c r="E902" t="s">
        <v>3671</v>
      </c>
      <c r="F902">
        <v>45</v>
      </c>
      <c r="G902" t="s">
        <v>3678</v>
      </c>
      <c r="H902" t="s">
        <v>3683</v>
      </c>
      <c r="I902" t="s">
        <v>3685</v>
      </c>
      <c r="J902" t="s">
        <v>3692</v>
      </c>
      <c r="K902" t="s">
        <v>3695</v>
      </c>
      <c r="L902">
        <v>5</v>
      </c>
      <c r="M902">
        <v>12000</v>
      </c>
      <c r="N902" t="s">
        <v>3703</v>
      </c>
      <c r="O902" t="s">
        <v>3706</v>
      </c>
      <c r="P902" s="2">
        <f t="shared" si="70"/>
        <v>45824</v>
      </c>
      <c r="Q902" t="str">
        <f t="shared" si="71"/>
        <v>Dishani Rajagopalan</v>
      </c>
      <c r="R902" t="str">
        <f t="shared" si="72"/>
        <v>Hyderabad</v>
      </c>
      <c r="S902" t="str">
        <f t="shared" si="73"/>
        <v>Telangana</v>
      </c>
      <c r="T902">
        <f t="shared" si="74"/>
        <v>60000</v>
      </c>
    </row>
    <row r="903" spans="1:20" x14ac:dyDescent="0.35">
      <c r="A903" t="s">
        <v>916</v>
      </c>
      <c r="B903" t="s">
        <v>1604</v>
      </c>
      <c r="C903" t="s">
        <v>2079</v>
      </c>
      <c r="D903" t="s">
        <v>3377</v>
      </c>
      <c r="E903" t="s">
        <v>3672</v>
      </c>
      <c r="F903">
        <v>28</v>
      </c>
      <c r="G903" t="s">
        <v>3674</v>
      </c>
      <c r="H903" t="s">
        <v>3680</v>
      </c>
      <c r="I903" t="s">
        <v>3688</v>
      </c>
      <c r="J903" t="s">
        <v>3694</v>
      </c>
      <c r="K903" t="s">
        <v>3698</v>
      </c>
      <c r="L903">
        <v>1</v>
      </c>
      <c r="M903">
        <v>4500</v>
      </c>
      <c r="N903" t="s">
        <v>3704</v>
      </c>
      <c r="O903" t="s">
        <v>3707</v>
      </c>
      <c r="P903" s="2">
        <f t="shared" si="70"/>
        <v>45724</v>
      </c>
      <c r="Q903" t="str">
        <f t="shared" si="71"/>
        <v>Vihaan Ganguly</v>
      </c>
      <c r="R903" t="str">
        <f t="shared" si="72"/>
        <v>Pune</v>
      </c>
      <c r="S903" t="str">
        <f t="shared" si="73"/>
        <v>Maharashtra</v>
      </c>
      <c r="T903">
        <f t="shared" si="74"/>
        <v>4500</v>
      </c>
    </row>
    <row r="904" spans="1:20" x14ac:dyDescent="0.35">
      <c r="A904" t="s">
        <v>917</v>
      </c>
      <c r="B904" t="s">
        <v>1486</v>
      </c>
      <c r="C904" t="s">
        <v>2390</v>
      </c>
      <c r="D904" t="s">
        <v>3378</v>
      </c>
      <c r="E904" t="s">
        <v>3671</v>
      </c>
      <c r="F904">
        <v>43</v>
      </c>
      <c r="G904" t="s">
        <v>3679</v>
      </c>
      <c r="H904" t="s">
        <v>3684</v>
      </c>
      <c r="I904" t="s">
        <v>3686</v>
      </c>
      <c r="J904" t="s">
        <v>3693</v>
      </c>
      <c r="K904" t="s">
        <v>3696</v>
      </c>
      <c r="L904">
        <v>2</v>
      </c>
      <c r="M904">
        <v>65000</v>
      </c>
      <c r="N904" t="s">
        <v>3701</v>
      </c>
      <c r="O904" t="s">
        <v>3706</v>
      </c>
      <c r="P904" s="2">
        <f t="shared" si="70"/>
        <v>45906</v>
      </c>
      <c r="Q904" t="str">
        <f t="shared" si="71"/>
        <v>Mishti Kannan</v>
      </c>
      <c r="R904" t="str">
        <f t="shared" si="72"/>
        <v>Bengaluru</v>
      </c>
      <c r="S904" t="str">
        <f t="shared" si="73"/>
        <v>Karnataka</v>
      </c>
      <c r="T904">
        <f t="shared" si="74"/>
        <v>130000</v>
      </c>
    </row>
    <row r="905" spans="1:20" x14ac:dyDescent="0.35">
      <c r="A905" t="s">
        <v>918</v>
      </c>
      <c r="B905" t="s">
        <v>1457</v>
      </c>
      <c r="C905" t="s">
        <v>2391</v>
      </c>
      <c r="D905" t="s">
        <v>3379</v>
      </c>
      <c r="E905" t="s">
        <v>3672</v>
      </c>
      <c r="F905">
        <v>32</v>
      </c>
      <c r="G905" t="s">
        <v>3673</v>
      </c>
      <c r="H905" t="s">
        <v>3673</v>
      </c>
      <c r="I905" t="s">
        <v>3685</v>
      </c>
      <c r="J905" t="s">
        <v>3692</v>
      </c>
      <c r="K905" t="s">
        <v>3695</v>
      </c>
      <c r="L905">
        <v>4</v>
      </c>
      <c r="M905">
        <v>12000</v>
      </c>
      <c r="N905" t="s">
        <v>3702</v>
      </c>
      <c r="O905" t="s">
        <v>3706</v>
      </c>
      <c r="P905" s="2">
        <f t="shared" si="70"/>
        <v>45939</v>
      </c>
      <c r="Q905" t="str">
        <f t="shared" si="71"/>
        <v>Sana Taneja</v>
      </c>
      <c r="R905" t="str">
        <f t="shared" si="72"/>
        <v>Delhi</v>
      </c>
      <c r="S905" t="str">
        <f t="shared" si="73"/>
        <v>Delhi</v>
      </c>
      <c r="T905">
        <f t="shared" si="74"/>
        <v>48000</v>
      </c>
    </row>
    <row r="906" spans="1:20" x14ac:dyDescent="0.35">
      <c r="A906" t="s">
        <v>919</v>
      </c>
      <c r="B906" t="s">
        <v>1236</v>
      </c>
      <c r="C906" t="s">
        <v>2392</v>
      </c>
      <c r="D906" t="s">
        <v>3380</v>
      </c>
      <c r="E906" t="s">
        <v>3671</v>
      </c>
      <c r="F906">
        <v>26</v>
      </c>
      <c r="G906" t="s">
        <v>3678</v>
      </c>
      <c r="H906" t="s">
        <v>3683</v>
      </c>
      <c r="I906" t="s">
        <v>3691</v>
      </c>
      <c r="J906" t="s">
        <v>3693</v>
      </c>
      <c r="K906" t="s">
        <v>3696</v>
      </c>
      <c r="L906">
        <v>5</v>
      </c>
      <c r="M906">
        <v>58000</v>
      </c>
      <c r="N906" t="s">
        <v>3704</v>
      </c>
      <c r="O906" t="s">
        <v>3707</v>
      </c>
      <c r="P906" s="2">
        <f t="shared" si="70"/>
        <v>45833</v>
      </c>
      <c r="Q906" t="str">
        <f t="shared" si="71"/>
        <v>Mahika Manne</v>
      </c>
      <c r="R906" t="str">
        <f t="shared" si="72"/>
        <v>Hyderabad</v>
      </c>
      <c r="S906" t="str">
        <f t="shared" si="73"/>
        <v>Telangana</v>
      </c>
      <c r="T906">
        <f t="shared" si="74"/>
        <v>290000</v>
      </c>
    </row>
    <row r="907" spans="1:20" x14ac:dyDescent="0.35">
      <c r="A907" t="s">
        <v>920</v>
      </c>
      <c r="B907" t="s">
        <v>1338</v>
      </c>
      <c r="C907" t="s">
        <v>2393</v>
      </c>
      <c r="D907" t="s">
        <v>3381</v>
      </c>
      <c r="E907" t="s">
        <v>3671</v>
      </c>
      <c r="F907">
        <v>41</v>
      </c>
      <c r="G907" t="s">
        <v>3674</v>
      </c>
      <c r="H907" t="s">
        <v>3680</v>
      </c>
      <c r="I907" t="s">
        <v>3690</v>
      </c>
      <c r="J907" t="s">
        <v>3693</v>
      </c>
      <c r="K907" t="s">
        <v>3700</v>
      </c>
      <c r="L907">
        <v>2</v>
      </c>
      <c r="M907">
        <v>72000</v>
      </c>
      <c r="N907" t="s">
        <v>3702</v>
      </c>
      <c r="O907" t="s">
        <v>3707</v>
      </c>
      <c r="P907" s="2">
        <f t="shared" si="70"/>
        <v>45718</v>
      </c>
      <c r="Q907" t="str">
        <f t="shared" si="71"/>
        <v>Fateh Sehgal</v>
      </c>
      <c r="R907" t="str">
        <f t="shared" si="72"/>
        <v>Pune</v>
      </c>
      <c r="S907" t="str">
        <f t="shared" si="73"/>
        <v>Maharashtra</v>
      </c>
      <c r="T907">
        <f t="shared" si="74"/>
        <v>144000</v>
      </c>
    </row>
    <row r="908" spans="1:20" x14ac:dyDescent="0.35">
      <c r="A908" t="s">
        <v>921</v>
      </c>
      <c r="B908" t="s">
        <v>1610</v>
      </c>
      <c r="C908" t="s">
        <v>2320</v>
      </c>
      <c r="D908" t="s">
        <v>3382</v>
      </c>
      <c r="E908" t="s">
        <v>3672</v>
      </c>
      <c r="F908">
        <v>47</v>
      </c>
      <c r="G908" t="s">
        <v>3679</v>
      </c>
      <c r="H908" t="s">
        <v>3684</v>
      </c>
      <c r="I908" t="s">
        <v>3687</v>
      </c>
      <c r="J908" t="s">
        <v>3693</v>
      </c>
      <c r="K908" t="s">
        <v>3697</v>
      </c>
      <c r="L908">
        <v>1</v>
      </c>
      <c r="M908">
        <v>5000</v>
      </c>
      <c r="N908" t="s">
        <v>3702</v>
      </c>
      <c r="O908" t="s">
        <v>3705</v>
      </c>
      <c r="P908" s="2">
        <f t="shared" si="70"/>
        <v>45832</v>
      </c>
      <c r="Q908" t="str">
        <f t="shared" si="71"/>
        <v>Tara Reddy</v>
      </c>
      <c r="R908" t="str">
        <f t="shared" si="72"/>
        <v>Bengaluru</v>
      </c>
      <c r="S908" t="str">
        <f t="shared" si="73"/>
        <v>Karnataka</v>
      </c>
      <c r="T908">
        <f t="shared" si="74"/>
        <v>5000</v>
      </c>
    </row>
    <row r="909" spans="1:20" x14ac:dyDescent="0.35">
      <c r="A909" t="s">
        <v>922</v>
      </c>
      <c r="B909" t="s">
        <v>1418</v>
      </c>
      <c r="C909" t="s">
        <v>2289</v>
      </c>
      <c r="D909" t="s">
        <v>3383</v>
      </c>
      <c r="E909" t="s">
        <v>3672</v>
      </c>
      <c r="F909">
        <v>33</v>
      </c>
      <c r="G909" t="s">
        <v>3674</v>
      </c>
      <c r="H909" t="s">
        <v>3680</v>
      </c>
      <c r="I909" t="s">
        <v>3688</v>
      </c>
      <c r="J909" t="s">
        <v>3694</v>
      </c>
      <c r="K909" t="s">
        <v>3698</v>
      </c>
      <c r="L909">
        <v>3</v>
      </c>
      <c r="M909">
        <v>4500</v>
      </c>
      <c r="N909" t="s">
        <v>3701</v>
      </c>
      <c r="O909" t="s">
        <v>3705</v>
      </c>
      <c r="P909" s="2">
        <f t="shared" si="70"/>
        <v>45864</v>
      </c>
      <c r="Q909" t="str">
        <f t="shared" si="71"/>
        <v>Ryan Tak</v>
      </c>
      <c r="R909" t="str">
        <f t="shared" si="72"/>
        <v>Pune</v>
      </c>
      <c r="S909" t="str">
        <f t="shared" si="73"/>
        <v>Maharashtra</v>
      </c>
      <c r="T909">
        <f t="shared" si="74"/>
        <v>13500</v>
      </c>
    </row>
    <row r="910" spans="1:20" x14ac:dyDescent="0.35">
      <c r="A910" t="s">
        <v>923</v>
      </c>
      <c r="B910" t="s">
        <v>1728</v>
      </c>
      <c r="C910" t="s">
        <v>1796</v>
      </c>
      <c r="D910" t="s">
        <v>3384</v>
      </c>
      <c r="E910" t="s">
        <v>3672</v>
      </c>
      <c r="F910">
        <v>54</v>
      </c>
      <c r="G910" t="s">
        <v>3676</v>
      </c>
      <c r="H910" t="s">
        <v>3682</v>
      </c>
      <c r="I910" t="s">
        <v>3687</v>
      </c>
      <c r="J910" t="s">
        <v>3693</v>
      </c>
      <c r="K910" t="s">
        <v>3697</v>
      </c>
      <c r="L910">
        <v>3</v>
      </c>
      <c r="M910">
        <v>5000</v>
      </c>
      <c r="N910" t="s">
        <v>3701</v>
      </c>
      <c r="O910" t="s">
        <v>3706</v>
      </c>
      <c r="P910" s="2">
        <f t="shared" si="70"/>
        <v>45745</v>
      </c>
      <c r="Q910" t="str">
        <f t="shared" si="71"/>
        <v>Indrans Kant</v>
      </c>
      <c r="R910" t="str">
        <f t="shared" si="72"/>
        <v>Chennai</v>
      </c>
      <c r="S910" t="str">
        <f t="shared" si="73"/>
        <v>Tamil Nadu</v>
      </c>
      <c r="T910">
        <f t="shared" si="74"/>
        <v>15000</v>
      </c>
    </row>
    <row r="911" spans="1:20" x14ac:dyDescent="0.35">
      <c r="A911" t="s">
        <v>924</v>
      </c>
      <c r="B911" t="s">
        <v>1410</v>
      </c>
      <c r="C911" t="s">
        <v>2312</v>
      </c>
      <c r="D911" t="s">
        <v>2939</v>
      </c>
      <c r="E911" t="s">
        <v>3672</v>
      </c>
      <c r="F911">
        <v>21</v>
      </c>
      <c r="G911" t="s">
        <v>3678</v>
      </c>
      <c r="H911" t="s">
        <v>3683</v>
      </c>
      <c r="I911" t="s">
        <v>3691</v>
      </c>
      <c r="J911" t="s">
        <v>3693</v>
      </c>
      <c r="K911" t="s">
        <v>3696</v>
      </c>
      <c r="L911">
        <v>3</v>
      </c>
      <c r="M911">
        <v>58000</v>
      </c>
      <c r="N911" t="s">
        <v>3703</v>
      </c>
      <c r="O911" t="s">
        <v>3706</v>
      </c>
      <c r="P911" s="2">
        <f t="shared" si="70"/>
        <v>45765</v>
      </c>
      <c r="Q911" t="str">
        <f t="shared" si="71"/>
        <v>Khushi Garg</v>
      </c>
      <c r="R911" t="str">
        <f t="shared" si="72"/>
        <v>Hyderabad</v>
      </c>
      <c r="S911" t="str">
        <f t="shared" si="73"/>
        <v>Telangana</v>
      </c>
      <c r="T911">
        <f t="shared" si="74"/>
        <v>174000</v>
      </c>
    </row>
    <row r="912" spans="1:20" x14ac:dyDescent="0.35">
      <c r="A912" t="s">
        <v>925</v>
      </c>
      <c r="B912" t="s">
        <v>1531</v>
      </c>
      <c r="C912" t="s">
        <v>2244</v>
      </c>
      <c r="D912" t="s">
        <v>3090</v>
      </c>
      <c r="E912" t="s">
        <v>3672</v>
      </c>
      <c r="F912">
        <v>33</v>
      </c>
      <c r="G912" t="s">
        <v>3679</v>
      </c>
      <c r="H912" t="s">
        <v>3684</v>
      </c>
      <c r="I912" t="s">
        <v>3688</v>
      </c>
      <c r="J912" t="s">
        <v>3694</v>
      </c>
      <c r="K912" t="s">
        <v>3698</v>
      </c>
      <c r="L912">
        <v>2</v>
      </c>
      <c r="M912">
        <v>4500</v>
      </c>
      <c r="N912" t="s">
        <v>3703</v>
      </c>
      <c r="O912" t="s">
        <v>3706</v>
      </c>
      <c r="P912" s="2">
        <f t="shared" si="70"/>
        <v>45795</v>
      </c>
      <c r="Q912" t="str">
        <f t="shared" si="71"/>
        <v>Sahil Kala</v>
      </c>
      <c r="R912" t="str">
        <f t="shared" si="72"/>
        <v>Bengaluru</v>
      </c>
      <c r="S912" t="str">
        <f t="shared" si="73"/>
        <v>Karnataka</v>
      </c>
      <c r="T912">
        <f t="shared" si="74"/>
        <v>9000</v>
      </c>
    </row>
    <row r="913" spans="1:20" x14ac:dyDescent="0.35">
      <c r="A913" t="s">
        <v>926</v>
      </c>
      <c r="B913" t="s">
        <v>1581</v>
      </c>
      <c r="C913" t="s">
        <v>2160</v>
      </c>
      <c r="D913" t="s">
        <v>3385</v>
      </c>
      <c r="E913" t="s">
        <v>3672</v>
      </c>
      <c r="F913">
        <v>41</v>
      </c>
      <c r="G913" t="s">
        <v>3679</v>
      </c>
      <c r="H913" t="s">
        <v>3684</v>
      </c>
      <c r="I913" t="s">
        <v>3689</v>
      </c>
      <c r="J913" t="s">
        <v>3694</v>
      </c>
      <c r="K913" t="s">
        <v>3699</v>
      </c>
      <c r="L913">
        <v>3</v>
      </c>
      <c r="M913">
        <v>1800</v>
      </c>
      <c r="N913" t="s">
        <v>3701</v>
      </c>
      <c r="O913" t="s">
        <v>3706</v>
      </c>
      <c r="P913" s="2">
        <f t="shared" si="70"/>
        <v>45829</v>
      </c>
      <c r="Q913" t="str">
        <f t="shared" si="71"/>
        <v>Kiaan Reddy</v>
      </c>
      <c r="R913" t="str">
        <f t="shared" si="72"/>
        <v>Bengaluru</v>
      </c>
      <c r="S913" t="str">
        <f t="shared" si="73"/>
        <v>Karnataka</v>
      </c>
      <c r="T913">
        <f t="shared" si="74"/>
        <v>5400</v>
      </c>
    </row>
    <row r="914" spans="1:20" x14ac:dyDescent="0.35">
      <c r="A914" t="s">
        <v>927</v>
      </c>
      <c r="B914" t="s">
        <v>1425</v>
      </c>
      <c r="C914" t="s">
        <v>1977</v>
      </c>
      <c r="D914" t="s">
        <v>3386</v>
      </c>
      <c r="E914" t="s">
        <v>3671</v>
      </c>
      <c r="F914">
        <v>47</v>
      </c>
      <c r="G914" t="s">
        <v>3676</v>
      </c>
      <c r="H914" t="s">
        <v>3682</v>
      </c>
      <c r="I914" t="s">
        <v>3685</v>
      </c>
      <c r="J914" t="s">
        <v>3692</v>
      </c>
      <c r="K914" t="s">
        <v>3695</v>
      </c>
      <c r="L914">
        <v>1</v>
      </c>
      <c r="M914">
        <v>12000</v>
      </c>
      <c r="N914" t="s">
        <v>3701</v>
      </c>
      <c r="O914" t="s">
        <v>3707</v>
      </c>
      <c r="P914" s="2">
        <f t="shared" si="70"/>
        <v>45700</v>
      </c>
      <c r="Q914" t="str">
        <f t="shared" si="71"/>
        <v>Anahi Dugar</v>
      </c>
      <c r="R914" t="str">
        <f t="shared" si="72"/>
        <v>Chennai</v>
      </c>
      <c r="S914" t="str">
        <f t="shared" si="73"/>
        <v>Tamil Nadu</v>
      </c>
      <c r="T914">
        <f t="shared" si="74"/>
        <v>12000</v>
      </c>
    </row>
    <row r="915" spans="1:20" x14ac:dyDescent="0.35">
      <c r="A915" t="s">
        <v>928</v>
      </c>
      <c r="B915" t="s">
        <v>1729</v>
      </c>
      <c r="C915" t="s">
        <v>1822</v>
      </c>
      <c r="D915" t="s">
        <v>3387</v>
      </c>
      <c r="E915" t="s">
        <v>3671</v>
      </c>
      <c r="F915">
        <v>30</v>
      </c>
      <c r="G915" t="s">
        <v>3678</v>
      </c>
      <c r="H915" t="s">
        <v>3683</v>
      </c>
      <c r="I915" t="s">
        <v>3689</v>
      </c>
      <c r="J915" t="s">
        <v>3694</v>
      </c>
      <c r="K915" t="s">
        <v>3699</v>
      </c>
      <c r="L915">
        <v>3</v>
      </c>
      <c r="M915">
        <v>1800</v>
      </c>
      <c r="N915" t="s">
        <v>3701</v>
      </c>
      <c r="O915" t="s">
        <v>3707</v>
      </c>
      <c r="P915" s="2">
        <f t="shared" si="70"/>
        <v>45678</v>
      </c>
      <c r="Q915" t="str">
        <f t="shared" si="71"/>
        <v>Saksham Tank</v>
      </c>
      <c r="R915" t="str">
        <f t="shared" si="72"/>
        <v>Hyderabad</v>
      </c>
      <c r="S915" t="str">
        <f t="shared" si="73"/>
        <v>Telangana</v>
      </c>
      <c r="T915">
        <f t="shared" si="74"/>
        <v>5400</v>
      </c>
    </row>
    <row r="916" spans="1:20" x14ac:dyDescent="0.35">
      <c r="A916" t="s">
        <v>929</v>
      </c>
      <c r="B916" t="s">
        <v>1730</v>
      </c>
      <c r="C916" t="s">
        <v>2062</v>
      </c>
      <c r="D916" t="s">
        <v>3388</v>
      </c>
      <c r="E916" t="s">
        <v>3672</v>
      </c>
      <c r="F916">
        <v>27</v>
      </c>
      <c r="G916" t="s">
        <v>3676</v>
      </c>
      <c r="H916" t="s">
        <v>3682</v>
      </c>
      <c r="I916" t="s">
        <v>3686</v>
      </c>
      <c r="J916" t="s">
        <v>3693</v>
      </c>
      <c r="K916" t="s">
        <v>3696</v>
      </c>
      <c r="L916">
        <v>1</v>
      </c>
      <c r="M916">
        <v>65000</v>
      </c>
      <c r="N916" t="s">
        <v>3701</v>
      </c>
      <c r="O916" t="s">
        <v>3706</v>
      </c>
      <c r="P916" s="2">
        <f t="shared" si="70"/>
        <v>45915</v>
      </c>
      <c r="Q916" t="str">
        <f t="shared" si="71"/>
        <v>Ahana Tara</v>
      </c>
      <c r="R916" t="str">
        <f t="shared" si="72"/>
        <v>Chennai</v>
      </c>
      <c r="S916" t="str">
        <f t="shared" si="73"/>
        <v>Tamil Nadu</v>
      </c>
      <c r="T916">
        <f t="shared" si="74"/>
        <v>65000</v>
      </c>
    </row>
    <row r="917" spans="1:20" x14ac:dyDescent="0.35">
      <c r="A917" t="s">
        <v>930</v>
      </c>
      <c r="B917" t="s">
        <v>1618</v>
      </c>
      <c r="C917" t="s">
        <v>2394</v>
      </c>
      <c r="D917" t="s">
        <v>3389</v>
      </c>
      <c r="E917" t="s">
        <v>3671</v>
      </c>
      <c r="F917">
        <v>35</v>
      </c>
      <c r="G917" t="s">
        <v>3676</v>
      </c>
      <c r="H917" t="s">
        <v>3682</v>
      </c>
      <c r="I917" t="s">
        <v>3690</v>
      </c>
      <c r="J917" t="s">
        <v>3693</v>
      </c>
      <c r="K917" t="s">
        <v>3700</v>
      </c>
      <c r="L917">
        <v>2</v>
      </c>
      <c r="M917">
        <v>72000</v>
      </c>
      <c r="N917" t="s">
        <v>3701</v>
      </c>
      <c r="O917" t="s">
        <v>3705</v>
      </c>
      <c r="P917" s="2">
        <f t="shared" si="70"/>
        <v>45664</v>
      </c>
      <c r="Q917" t="str">
        <f t="shared" si="71"/>
        <v>Ranbir Chatterjee</v>
      </c>
      <c r="R917" t="str">
        <f t="shared" si="72"/>
        <v>Chennai</v>
      </c>
      <c r="S917" t="str">
        <f t="shared" si="73"/>
        <v>Tamil Nadu</v>
      </c>
      <c r="T917">
        <f t="shared" si="74"/>
        <v>144000</v>
      </c>
    </row>
    <row r="918" spans="1:20" x14ac:dyDescent="0.35">
      <c r="A918" t="s">
        <v>931</v>
      </c>
      <c r="B918" t="s">
        <v>1249</v>
      </c>
      <c r="C918" t="s">
        <v>2295</v>
      </c>
      <c r="D918" t="s">
        <v>3390</v>
      </c>
      <c r="E918" t="s">
        <v>3672</v>
      </c>
      <c r="F918">
        <v>20</v>
      </c>
      <c r="G918" t="s">
        <v>3674</v>
      </c>
      <c r="H918" t="s">
        <v>3680</v>
      </c>
      <c r="I918" t="s">
        <v>3688</v>
      </c>
      <c r="J918" t="s">
        <v>3694</v>
      </c>
      <c r="K918" t="s">
        <v>3698</v>
      </c>
      <c r="L918">
        <v>2</v>
      </c>
      <c r="M918">
        <v>4500</v>
      </c>
      <c r="N918" t="s">
        <v>3704</v>
      </c>
      <c r="O918" t="s">
        <v>3707</v>
      </c>
      <c r="P918" s="2">
        <f t="shared" si="70"/>
        <v>45828</v>
      </c>
      <c r="Q918" t="str">
        <f t="shared" si="71"/>
        <v>Ira Karan</v>
      </c>
      <c r="R918" t="str">
        <f t="shared" si="72"/>
        <v>Pune</v>
      </c>
      <c r="S918" t="str">
        <f t="shared" si="73"/>
        <v>Maharashtra</v>
      </c>
      <c r="T918">
        <f t="shared" si="74"/>
        <v>9000</v>
      </c>
    </row>
    <row r="919" spans="1:20" x14ac:dyDescent="0.35">
      <c r="A919" t="s">
        <v>932</v>
      </c>
      <c r="B919" t="s">
        <v>1731</v>
      </c>
      <c r="C919" t="s">
        <v>2350</v>
      </c>
      <c r="D919" t="s">
        <v>3391</v>
      </c>
      <c r="E919" t="s">
        <v>3672</v>
      </c>
      <c r="F919">
        <v>18</v>
      </c>
      <c r="G919" t="s">
        <v>3678</v>
      </c>
      <c r="H919" t="s">
        <v>3683</v>
      </c>
      <c r="I919" t="s">
        <v>3686</v>
      </c>
      <c r="J919" t="s">
        <v>3693</v>
      </c>
      <c r="K919" t="s">
        <v>3696</v>
      </c>
      <c r="L919">
        <v>3</v>
      </c>
      <c r="M919">
        <v>65000</v>
      </c>
      <c r="N919" t="s">
        <v>3703</v>
      </c>
      <c r="O919" t="s">
        <v>3705</v>
      </c>
      <c r="P919" s="2">
        <f t="shared" si="70"/>
        <v>45987</v>
      </c>
      <c r="Q919" t="str">
        <f t="shared" si="71"/>
        <v>Onkar Gour</v>
      </c>
      <c r="R919" t="str">
        <f t="shared" si="72"/>
        <v>Hyderabad</v>
      </c>
      <c r="S919" t="str">
        <f t="shared" si="73"/>
        <v>Telangana</v>
      </c>
      <c r="T919">
        <f t="shared" si="74"/>
        <v>195000</v>
      </c>
    </row>
    <row r="920" spans="1:20" x14ac:dyDescent="0.35">
      <c r="A920" t="s">
        <v>933</v>
      </c>
      <c r="B920" t="s">
        <v>1329</v>
      </c>
      <c r="C920" t="s">
        <v>2140</v>
      </c>
      <c r="D920" t="s">
        <v>3392</v>
      </c>
      <c r="E920" t="s">
        <v>3671</v>
      </c>
      <c r="F920">
        <v>41</v>
      </c>
      <c r="G920" t="s">
        <v>3678</v>
      </c>
      <c r="H920" t="s">
        <v>3683</v>
      </c>
      <c r="I920" t="s">
        <v>3687</v>
      </c>
      <c r="J920" t="s">
        <v>3693</v>
      </c>
      <c r="K920" t="s">
        <v>3697</v>
      </c>
      <c r="L920">
        <v>4</v>
      </c>
      <c r="M920">
        <v>5000</v>
      </c>
      <c r="N920" t="s">
        <v>3704</v>
      </c>
      <c r="O920" t="s">
        <v>3707</v>
      </c>
      <c r="P920" s="2">
        <f t="shared" si="70"/>
        <v>46023</v>
      </c>
      <c r="Q920" t="str">
        <f t="shared" si="71"/>
        <v>Aarush Majumdar</v>
      </c>
      <c r="R920" t="str">
        <f t="shared" si="72"/>
        <v>Hyderabad</v>
      </c>
      <c r="S920" t="str">
        <f t="shared" si="73"/>
        <v>Telangana</v>
      </c>
      <c r="T920">
        <f t="shared" si="74"/>
        <v>20000</v>
      </c>
    </row>
    <row r="921" spans="1:20" x14ac:dyDescent="0.35">
      <c r="A921" t="s">
        <v>934</v>
      </c>
      <c r="B921" t="s">
        <v>1732</v>
      </c>
      <c r="C921" t="s">
        <v>2395</v>
      </c>
      <c r="D921" t="s">
        <v>3393</v>
      </c>
      <c r="E921" t="s">
        <v>3672</v>
      </c>
      <c r="F921">
        <v>21</v>
      </c>
      <c r="G921" t="s">
        <v>3675</v>
      </c>
      <c r="H921" t="s">
        <v>3681</v>
      </c>
      <c r="I921" t="s">
        <v>3687</v>
      </c>
      <c r="J921" t="s">
        <v>3693</v>
      </c>
      <c r="K921" t="s">
        <v>3697</v>
      </c>
      <c r="L921">
        <v>4</v>
      </c>
      <c r="M921">
        <v>5000</v>
      </c>
      <c r="N921" t="s">
        <v>3702</v>
      </c>
      <c r="O921" t="s">
        <v>3706</v>
      </c>
      <c r="P921" s="2">
        <f t="shared" si="70"/>
        <v>45685</v>
      </c>
      <c r="Q921" t="str">
        <f t="shared" si="71"/>
        <v>Darshit Jha</v>
      </c>
      <c r="R921" t="str">
        <f t="shared" si="72"/>
        <v>Kolkata</v>
      </c>
      <c r="S921" t="str">
        <f t="shared" si="73"/>
        <v>West Bengal</v>
      </c>
      <c r="T921">
        <f t="shared" si="74"/>
        <v>20000</v>
      </c>
    </row>
    <row r="922" spans="1:20" x14ac:dyDescent="0.35">
      <c r="A922" t="s">
        <v>935</v>
      </c>
      <c r="B922" t="s">
        <v>1338</v>
      </c>
      <c r="C922" t="s">
        <v>1836</v>
      </c>
      <c r="D922" t="s">
        <v>3394</v>
      </c>
      <c r="E922" t="s">
        <v>3671</v>
      </c>
      <c r="F922">
        <v>60</v>
      </c>
      <c r="G922" t="s">
        <v>3677</v>
      </c>
      <c r="H922" t="s">
        <v>3680</v>
      </c>
      <c r="I922" t="s">
        <v>3691</v>
      </c>
      <c r="J922" t="s">
        <v>3693</v>
      </c>
      <c r="K922" t="s">
        <v>3696</v>
      </c>
      <c r="L922">
        <v>3</v>
      </c>
      <c r="M922">
        <v>58000</v>
      </c>
      <c r="N922" t="s">
        <v>3704</v>
      </c>
      <c r="O922" t="s">
        <v>3705</v>
      </c>
      <c r="P922" s="2">
        <f t="shared" si="70"/>
        <v>45718</v>
      </c>
      <c r="Q922" t="str">
        <f t="shared" si="71"/>
        <v>Jayesh Dube</v>
      </c>
      <c r="R922" t="str">
        <f t="shared" si="72"/>
        <v>Mumbai</v>
      </c>
      <c r="S922" t="str">
        <f t="shared" si="73"/>
        <v>Maharashtra</v>
      </c>
      <c r="T922">
        <f t="shared" si="74"/>
        <v>174000</v>
      </c>
    </row>
    <row r="923" spans="1:20" x14ac:dyDescent="0.35">
      <c r="A923" t="s">
        <v>936</v>
      </c>
      <c r="B923" t="s">
        <v>1680</v>
      </c>
      <c r="C923" t="s">
        <v>1912</v>
      </c>
      <c r="D923" t="s">
        <v>3395</v>
      </c>
      <c r="E923" t="s">
        <v>3671</v>
      </c>
      <c r="F923">
        <v>52</v>
      </c>
      <c r="G923" t="s">
        <v>3673</v>
      </c>
      <c r="H923" t="s">
        <v>3673</v>
      </c>
      <c r="I923" t="s">
        <v>3690</v>
      </c>
      <c r="J923" t="s">
        <v>3693</v>
      </c>
      <c r="K923" t="s">
        <v>3700</v>
      </c>
      <c r="L923">
        <v>5</v>
      </c>
      <c r="M923">
        <v>72000</v>
      </c>
      <c r="N923" t="s">
        <v>3704</v>
      </c>
      <c r="O923" t="s">
        <v>3707</v>
      </c>
      <c r="P923" s="2">
        <f t="shared" si="70"/>
        <v>45945</v>
      </c>
      <c r="Q923" t="str">
        <f t="shared" si="71"/>
        <v>Nitara Sami</v>
      </c>
      <c r="R923" t="str">
        <f t="shared" si="72"/>
        <v>Delhi</v>
      </c>
      <c r="S923" t="str">
        <f t="shared" si="73"/>
        <v>Delhi</v>
      </c>
      <c r="T923">
        <f t="shared" si="74"/>
        <v>360000</v>
      </c>
    </row>
    <row r="924" spans="1:20" x14ac:dyDescent="0.35">
      <c r="A924" t="s">
        <v>937</v>
      </c>
      <c r="B924" t="s">
        <v>1440</v>
      </c>
      <c r="C924" t="s">
        <v>1937</v>
      </c>
      <c r="D924" t="s">
        <v>3396</v>
      </c>
      <c r="E924" t="s">
        <v>3671</v>
      </c>
      <c r="F924">
        <v>34</v>
      </c>
      <c r="G924" t="s">
        <v>3674</v>
      </c>
      <c r="H924" t="s">
        <v>3680</v>
      </c>
      <c r="I924" t="s">
        <v>3689</v>
      </c>
      <c r="J924" t="s">
        <v>3694</v>
      </c>
      <c r="K924" t="s">
        <v>3699</v>
      </c>
      <c r="L924">
        <v>1</v>
      </c>
      <c r="M924">
        <v>1800</v>
      </c>
      <c r="N924" t="s">
        <v>3703</v>
      </c>
      <c r="O924" t="s">
        <v>3705</v>
      </c>
      <c r="P924" s="2">
        <f t="shared" si="70"/>
        <v>45795</v>
      </c>
      <c r="Q924" t="str">
        <f t="shared" si="71"/>
        <v>Rohan Dhaliwal</v>
      </c>
      <c r="R924" t="str">
        <f t="shared" si="72"/>
        <v>Pune</v>
      </c>
      <c r="S924" t="str">
        <f t="shared" si="73"/>
        <v>Maharashtra</v>
      </c>
      <c r="T924">
        <f t="shared" si="74"/>
        <v>1800</v>
      </c>
    </row>
    <row r="925" spans="1:20" x14ac:dyDescent="0.35">
      <c r="A925" t="s">
        <v>938</v>
      </c>
      <c r="B925" t="s">
        <v>1733</v>
      </c>
      <c r="C925" t="s">
        <v>2396</v>
      </c>
      <c r="D925" t="s">
        <v>3397</v>
      </c>
      <c r="E925" t="s">
        <v>3672</v>
      </c>
      <c r="F925">
        <v>57</v>
      </c>
      <c r="G925" t="s">
        <v>3676</v>
      </c>
      <c r="H925" t="s">
        <v>3682</v>
      </c>
      <c r="I925" t="s">
        <v>3687</v>
      </c>
      <c r="J925" t="s">
        <v>3693</v>
      </c>
      <c r="K925" t="s">
        <v>3697</v>
      </c>
      <c r="L925">
        <v>1</v>
      </c>
      <c r="M925">
        <v>5000</v>
      </c>
      <c r="N925" t="s">
        <v>3702</v>
      </c>
      <c r="O925" t="s">
        <v>3707</v>
      </c>
      <c r="P925" s="2">
        <f t="shared" si="70"/>
        <v>46005</v>
      </c>
      <c r="Q925" t="str">
        <f t="shared" si="71"/>
        <v>Vivaan Tata</v>
      </c>
      <c r="R925" t="str">
        <f t="shared" si="72"/>
        <v>Chennai</v>
      </c>
      <c r="S925" t="str">
        <f t="shared" si="73"/>
        <v>Tamil Nadu</v>
      </c>
      <c r="T925">
        <f t="shared" si="74"/>
        <v>5000</v>
      </c>
    </row>
    <row r="926" spans="1:20" x14ac:dyDescent="0.35">
      <c r="A926" t="s">
        <v>939</v>
      </c>
      <c r="B926" t="s">
        <v>1466</v>
      </c>
      <c r="C926" t="s">
        <v>2397</v>
      </c>
      <c r="D926" t="s">
        <v>3398</v>
      </c>
      <c r="E926" t="s">
        <v>3671</v>
      </c>
      <c r="F926">
        <v>23</v>
      </c>
      <c r="G926" t="s">
        <v>3678</v>
      </c>
      <c r="H926" t="s">
        <v>3683</v>
      </c>
      <c r="I926" t="s">
        <v>3686</v>
      </c>
      <c r="J926" t="s">
        <v>3693</v>
      </c>
      <c r="K926" t="s">
        <v>3696</v>
      </c>
      <c r="L926">
        <v>3</v>
      </c>
      <c r="M926">
        <v>65000</v>
      </c>
      <c r="N926" t="s">
        <v>3701</v>
      </c>
      <c r="O926" t="s">
        <v>3707</v>
      </c>
      <c r="P926" s="2">
        <f t="shared" si="70"/>
        <v>45988</v>
      </c>
      <c r="Q926" t="str">
        <f t="shared" si="71"/>
        <v>Zeeshan Raja</v>
      </c>
      <c r="R926" t="str">
        <f t="shared" si="72"/>
        <v>Hyderabad</v>
      </c>
      <c r="S926" t="str">
        <f t="shared" si="73"/>
        <v>Telangana</v>
      </c>
      <c r="T926">
        <f t="shared" si="74"/>
        <v>195000</v>
      </c>
    </row>
    <row r="927" spans="1:20" x14ac:dyDescent="0.35">
      <c r="A927" t="s">
        <v>940</v>
      </c>
      <c r="B927" t="s">
        <v>1253</v>
      </c>
      <c r="C927" t="s">
        <v>2398</v>
      </c>
      <c r="D927" t="s">
        <v>3399</v>
      </c>
      <c r="E927" t="s">
        <v>3672</v>
      </c>
      <c r="F927">
        <v>52</v>
      </c>
      <c r="G927" t="s">
        <v>3675</v>
      </c>
      <c r="H927" t="s">
        <v>3681</v>
      </c>
      <c r="I927" t="s">
        <v>3691</v>
      </c>
      <c r="J927" t="s">
        <v>3693</v>
      </c>
      <c r="K927" t="s">
        <v>3696</v>
      </c>
      <c r="L927">
        <v>4</v>
      </c>
      <c r="M927">
        <v>58000</v>
      </c>
      <c r="N927" t="s">
        <v>3703</v>
      </c>
      <c r="O927" t="s">
        <v>3706</v>
      </c>
      <c r="P927" s="2">
        <f t="shared" si="70"/>
        <v>45806</v>
      </c>
      <c r="Q927" t="str">
        <f t="shared" si="71"/>
        <v>Vaibhav Konda</v>
      </c>
      <c r="R927" t="str">
        <f t="shared" si="72"/>
        <v>Kolkata</v>
      </c>
      <c r="S927" t="str">
        <f t="shared" si="73"/>
        <v>West Bengal</v>
      </c>
      <c r="T927">
        <f t="shared" si="74"/>
        <v>232000</v>
      </c>
    </row>
    <row r="928" spans="1:20" x14ac:dyDescent="0.35">
      <c r="A928" t="s">
        <v>941</v>
      </c>
      <c r="B928" t="s">
        <v>1734</v>
      </c>
      <c r="C928" t="s">
        <v>2362</v>
      </c>
      <c r="D928" t="s">
        <v>3400</v>
      </c>
      <c r="E928" t="s">
        <v>3671</v>
      </c>
      <c r="F928">
        <v>60</v>
      </c>
      <c r="G928" t="s">
        <v>3675</v>
      </c>
      <c r="H928" t="s">
        <v>3681</v>
      </c>
      <c r="I928" t="s">
        <v>3687</v>
      </c>
      <c r="J928" t="s">
        <v>3693</v>
      </c>
      <c r="K928" t="s">
        <v>3697</v>
      </c>
      <c r="L928">
        <v>1</v>
      </c>
      <c r="M928">
        <v>5000</v>
      </c>
      <c r="N928" t="s">
        <v>3701</v>
      </c>
      <c r="O928" t="s">
        <v>3706</v>
      </c>
      <c r="P928" s="2">
        <f t="shared" si="70"/>
        <v>45802</v>
      </c>
      <c r="Q928" t="str">
        <f t="shared" si="71"/>
        <v>Saanvi Sachar</v>
      </c>
      <c r="R928" t="str">
        <f t="shared" si="72"/>
        <v>Kolkata</v>
      </c>
      <c r="S928" t="str">
        <f t="shared" si="73"/>
        <v>West Bengal</v>
      </c>
      <c r="T928">
        <f t="shared" si="74"/>
        <v>5000</v>
      </c>
    </row>
    <row r="929" spans="1:20" x14ac:dyDescent="0.35">
      <c r="A929" t="s">
        <v>942</v>
      </c>
      <c r="B929" t="s">
        <v>1611</v>
      </c>
      <c r="C929" t="s">
        <v>2399</v>
      </c>
      <c r="D929" t="s">
        <v>3401</v>
      </c>
      <c r="E929" t="s">
        <v>3672</v>
      </c>
      <c r="F929">
        <v>58</v>
      </c>
      <c r="G929" t="s">
        <v>3674</v>
      </c>
      <c r="H929" t="s">
        <v>3680</v>
      </c>
      <c r="I929" t="s">
        <v>3691</v>
      </c>
      <c r="J929" t="s">
        <v>3693</v>
      </c>
      <c r="K929" t="s">
        <v>3696</v>
      </c>
      <c r="L929">
        <v>5</v>
      </c>
      <c r="M929">
        <v>58000</v>
      </c>
      <c r="N929" t="s">
        <v>3704</v>
      </c>
      <c r="O929" t="s">
        <v>3707</v>
      </c>
      <c r="P929" s="2">
        <f t="shared" si="70"/>
        <v>45853</v>
      </c>
      <c r="Q929" t="str">
        <f t="shared" si="71"/>
        <v>Arnav Yogi</v>
      </c>
      <c r="R929" t="str">
        <f t="shared" si="72"/>
        <v>Pune</v>
      </c>
      <c r="S929" t="str">
        <f t="shared" si="73"/>
        <v>Maharashtra</v>
      </c>
      <c r="T929">
        <f t="shared" si="74"/>
        <v>290000</v>
      </c>
    </row>
    <row r="930" spans="1:20" x14ac:dyDescent="0.35">
      <c r="A930" t="s">
        <v>943</v>
      </c>
      <c r="B930" t="s">
        <v>1542</v>
      </c>
      <c r="C930" t="s">
        <v>2241</v>
      </c>
      <c r="D930" t="s">
        <v>3402</v>
      </c>
      <c r="E930" t="s">
        <v>3671</v>
      </c>
      <c r="F930">
        <v>39</v>
      </c>
      <c r="G930" t="s">
        <v>3675</v>
      </c>
      <c r="H930" t="s">
        <v>3681</v>
      </c>
      <c r="I930" t="s">
        <v>3686</v>
      </c>
      <c r="J930" t="s">
        <v>3693</v>
      </c>
      <c r="K930" t="s">
        <v>3696</v>
      </c>
      <c r="L930">
        <v>2</v>
      </c>
      <c r="M930">
        <v>65000</v>
      </c>
      <c r="N930" t="s">
        <v>3704</v>
      </c>
      <c r="O930" t="s">
        <v>3707</v>
      </c>
      <c r="P930" s="2">
        <f t="shared" si="70"/>
        <v>45998</v>
      </c>
      <c r="Q930" t="str">
        <f t="shared" si="71"/>
        <v>Tara Agarwal</v>
      </c>
      <c r="R930" t="str">
        <f t="shared" si="72"/>
        <v>Kolkata</v>
      </c>
      <c r="S930" t="str">
        <f t="shared" si="73"/>
        <v>West Bengal</v>
      </c>
      <c r="T930">
        <f t="shared" si="74"/>
        <v>130000</v>
      </c>
    </row>
    <row r="931" spans="1:20" x14ac:dyDescent="0.35">
      <c r="A931" t="s">
        <v>944</v>
      </c>
      <c r="B931" t="s">
        <v>1422</v>
      </c>
      <c r="C931" t="s">
        <v>2083</v>
      </c>
      <c r="D931" t="s">
        <v>3403</v>
      </c>
      <c r="E931" t="s">
        <v>3671</v>
      </c>
      <c r="F931">
        <v>48</v>
      </c>
      <c r="G931" t="s">
        <v>3676</v>
      </c>
      <c r="H931" t="s">
        <v>3682</v>
      </c>
      <c r="I931" t="s">
        <v>3686</v>
      </c>
      <c r="J931" t="s">
        <v>3693</v>
      </c>
      <c r="K931" t="s">
        <v>3696</v>
      </c>
      <c r="L931">
        <v>4</v>
      </c>
      <c r="M931">
        <v>65000</v>
      </c>
      <c r="N931" t="s">
        <v>3704</v>
      </c>
      <c r="O931" t="s">
        <v>3706</v>
      </c>
      <c r="P931" s="2">
        <f t="shared" si="70"/>
        <v>45965</v>
      </c>
      <c r="Q931" t="str">
        <f t="shared" si="71"/>
        <v>Manjari Ramesh</v>
      </c>
      <c r="R931" t="str">
        <f t="shared" si="72"/>
        <v>Chennai</v>
      </c>
      <c r="S931" t="str">
        <f t="shared" si="73"/>
        <v>Tamil Nadu</v>
      </c>
      <c r="T931">
        <f t="shared" si="74"/>
        <v>260000</v>
      </c>
    </row>
    <row r="932" spans="1:20" x14ac:dyDescent="0.35">
      <c r="A932" t="s">
        <v>945</v>
      </c>
      <c r="B932" t="s">
        <v>1735</v>
      </c>
      <c r="C932" t="s">
        <v>1798</v>
      </c>
      <c r="D932" t="s">
        <v>3404</v>
      </c>
      <c r="E932" t="s">
        <v>3672</v>
      </c>
      <c r="F932">
        <v>58</v>
      </c>
      <c r="G932" t="s">
        <v>3675</v>
      </c>
      <c r="H932" t="s">
        <v>3681</v>
      </c>
      <c r="I932" t="s">
        <v>3686</v>
      </c>
      <c r="J932" t="s">
        <v>3693</v>
      </c>
      <c r="K932" t="s">
        <v>3696</v>
      </c>
      <c r="L932">
        <v>2</v>
      </c>
      <c r="M932">
        <v>65000</v>
      </c>
      <c r="N932" t="s">
        <v>3704</v>
      </c>
      <c r="O932" t="s">
        <v>3705</v>
      </c>
      <c r="P932" s="2">
        <f t="shared" si="70"/>
        <v>45746</v>
      </c>
      <c r="Q932" t="str">
        <f t="shared" si="71"/>
        <v>Jayesh Luthra</v>
      </c>
      <c r="R932" t="str">
        <f t="shared" si="72"/>
        <v>Kolkata</v>
      </c>
      <c r="S932" t="str">
        <f t="shared" si="73"/>
        <v>West Bengal</v>
      </c>
      <c r="T932">
        <f t="shared" si="74"/>
        <v>130000</v>
      </c>
    </row>
    <row r="933" spans="1:20" x14ac:dyDescent="0.35">
      <c r="A933" t="s">
        <v>946</v>
      </c>
      <c r="B933" t="s">
        <v>1221</v>
      </c>
      <c r="C933" t="s">
        <v>2400</v>
      </c>
      <c r="D933" t="s">
        <v>3405</v>
      </c>
      <c r="E933" t="s">
        <v>3672</v>
      </c>
      <c r="F933">
        <v>29</v>
      </c>
      <c r="G933" t="s">
        <v>3679</v>
      </c>
      <c r="H933" t="s">
        <v>3684</v>
      </c>
      <c r="I933" t="s">
        <v>3685</v>
      </c>
      <c r="J933" t="s">
        <v>3692</v>
      </c>
      <c r="K933" t="s">
        <v>3695</v>
      </c>
      <c r="L933">
        <v>4</v>
      </c>
      <c r="M933">
        <v>12000</v>
      </c>
      <c r="N933" t="s">
        <v>3703</v>
      </c>
      <c r="O933" t="s">
        <v>3706</v>
      </c>
      <c r="P933" s="2">
        <f t="shared" si="70"/>
        <v>45799</v>
      </c>
      <c r="Q933" t="str">
        <f t="shared" si="71"/>
        <v>Sumer Garde</v>
      </c>
      <c r="R933" t="str">
        <f t="shared" si="72"/>
        <v>Bengaluru</v>
      </c>
      <c r="S933" t="str">
        <f t="shared" si="73"/>
        <v>Karnataka</v>
      </c>
      <c r="T933">
        <f t="shared" si="74"/>
        <v>48000</v>
      </c>
    </row>
    <row r="934" spans="1:20" x14ac:dyDescent="0.35">
      <c r="A934" t="s">
        <v>947</v>
      </c>
      <c r="B934" t="s">
        <v>1441</v>
      </c>
      <c r="C934" t="s">
        <v>2147</v>
      </c>
      <c r="D934" t="s">
        <v>3406</v>
      </c>
      <c r="E934" t="s">
        <v>3671</v>
      </c>
      <c r="F934">
        <v>51</v>
      </c>
      <c r="G934" t="s">
        <v>3677</v>
      </c>
      <c r="H934" t="s">
        <v>3680</v>
      </c>
      <c r="I934" t="s">
        <v>3688</v>
      </c>
      <c r="J934" t="s">
        <v>3694</v>
      </c>
      <c r="K934" t="s">
        <v>3698</v>
      </c>
      <c r="L934">
        <v>4</v>
      </c>
      <c r="M934">
        <v>4500</v>
      </c>
      <c r="N934" t="s">
        <v>3703</v>
      </c>
      <c r="O934" t="s">
        <v>3707</v>
      </c>
      <c r="P934" s="2">
        <f t="shared" si="70"/>
        <v>45880</v>
      </c>
      <c r="Q934" t="str">
        <f t="shared" si="71"/>
        <v>Umang Hari</v>
      </c>
      <c r="R934" t="str">
        <f t="shared" si="72"/>
        <v>Mumbai</v>
      </c>
      <c r="S934" t="str">
        <f t="shared" si="73"/>
        <v>Maharashtra</v>
      </c>
      <c r="T934">
        <f t="shared" si="74"/>
        <v>18000</v>
      </c>
    </row>
    <row r="935" spans="1:20" x14ac:dyDescent="0.35">
      <c r="A935" t="s">
        <v>948</v>
      </c>
      <c r="B935" t="s">
        <v>1228</v>
      </c>
      <c r="C935" t="s">
        <v>2003</v>
      </c>
      <c r="D935" t="s">
        <v>3407</v>
      </c>
      <c r="E935" t="s">
        <v>3672</v>
      </c>
      <c r="F935">
        <v>46</v>
      </c>
      <c r="G935" t="s">
        <v>3678</v>
      </c>
      <c r="H935" t="s">
        <v>3683</v>
      </c>
      <c r="I935" t="s">
        <v>3689</v>
      </c>
      <c r="J935" t="s">
        <v>3694</v>
      </c>
      <c r="K935" t="s">
        <v>3699</v>
      </c>
      <c r="L935">
        <v>4</v>
      </c>
      <c r="M935">
        <v>1800</v>
      </c>
      <c r="N935" t="s">
        <v>3701</v>
      </c>
      <c r="O935" t="s">
        <v>3706</v>
      </c>
      <c r="P935" s="2">
        <f t="shared" si="70"/>
        <v>45996</v>
      </c>
      <c r="Q935" t="str">
        <f t="shared" si="71"/>
        <v>Devansh Kade</v>
      </c>
      <c r="R935" t="str">
        <f t="shared" si="72"/>
        <v>Hyderabad</v>
      </c>
      <c r="S935" t="str">
        <f t="shared" si="73"/>
        <v>Telangana</v>
      </c>
      <c r="T935">
        <f t="shared" si="74"/>
        <v>7200</v>
      </c>
    </row>
    <row r="936" spans="1:20" x14ac:dyDescent="0.35">
      <c r="A936" t="s">
        <v>949</v>
      </c>
      <c r="B936" t="s">
        <v>1736</v>
      </c>
      <c r="C936" t="s">
        <v>2401</v>
      </c>
      <c r="D936" t="s">
        <v>3408</v>
      </c>
      <c r="E936" t="s">
        <v>3672</v>
      </c>
      <c r="F936">
        <v>54</v>
      </c>
      <c r="G936" t="s">
        <v>3674</v>
      </c>
      <c r="H936" t="s">
        <v>3680</v>
      </c>
      <c r="I936" t="s">
        <v>3685</v>
      </c>
      <c r="J936" t="s">
        <v>3692</v>
      </c>
      <c r="K936" t="s">
        <v>3695</v>
      </c>
      <c r="L936">
        <v>3</v>
      </c>
      <c r="M936">
        <v>12000</v>
      </c>
      <c r="N936" t="s">
        <v>3702</v>
      </c>
      <c r="O936" t="s">
        <v>3706</v>
      </c>
      <c r="P936" s="2">
        <f t="shared" si="70"/>
        <v>45763</v>
      </c>
      <c r="Q936" t="str">
        <f t="shared" si="71"/>
        <v>Hridaan Sarna</v>
      </c>
      <c r="R936" t="str">
        <f t="shared" si="72"/>
        <v>Pune</v>
      </c>
      <c r="S936" t="str">
        <f t="shared" si="73"/>
        <v>Maharashtra</v>
      </c>
      <c r="T936">
        <f t="shared" si="74"/>
        <v>36000</v>
      </c>
    </row>
    <row r="937" spans="1:20" x14ac:dyDescent="0.35">
      <c r="A937" t="s">
        <v>950</v>
      </c>
      <c r="B937" t="s">
        <v>1737</v>
      </c>
      <c r="C937" t="s">
        <v>1845</v>
      </c>
      <c r="D937" t="s">
        <v>3409</v>
      </c>
      <c r="E937" t="s">
        <v>3672</v>
      </c>
      <c r="F937">
        <v>44</v>
      </c>
      <c r="G937" t="s">
        <v>3678</v>
      </c>
      <c r="H937" t="s">
        <v>3683</v>
      </c>
      <c r="I937" t="s">
        <v>3691</v>
      </c>
      <c r="J937" t="s">
        <v>3693</v>
      </c>
      <c r="K937" t="s">
        <v>3696</v>
      </c>
      <c r="L937">
        <v>1</v>
      </c>
      <c r="M937">
        <v>58000</v>
      </c>
      <c r="N937" t="s">
        <v>3703</v>
      </c>
      <c r="O937" t="s">
        <v>3705</v>
      </c>
      <c r="P937" s="2">
        <f t="shared" si="70"/>
        <v>45953</v>
      </c>
      <c r="Q937" t="str">
        <f t="shared" si="71"/>
        <v>Oorja Mannan</v>
      </c>
      <c r="R937" t="str">
        <f t="shared" si="72"/>
        <v>Hyderabad</v>
      </c>
      <c r="S937" t="str">
        <f t="shared" si="73"/>
        <v>Telangana</v>
      </c>
      <c r="T937">
        <f t="shared" si="74"/>
        <v>58000</v>
      </c>
    </row>
    <row r="938" spans="1:20" x14ac:dyDescent="0.35">
      <c r="A938" t="s">
        <v>951</v>
      </c>
      <c r="B938" t="s">
        <v>1738</v>
      </c>
      <c r="C938" t="s">
        <v>2402</v>
      </c>
      <c r="D938" t="s">
        <v>3410</v>
      </c>
      <c r="E938" t="s">
        <v>3671</v>
      </c>
      <c r="F938">
        <v>34</v>
      </c>
      <c r="G938" t="s">
        <v>3677</v>
      </c>
      <c r="H938" t="s">
        <v>3680</v>
      </c>
      <c r="I938" t="s">
        <v>3690</v>
      </c>
      <c r="J938" t="s">
        <v>3693</v>
      </c>
      <c r="K938" t="s">
        <v>3700</v>
      </c>
      <c r="L938">
        <v>1</v>
      </c>
      <c r="M938">
        <v>72000</v>
      </c>
      <c r="N938" t="s">
        <v>3703</v>
      </c>
      <c r="O938" t="s">
        <v>3705</v>
      </c>
      <c r="P938" s="2">
        <f t="shared" si="70"/>
        <v>45780</v>
      </c>
      <c r="Q938" t="str">
        <f t="shared" si="71"/>
        <v>Hazel Dhaliwal</v>
      </c>
      <c r="R938" t="str">
        <f t="shared" si="72"/>
        <v>Mumbai</v>
      </c>
      <c r="S938" t="str">
        <f t="shared" si="73"/>
        <v>Maharashtra</v>
      </c>
      <c r="T938">
        <f t="shared" si="74"/>
        <v>72000</v>
      </c>
    </row>
    <row r="939" spans="1:20" x14ac:dyDescent="0.35">
      <c r="A939" t="s">
        <v>952</v>
      </c>
      <c r="B939" t="s">
        <v>1400</v>
      </c>
      <c r="C939" t="s">
        <v>2403</v>
      </c>
      <c r="D939" t="s">
        <v>3411</v>
      </c>
      <c r="E939" t="s">
        <v>3672</v>
      </c>
      <c r="F939">
        <v>50</v>
      </c>
      <c r="G939" t="s">
        <v>3678</v>
      </c>
      <c r="H939" t="s">
        <v>3683</v>
      </c>
      <c r="I939" t="s">
        <v>3687</v>
      </c>
      <c r="J939" t="s">
        <v>3693</v>
      </c>
      <c r="K939" t="s">
        <v>3697</v>
      </c>
      <c r="L939">
        <v>4</v>
      </c>
      <c r="M939">
        <v>5000</v>
      </c>
      <c r="N939" t="s">
        <v>3703</v>
      </c>
      <c r="O939" t="s">
        <v>3707</v>
      </c>
      <c r="P939" s="2">
        <f t="shared" si="70"/>
        <v>45730</v>
      </c>
      <c r="Q939" t="str">
        <f t="shared" si="71"/>
        <v>Parinaaz Bhalla</v>
      </c>
      <c r="R939" t="str">
        <f t="shared" si="72"/>
        <v>Hyderabad</v>
      </c>
      <c r="S939" t="str">
        <f t="shared" si="73"/>
        <v>Telangana</v>
      </c>
      <c r="T939">
        <f t="shared" si="74"/>
        <v>20000</v>
      </c>
    </row>
    <row r="940" spans="1:20" x14ac:dyDescent="0.35">
      <c r="A940" t="s">
        <v>953</v>
      </c>
      <c r="B940" t="s">
        <v>1701</v>
      </c>
      <c r="C940" t="s">
        <v>2199</v>
      </c>
      <c r="D940" t="s">
        <v>3412</v>
      </c>
      <c r="E940" t="s">
        <v>3672</v>
      </c>
      <c r="F940">
        <v>55</v>
      </c>
      <c r="G940" t="s">
        <v>3675</v>
      </c>
      <c r="H940" t="s">
        <v>3681</v>
      </c>
      <c r="I940" t="s">
        <v>3688</v>
      </c>
      <c r="J940" t="s">
        <v>3694</v>
      </c>
      <c r="K940" t="s">
        <v>3698</v>
      </c>
      <c r="L940">
        <v>5</v>
      </c>
      <c r="M940">
        <v>4500</v>
      </c>
      <c r="N940" t="s">
        <v>3704</v>
      </c>
      <c r="O940" t="s">
        <v>3707</v>
      </c>
      <c r="P940" s="2">
        <f t="shared" si="70"/>
        <v>45779</v>
      </c>
      <c r="Q940" t="str">
        <f t="shared" si="71"/>
        <v>Kartik Chandra</v>
      </c>
      <c r="R940" t="str">
        <f t="shared" si="72"/>
        <v>Kolkata</v>
      </c>
      <c r="S940" t="str">
        <f t="shared" si="73"/>
        <v>West Bengal</v>
      </c>
      <c r="T940">
        <f t="shared" si="74"/>
        <v>22500</v>
      </c>
    </row>
    <row r="941" spans="1:20" x14ac:dyDescent="0.35">
      <c r="A941" t="s">
        <v>954</v>
      </c>
      <c r="B941" t="s">
        <v>1642</v>
      </c>
      <c r="C941" t="s">
        <v>2404</v>
      </c>
      <c r="D941" t="s">
        <v>3413</v>
      </c>
      <c r="E941" t="s">
        <v>3672</v>
      </c>
      <c r="F941">
        <v>34</v>
      </c>
      <c r="G941" t="s">
        <v>3678</v>
      </c>
      <c r="H941" t="s">
        <v>3683</v>
      </c>
      <c r="I941" t="s">
        <v>3691</v>
      </c>
      <c r="J941" t="s">
        <v>3693</v>
      </c>
      <c r="K941" t="s">
        <v>3696</v>
      </c>
      <c r="L941">
        <v>2</v>
      </c>
      <c r="M941">
        <v>58000</v>
      </c>
      <c r="N941" t="s">
        <v>3703</v>
      </c>
      <c r="O941" t="s">
        <v>3707</v>
      </c>
      <c r="P941" s="2">
        <f t="shared" si="70"/>
        <v>45759</v>
      </c>
      <c r="Q941" t="str">
        <f t="shared" si="71"/>
        <v>Yakshit Sastry</v>
      </c>
      <c r="R941" t="str">
        <f t="shared" si="72"/>
        <v>Hyderabad</v>
      </c>
      <c r="S941" t="str">
        <f t="shared" si="73"/>
        <v>Telangana</v>
      </c>
      <c r="T941">
        <f t="shared" si="74"/>
        <v>116000</v>
      </c>
    </row>
    <row r="942" spans="1:20" x14ac:dyDescent="0.35">
      <c r="A942" t="s">
        <v>955</v>
      </c>
      <c r="B942" t="s">
        <v>1348</v>
      </c>
      <c r="C942" t="s">
        <v>2188</v>
      </c>
      <c r="D942" t="s">
        <v>3414</v>
      </c>
      <c r="E942" t="s">
        <v>3672</v>
      </c>
      <c r="F942">
        <v>40</v>
      </c>
      <c r="G942" t="s">
        <v>3675</v>
      </c>
      <c r="H942" t="s">
        <v>3681</v>
      </c>
      <c r="I942" t="s">
        <v>3689</v>
      </c>
      <c r="J942" t="s">
        <v>3694</v>
      </c>
      <c r="K942" t="s">
        <v>3699</v>
      </c>
      <c r="L942">
        <v>5</v>
      </c>
      <c r="M942">
        <v>1800</v>
      </c>
      <c r="N942" t="s">
        <v>3703</v>
      </c>
      <c r="O942" t="s">
        <v>3706</v>
      </c>
      <c r="P942" s="2">
        <f t="shared" si="70"/>
        <v>46025</v>
      </c>
      <c r="Q942" t="str">
        <f t="shared" si="71"/>
        <v>Pihu Badami</v>
      </c>
      <c r="R942" t="str">
        <f t="shared" si="72"/>
        <v>Kolkata</v>
      </c>
      <c r="S942" t="str">
        <f t="shared" si="73"/>
        <v>West Bengal</v>
      </c>
      <c r="T942">
        <f t="shared" si="74"/>
        <v>9000</v>
      </c>
    </row>
    <row r="943" spans="1:20" x14ac:dyDescent="0.35">
      <c r="A943" t="s">
        <v>956</v>
      </c>
      <c r="B943" t="s">
        <v>1739</v>
      </c>
      <c r="C943" t="s">
        <v>2192</v>
      </c>
      <c r="D943" t="s">
        <v>3415</v>
      </c>
      <c r="E943" t="s">
        <v>3671</v>
      </c>
      <c r="F943">
        <v>29</v>
      </c>
      <c r="G943" t="s">
        <v>3674</v>
      </c>
      <c r="H943" t="s">
        <v>3680</v>
      </c>
      <c r="I943" t="s">
        <v>3688</v>
      </c>
      <c r="J943" t="s">
        <v>3694</v>
      </c>
      <c r="K943" t="s">
        <v>3698</v>
      </c>
      <c r="L943">
        <v>5</v>
      </c>
      <c r="M943">
        <v>4500</v>
      </c>
      <c r="N943" t="s">
        <v>3704</v>
      </c>
      <c r="O943" t="s">
        <v>3707</v>
      </c>
      <c r="P943" s="2">
        <f t="shared" si="70"/>
        <v>45876</v>
      </c>
      <c r="Q943" t="str">
        <f t="shared" si="71"/>
        <v>Hridaan Jayaraman</v>
      </c>
      <c r="R943" t="str">
        <f t="shared" si="72"/>
        <v>Pune</v>
      </c>
      <c r="S943" t="str">
        <f t="shared" si="73"/>
        <v>Maharashtra</v>
      </c>
      <c r="T943">
        <f t="shared" si="74"/>
        <v>22500</v>
      </c>
    </row>
    <row r="944" spans="1:20" x14ac:dyDescent="0.35">
      <c r="A944" t="s">
        <v>957</v>
      </c>
      <c r="B944" t="s">
        <v>1615</v>
      </c>
      <c r="C944" t="s">
        <v>2405</v>
      </c>
      <c r="D944" t="s">
        <v>3416</v>
      </c>
      <c r="E944" t="s">
        <v>3672</v>
      </c>
      <c r="F944">
        <v>57</v>
      </c>
      <c r="G944" t="s">
        <v>3679</v>
      </c>
      <c r="H944" t="s">
        <v>3684</v>
      </c>
      <c r="I944" t="s">
        <v>3687</v>
      </c>
      <c r="J944" t="s">
        <v>3693</v>
      </c>
      <c r="K944" t="s">
        <v>3697</v>
      </c>
      <c r="L944">
        <v>1</v>
      </c>
      <c r="M944">
        <v>5000</v>
      </c>
      <c r="N944" t="s">
        <v>3701</v>
      </c>
      <c r="O944" t="s">
        <v>3705</v>
      </c>
      <c r="P944" s="2">
        <f t="shared" si="70"/>
        <v>45918</v>
      </c>
      <c r="Q944" t="str">
        <f t="shared" si="71"/>
        <v>Vivaan Chadha</v>
      </c>
      <c r="R944" t="str">
        <f t="shared" si="72"/>
        <v>Bengaluru</v>
      </c>
      <c r="S944" t="str">
        <f t="shared" si="73"/>
        <v>Karnataka</v>
      </c>
      <c r="T944">
        <f t="shared" si="74"/>
        <v>5000</v>
      </c>
    </row>
    <row r="945" spans="1:20" x14ac:dyDescent="0.35">
      <c r="A945" t="s">
        <v>958</v>
      </c>
      <c r="B945" t="s">
        <v>1385</v>
      </c>
      <c r="C945" t="s">
        <v>2406</v>
      </c>
      <c r="D945" t="s">
        <v>3417</v>
      </c>
      <c r="E945" t="s">
        <v>3672</v>
      </c>
      <c r="F945">
        <v>35</v>
      </c>
      <c r="G945" t="s">
        <v>3677</v>
      </c>
      <c r="H945" t="s">
        <v>3680</v>
      </c>
      <c r="I945" t="s">
        <v>3690</v>
      </c>
      <c r="J945" t="s">
        <v>3693</v>
      </c>
      <c r="K945" t="s">
        <v>3700</v>
      </c>
      <c r="L945">
        <v>5</v>
      </c>
      <c r="M945">
        <v>72000</v>
      </c>
      <c r="N945" t="s">
        <v>3704</v>
      </c>
      <c r="O945" t="s">
        <v>3706</v>
      </c>
      <c r="P945" s="2">
        <f t="shared" si="70"/>
        <v>45861</v>
      </c>
      <c r="Q945" t="str">
        <f t="shared" si="71"/>
        <v>Prisha Mangal</v>
      </c>
      <c r="R945" t="str">
        <f t="shared" si="72"/>
        <v>Mumbai</v>
      </c>
      <c r="S945" t="str">
        <f t="shared" si="73"/>
        <v>Maharashtra</v>
      </c>
      <c r="T945">
        <f t="shared" si="74"/>
        <v>360000</v>
      </c>
    </row>
    <row r="946" spans="1:20" x14ac:dyDescent="0.35">
      <c r="A946" t="s">
        <v>959</v>
      </c>
      <c r="B946" t="s">
        <v>1340</v>
      </c>
      <c r="C946" t="s">
        <v>2407</v>
      </c>
      <c r="D946" t="s">
        <v>3418</v>
      </c>
      <c r="E946" t="s">
        <v>3672</v>
      </c>
      <c r="F946">
        <v>35</v>
      </c>
      <c r="G946" t="s">
        <v>3675</v>
      </c>
      <c r="H946" t="s">
        <v>3681</v>
      </c>
      <c r="I946" t="s">
        <v>3691</v>
      </c>
      <c r="J946" t="s">
        <v>3693</v>
      </c>
      <c r="K946" t="s">
        <v>3696</v>
      </c>
      <c r="L946">
        <v>4</v>
      </c>
      <c r="M946">
        <v>58000</v>
      </c>
      <c r="N946" t="s">
        <v>3702</v>
      </c>
      <c r="O946" t="s">
        <v>3705</v>
      </c>
      <c r="P946" s="2">
        <f t="shared" si="70"/>
        <v>46024</v>
      </c>
      <c r="Q946" t="str">
        <f t="shared" si="71"/>
        <v>Jayant Ganguly</v>
      </c>
      <c r="R946" t="str">
        <f t="shared" si="72"/>
        <v>Kolkata</v>
      </c>
      <c r="S946" t="str">
        <f t="shared" si="73"/>
        <v>West Bengal</v>
      </c>
      <c r="T946">
        <f t="shared" si="74"/>
        <v>232000</v>
      </c>
    </row>
    <row r="947" spans="1:20" x14ac:dyDescent="0.35">
      <c r="A947" t="s">
        <v>960</v>
      </c>
      <c r="B947" t="s">
        <v>1581</v>
      </c>
      <c r="C947" t="s">
        <v>2408</v>
      </c>
      <c r="D947" t="s">
        <v>3419</v>
      </c>
      <c r="E947" t="s">
        <v>3671</v>
      </c>
      <c r="F947">
        <v>51</v>
      </c>
      <c r="G947" t="s">
        <v>3674</v>
      </c>
      <c r="H947" t="s">
        <v>3680</v>
      </c>
      <c r="I947" t="s">
        <v>3689</v>
      </c>
      <c r="J947" t="s">
        <v>3694</v>
      </c>
      <c r="K947" t="s">
        <v>3699</v>
      </c>
      <c r="L947">
        <v>5</v>
      </c>
      <c r="M947">
        <v>1800</v>
      </c>
      <c r="N947" t="s">
        <v>3703</v>
      </c>
      <c r="O947" t="s">
        <v>3706</v>
      </c>
      <c r="P947" s="2">
        <f t="shared" si="70"/>
        <v>45829</v>
      </c>
      <c r="Q947" t="str">
        <f t="shared" si="71"/>
        <v>Jivin Amble</v>
      </c>
      <c r="R947" t="str">
        <f t="shared" si="72"/>
        <v>Pune</v>
      </c>
      <c r="S947" t="str">
        <f t="shared" si="73"/>
        <v>Maharashtra</v>
      </c>
      <c r="T947">
        <f t="shared" si="74"/>
        <v>9000</v>
      </c>
    </row>
    <row r="948" spans="1:20" x14ac:dyDescent="0.35">
      <c r="A948" t="s">
        <v>961</v>
      </c>
      <c r="B948" t="s">
        <v>1435</v>
      </c>
      <c r="C948" t="s">
        <v>2409</v>
      </c>
      <c r="D948" t="s">
        <v>3420</v>
      </c>
      <c r="E948" t="s">
        <v>3671</v>
      </c>
      <c r="F948">
        <v>52</v>
      </c>
      <c r="G948" t="s">
        <v>3675</v>
      </c>
      <c r="H948" t="s">
        <v>3681</v>
      </c>
      <c r="I948" t="s">
        <v>3685</v>
      </c>
      <c r="J948" t="s">
        <v>3692</v>
      </c>
      <c r="K948" t="s">
        <v>3695</v>
      </c>
      <c r="L948">
        <v>1</v>
      </c>
      <c r="M948">
        <v>12000</v>
      </c>
      <c r="N948" t="s">
        <v>3702</v>
      </c>
      <c r="O948" t="s">
        <v>3706</v>
      </c>
      <c r="P948" s="2">
        <f t="shared" si="70"/>
        <v>45962</v>
      </c>
      <c r="Q948" t="str">
        <f t="shared" si="71"/>
        <v>Samar Varkey</v>
      </c>
      <c r="R948" t="str">
        <f t="shared" si="72"/>
        <v>Kolkata</v>
      </c>
      <c r="S948" t="str">
        <f t="shared" si="73"/>
        <v>West Bengal</v>
      </c>
      <c r="T948">
        <f t="shared" si="74"/>
        <v>12000</v>
      </c>
    </row>
    <row r="949" spans="1:20" x14ac:dyDescent="0.35">
      <c r="A949" t="s">
        <v>962</v>
      </c>
      <c r="B949" t="s">
        <v>1740</v>
      </c>
      <c r="C949" t="s">
        <v>1981</v>
      </c>
      <c r="D949" t="s">
        <v>3421</v>
      </c>
      <c r="E949" t="s">
        <v>3671</v>
      </c>
      <c r="F949">
        <v>37</v>
      </c>
      <c r="G949" t="s">
        <v>3675</v>
      </c>
      <c r="H949" t="s">
        <v>3681</v>
      </c>
      <c r="I949" t="s">
        <v>3689</v>
      </c>
      <c r="J949" t="s">
        <v>3694</v>
      </c>
      <c r="K949" t="s">
        <v>3699</v>
      </c>
      <c r="L949">
        <v>5</v>
      </c>
      <c r="M949">
        <v>1800</v>
      </c>
      <c r="N949" t="s">
        <v>3701</v>
      </c>
      <c r="O949" t="s">
        <v>3705</v>
      </c>
      <c r="P949" s="2">
        <f t="shared" si="70"/>
        <v>45686</v>
      </c>
      <c r="Q949" t="str">
        <f t="shared" si="71"/>
        <v>Nirvi Rout</v>
      </c>
      <c r="R949" t="str">
        <f t="shared" si="72"/>
        <v>Kolkata</v>
      </c>
      <c r="S949" t="str">
        <f t="shared" si="73"/>
        <v>West Bengal</v>
      </c>
      <c r="T949">
        <f t="shared" si="74"/>
        <v>9000</v>
      </c>
    </row>
    <row r="950" spans="1:20" x14ac:dyDescent="0.35">
      <c r="A950" t="s">
        <v>963</v>
      </c>
      <c r="B950" t="s">
        <v>1222</v>
      </c>
      <c r="C950" t="s">
        <v>2407</v>
      </c>
      <c r="D950" t="s">
        <v>3422</v>
      </c>
      <c r="E950" t="s">
        <v>3672</v>
      </c>
      <c r="F950">
        <v>52</v>
      </c>
      <c r="G950" t="s">
        <v>3677</v>
      </c>
      <c r="H950" t="s">
        <v>3680</v>
      </c>
      <c r="I950" t="s">
        <v>3685</v>
      </c>
      <c r="J950" t="s">
        <v>3692</v>
      </c>
      <c r="K950" t="s">
        <v>3695</v>
      </c>
      <c r="L950">
        <v>2</v>
      </c>
      <c r="M950">
        <v>12000</v>
      </c>
      <c r="N950" t="s">
        <v>3701</v>
      </c>
      <c r="O950" t="s">
        <v>3707</v>
      </c>
      <c r="P950" s="2">
        <f t="shared" si="70"/>
        <v>45843</v>
      </c>
      <c r="Q950" t="str">
        <f t="shared" si="71"/>
        <v>Tanya Bala</v>
      </c>
      <c r="R950" t="str">
        <f t="shared" si="72"/>
        <v>Mumbai</v>
      </c>
      <c r="S950" t="str">
        <f t="shared" si="73"/>
        <v>Maharashtra</v>
      </c>
      <c r="T950">
        <f t="shared" si="74"/>
        <v>24000</v>
      </c>
    </row>
    <row r="951" spans="1:20" x14ac:dyDescent="0.35">
      <c r="A951" t="s">
        <v>964</v>
      </c>
      <c r="B951" t="s">
        <v>1367</v>
      </c>
      <c r="C951" t="s">
        <v>2329</v>
      </c>
      <c r="D951" t="s">
        <v>3423</v>
      </c>
      <c r="E951" t="s">
        <v>3672</v>
      </c>
      <c r="F951">
        <v>45</v>
      </c>
      <c r="G951" t="s">
        <v>3678</v>
      </c>
      <c r="H951" t="s">
        <v>3683</v>
      </c>
      <c r="I951" t="s">
        <v>3689</v>
      </c>
      <c r="J951" t="s">
        <v>3694</v>
      </c>
      <c r="K951" t="s">
        <v>3699</v>
      </c>
      <c r="L951">
        <v>3</v>
      </c>
      <c r="M951">
        <v>1800</v>
      </c>
      <c r="N951" t="s">
        <v>3703</v>
      </c>
      <c r="O951" t="s">
        <v>3707</v>
      </c>
      <c r="P951" s="2">
        <f t="shared" si="70"/>
        <v>45713</v>
      </c>
      <c r="Q951" t="str">
        <f t="shared" si="71"/>
        <v>Hiran Roy</v>
      </c>
      <c r="R951" t="str">
        <f t="shared" si="72"/>
        <v>Hyderabad</v>
      </c>
      <c r="S951" t="str">
        <f t="shared" si="73"/>
        <v>Telangana</v>
      </c>
      <c r="T951">
        <f t="shared" si="74"/>
        <v>5400</v>
      </c>
    </row>
    <row r="952" spans="1:20" x14ac:dyDescent="0.35">
      <c r="A952" t="s">
        <v>965</v>
      </c>
      <c r="B952" t="s">
        <v>1295</v>
      </c>
      <c r="C952" t="s">
        <v>2410</v>
      </c>
      <c r="D952" t="s">
        <v>3424</v>
      </c>
      <c r="E952" t="s">
        <v>3671</v>
      </c>
      <c r="F952">
        <v>50</v>
      </c>
      <c r="G952" t="s">
        <v>3677</v>
      </c>
      <c r="H952" t="s">
        <v>3680</v>
      </c>
      <c r="I952" t="s">
        <v>3691</v>
      </c>
      <c r="J952" t="s">
        <v>3693</v>
      </c>
      <c r="K952" t="s">
        <v>3696</v>
      </c>
      <c r="L952">
        <v>4</v>
      </c>
      <c r="M952">
        <v>58000</v>
      </c>
      <c r="N952" t="s">
        <v>3702</v>
      </c>
      <c r="O952" t="s">
        <v>3706</v>
      </c>
      <c r="P952" s="2">
        <f t="shared" si="70"/>
        <v>45989</v>
      </c>
      <c r="Q952" t="str">
        <f t="shared" si="71"/>
        <v>Shanaya Kothari</v>
      </c>
      <c r="R952" t="str">
        <f t="shared" si="72"/>
        <v>Mumbai</v>
      </c>
      <c r="S952" t="str">
        <f t="shared" si="73"/>
        <v>Maharashtra</v>
      </c>
      <c r="T952">
        <f t="shared" si="74"/>
        <v>232000</v>
      </c>
    </row>
    <row r="953" spans="1:20" x14ac:dyDescent="0.35">
      <c r="A953" t="s">
        <v>966</v>
      </c>
      <c r="B953" t="s">
        <v>1741</v>
      </c>
      <c r="C953" t="s">
        <v>1919</v>
      </c>
      <c r="D953" t="s">
        <v>3425</v>
      </c>
      <c r="E953" t="s">
        <v>3672</v>
      </c>
      <c r="F953">
        <v>46</v>
      </c>
      <c r="G953" t="s">
        <v>3674</v>
      </c>
      <c r="H953" t="s">
        <v>3680</v>
      </c>
      <c r="I953" t="s">
        <v>3688</v>
      </c>
      <c r="J953" t="s">
        <v>3694</v>
      </c>
      <c r="K953" t="s">
        <v>3698</v>
      </c>
      <c r="L953">
        <v>4</v>
      </c>
      <c r="M953">
        <v>4500</v>
      </c>
      <c r="N953" t="s">
        <v>3703</v>
      </c>
      <c r="O953" t="s">
        <v>3706</v>
      </c>
      <c r="P953" s="2">
        <f t="shared" si="70"/>
        <v>45883</v>
      </c>
      <c r="Q953" t="str">
        <f t="shared" si="71"/>
        <v>Bhamini Dalal</v>
      </c>
      <c r="R953" t="str">
        <f t="shared" si="72"/>
        <v>Pune</v>
      </c>
      <c r="S953" t="str">
        <f t="shared" si="73"/>
        <v>Maharashtra</v>
      </c>
      <c r="T953">
        <f t="shared" si="74"/>
        <v>18000</v>
      </c>
    </row>
    <row r="954" spans="1:20" x14ac:dyDescent="0.35">
      <c r="A954" t="s">
        <v>967</v>
      </c>
      <c r="B954" t="s">
        <v>1427</v>
      </c>
      <c r="C954" t="s">
        <v>2229</v>
      </c>
      <c r="D954" t="s">
        <v>3426</v>
      </c>
      <c r="E954" t="s">
        <v>3671</v>
      </c>
      <c r="F954">
        <v>58</v>
      </c>
      <c r="G954" t="s">
        <v>3676</v>
      </c>
      <c r="H954" t="s">
        <v>3682</v>
      </c>
      <c r="I954" t="s">
        <v>3689</v>
      </c>
      <c r="J954" t="s">
        <v>3694</v>
      </c>
      <c r="K954" t="s">
        <v>3699</v>
      </c>
      <c r="L954">
        <v>3</v>
      </c>
      <c r="M954">
        <v>1800</v>
      </c>
      <c r="N954" t="s">
        <v>3701</v>
      </c>
      <c r="O954" t="s">
        <v>3705</v>
      </c>
      <c r="P954" s="2">
        <f t="shared" si="70"/>
        <v>45888</v>
      </c>
      <c r="Q954" t="str">
        <f t="shared" si="71"/>
        <v>Aarav Aurora</v>
      </c>
      <c r="R954" t="str">
        <f t="shared" si="72"/>
        <v>Chennai</v>
      </c>
      <c r="S954" t="str">
        <f t="shared" si="73"/>
        <v>Tamil Nadu</v>
      </c>
      <c r="T954">
        <f t="shared" si="74"/>
        <v>5400</v>
      </c>
    </row>
    <row r="955" spans="1:20" x14ac:dyDescent="0.35">
      <c r="A955" t="s">
        <v>968</v>
      </c>
      <c r="B955" t="s">
        <v>1709</v>
      </c>
      <c r="C955" t="s">
        <v>2411</v>
      </c>
      <c r="D955" t="s">
        <v>3427</v>
      </c>
      <c r="E955" t="s">
        <v>3671</v>
      </c>
      <c r="F955">
        <v>53</v>
      </c>
      <c r="G955" t="s">
        <v>3674</v>
      </c>
      <c r="H955" t="s">
        <v>3680</v>
      </c>
      <c r="I955" t="s">
        <v>3689</v>
      </c>
      <c r="J955" t="s">
        <v>3694</v>
      </c>
      <c r="K955" t="s">
        <v>3699</v>
      </c>
      <c r="L955">
        <v>2</v>
      </c>
      <c r="M955">
        <v>1800</v>
      </c>
      <c r="N955" t="s">
        <v>3702</v>
      </c>
      <c r="O955" t="s">
        <v>3707</v>
      </c>
      <c r="P955" s="2">
        <f t="shared" si="70"/>
        <v>45820</v>
      </c>
      <c r="Q955" t="str">
        <f t="shared" si="71"/>
        <v>Shayak Sani</v>
      </c>
      <c r="R955" t="str">
        <f t="shared" si="72"/>
        <v>Pune</v>
      </c>
      <c r="S955" t="str">
        <f t="shared" si="73"/>
        <v>Maharashtra</v>
      </c>
      <c r="T955">
        <f t="shared" si="74"/>
        <v>3600</v>
      </c>
    </row>
    <row r="956" spans="1:20" x14ac:dyDescent="0.35">
      <c r="A956" t="s">
        <v>969</v>
      </c>
      <c r="B956" t="s">
        <v>1722</v>
      </c>
      <c r="C956" t="s">
        <v>2194</v>
      </c>
      <c r="D956" t="s">
        <v>3428</v>
      </c>
      <c r="E956" t="s">
        <v>3671</v>
      </c>
      <c r="F956">
        <v>51</v>
      </c>
      <c r="G956" t="s">
        <v>3675</v>
      </c>
      <c r="H956" t="s">
        <v>3681</v>
      </c>
      <c r="I956" t="s">
        <v>3688</v>
      </c>
      <c r="J956" t="s">
        <v>3694</v>
      </c>
      <c r="K956" t="s">
        <v>3698</v>
      </c>
      <c r="L956">
        <v>2</v>
      </c>
      <c r="M956">
        <v>4500</v>
      </c>
      <c r="N956" t="s">
        <v>3701</v>
      </c>
      <c r="O956" t="s">
        <v>3706</v>
      </c>
      <c r="P956" s="2">
        <f t="shared" si="70"/>
        <v>45796</v>
      </c>
      <c r="Q956" t="str">
        <f t="shared" si="71"/>
        <v>Veer Som</v>
      </c>
      <c r="R956" t="str">
        <f t="shared" si="72"/>
        <v>Kolkata</v>
      </c>
      <c r="S956" t="str">
        <f t="shared" si="73"/>
        <v>West Bengal</v>
      </c>
      <c r="T956">
        <f t="shared" si="74"/>
        <v>9000</v>
      </c>
    </row>
    <row r="957" spans="1:20" x14ac:dyDescent="0.35">
      <c r="A957" t="s">
        <v>970</v>
      </c>
      <c r="B957" t="s">
        <v>1447</v>
      </c>
      <c r="C957" t="s">
        <v>2412</v>
      </c>
      <c r="D957" t="s">
        <v>3429</v>
      </c>
      <c r="E957" t="s">
        <v>3671</v>
      </c>
      <c r="F957">
        <v>45</v>
      </c>
      <c r="G957" t="s">
        <v>3675</v>
      </c>
      <c r="H957" t="s">
        <v>3681</v>
      </c>
      <c r="I957" t="s">
        <v>3688</v>
      </c>
      <c r="J957" t="s">
        <v>3694</v>
      </c>
      <c r="K957" t="s">
        <v>3698</v>
      </c>
      <c r="L957">
        <v>3</v>
      </c>
      <c r="M957">
        <v>4500</v>
      </c>
      <c r="N957" t="s">
        <v>3702</v>
      </c>
      <c r="O957" t="s">
        <v>3706</v>
      </c>
      <c r="P957" s="2">
        <f t="shared" si="70"/>
        <v>45888</v>
      </c>
      <c r="Q957" t="str">
        <f t="shared" si="71"/>
        <v>Fateh Kohli</v>
      </c>
      <c r="R957" t="str">
        <f t="shared" si="72"/>
        <v>Kolkata</v>
      </c>
      <c r="S957" t="str">
        <f t="shared" si="73"/>
        <v>West Bengal</v>
      </c>
      <c r="T957">
        <f t="shared" si="74"/>
        <v>13500</v>
      </c>
    </row>
    <row r="958" spans="1:20" x14ac:dyDescent="0.35">
      <c r="A958" t="s">
        <v>971</v>
      </c>
      <c r="B958" t="s">
        <v>1560</v>
      </c>
      <c r="C958" t="s">
        <v>1871</v>
      </c>
      <c r="D958" t="s">
        <v>3430</v>
      </c>
      <c r="E958" t="s">
        <v>3671</v>
      </c>
      <c r="F958">
        <v>40</v>
      </c>
      <c r="G958" t="s">
        <v>3679</v>
      </c>
      <c r="H958" t="s">
        <v>3684</v>
      </c>
      <c r="I958" t="s">
        <v>3691</v>
      </c>
      <c r="J958" t="s">
        <v>3693</v>
      </c>
      <c r="K958" t="s">
        <v>3696</v>
      </c>
      <c r="L958">
        <v>1</v>
      </c>
      <c r="M958">
        <v>58000</v>
      </c>
      <c r="N958" t="s">
        <v>3704</v>
      </c>
      <c r="O958" t="s">
        <v>3705</v>
      </c>
      <c r="P958" s="2">
        <f t="shared" si="70"/>
        <v>45772</v>
      </c>
      <c r="Q958" t="str">
        <f t="shared" si="71"/>
        <v>Kismat Swaminathan</v>
      </c>
      <c r="R958" t="str">
        <f t="shared" si="72"/>
        <v>Bengaluru</v>
      </c>
      <c r="S958" t="str">
        <f t="shared" si="73"/>
        <v>Karnataka</v>
      </c>
      <c r="T958">
        <f t="shared" si="74"/>
        <v>58000</v>
      </c>
    </row>
    <row r="959" spans="1:20" x14ac:dyDescent="0.35">
      <c r="A959" t="s">
        <v>972</v>
      </c>
      <c r="B959" t="s">
        <v>1449</v>
      </c>
      <c r="C959" t="s">
        <v>2413</v>
      </c>
      <c r="D959" t="s">
        <v>3431</v>
      </c>
      <c r="E959" t="s">
        <v>3672</v>
      </c>
      <c r="F959">
        <v>45</v>
      </c>
      <c r="G959" t="s">
        <v>3673</v>
      </c>
      <c r="H959" t="s">
        <v>3673</v>
      </c>
      <c r="I959" t="s">
        <v>3691</v>
      </c>
      <c r="J959" t="s">
        <v>3693</v>
      </c>
      <c r="K959" t="s">
        <v>3696</v>
      </c>
      <c r="L959">
        <v>2</v>
      </c>
      <c r="M959">
        <v>58000</v>
      </c>
      <c r="N959" t="s">
        <v>3704</v>
      </c>
      <c r="O959" t="s">
        <v>3706</v>
      </c>
      <c r="P959" s="2">
        <f t="shared" si="70"/>
        <v>45707</v>
      </c>
      <c r="Q959" t="str">
        <f t="shared" si="71"/>
        <v>Sana Buch</v>
      </c>
      <c r="R959" t="str">
        <f t="shared" si="72"/>
        <v>Delhi</v>
      </c>
      <c r="S959" t="str">
        <f t="shared" si="73"/>
        <v>Delhi</v>
      </c>
      <c r="T959">
        <f t="shared" si="74"/>
        <v>116000</v>
      </c>
    </row>
    <row r="960" spans="1:20" x14ac:dyDescent="0.35">
      <c r="A960" t="s">
        <v>973</v>
      </c>
      <c r="B960" t="s">
        <v>1742</v>
      </c>
      <c r="C960" t="s">
        <v>1912</v>
      </c>
      <c r="D960" t="s">
        <v>3432</v>
      </c>
      <c r="E960" t="s">
        <v>3671</v>
      </c>
      <c r="F960">
        <v>47</v>
      </c>
      <c r="G960" t="s">
        <v>3674</v>
      </c>
      <c r="H960" t="s">
        <v>3680</v>
      </c>
      <c r="I960" t="s">
        <v>3690</v>
      </c>
      <c r="J960" t="s">
        <v>3693</v>
      </c>
      <c r="K960" t="s">
        <v>3700</v>
      </c>
      <c r="L960">
        <v>1</v>
      </c>
      <c r="M960">
        <v>72000</v>
      </c>
      <c r="N960" t="s">
        <v>3701</v>
      </c>
      <c r="O960" t="s">
        <v>3707</v>
      </c>
      <c r="P960" s="2">
        <f t="shared" si="70"/>
        <v>45738</v>
      </c>
      <c r="Q960" t="str">
        <f t="shared" si="71"/>
        <v>Dharmajan Handa</v>
      </c>
      <c r="R960" t="str">
        <f t="shared" si="72"/>
        <v>Pune</v>
      </c>
      <c r="S960" t="str">
        <f t="shared" si="73"/>
        <v>Maharashtra</v>
      </c>
      <c r="T960">
        <f t="shared" si="74"/>
        <v>72000</v>
      </c>
    </row>
    <row r="961" spans="1:20" x14ac:dyDescent="0.35">
      <c r="A961" t="s">
        <v>974</v>
      </c>
      <c r="B961" t="s">
        <v>1218</v>
      </c>
      <c r="C961" t="s">
        <v>2070</v>
      </c>
      <c r="D961" t="s">
        <v>3433</v>
      </c>
      <c r="E961" t="s">
        <v>3671</v>
      </c>
      <c r="F961">
        <v>54</v>
      </c>
      <c r="G961" t="s">
        <v>3679</v>
      </c>
      <c r="H961" t="s">
        <v>3684</v>
      </c>
      <c r="I961" t="s">
        <v>3688</v>
      </c>
      <c r="J961" t="s">
        <v>3694</v>
      </c>
      <c r="K961" t="s">
        <v>3698</v>
      </c>
      <c r="L961">
        <v>4</v>
      </c>
      <c r="M961">
        <v>4500</v>
      </c>
      <c r="N961" t="s">
        <v>3703</v>
      </c>
      <c r="O961" t="s">
        <v>3706</v>
      </c>
      <c r="P961" s="2">
        <f t="shared" si="70"/>
        <v>46010</v>
      </c>
      <c r="Q961" t="str">
        <f t="shared" si="71"/>
        <v>Zaina Saxena</v>
      </c>
      <c r="R961" t="str">
        <f t="shared" si="72"/>
        <v>Bengaluru</v>
      </c>
      <c r="S961" t="str">
        <f t="shared" si="73"/>
        <v>Karnataka</v>
      </c>
      <c r="T961">
        <f t="shared" si="74"/>
        <v>18000</v>
      </c>
    </row>
    <row r="962" spans="1:20" x14ac:dyDescent="0.35">
      <c r="A962" t="s">
        <v>975</v>
      </c>
      <c r="B962" t="s">
        <v>1505</v>
      </c>
      <c r="C962" t="s">
        <v>2346</v>
      </c>
      <c r="D962" t="s">
        <v>3434</v>
      </c>
      <c r="E962" t="s">
        <v>3672</v>
      </c>
      <c r="F962">
        <v>18</v>
      </c>
      <c r="G962" t="s">
        <v>3676</v>
      </c>
      <c r="H962" t="s">
        <v>3682</v>
      </c>
      <c r="I962" t="s">
        <v>3691</v>
      </c>
      <c r="J962" t="s">
        <v>3693</v>
      </c>
      <c r="K962" t="s">
        <v>3696</v>
      </c>
      <c r="L962">
        <v>5</v>
      </c>
      <c r="M962">
        <v>58000</v>
      </c>
      <c r="N962" t="s">
        <v>3703</v>
      </c>
      <c r="O962" t="s">
        <v>3707</v>
      </c>
      <c r="P962" s="2">
        <f t="shared" si="70"/>
        <v>45764</v>
      </c>
      <c r="Q962" t="str">
        <f t="shared" si="71"/>
        <v>Yashvi Chahal</v>
      </c>
      <c r="R962" t="str">
        <f t="shared" si="72"/>
        <v>Chennai</v>
      </c>
      <c r="S962" t="str">
        <f t="shared" si="73"/>
        <v>Tamil Nadu</v>
      </c>
      <c r="T962">
        <f t="shared" si="74"/>
        <v>290000</v>
      </c>
    </row>
    <row r="963" spans="1:20" x14ac:dyDescent="0.35">
      <c r="A963" t="s">
        <v>976</v>
      </c>
      <c r="B963" t="s">
        <v>1246</v>
      </c>
      <c r="C963" t="s">
        <v>2414</v>
      </c>
      <c r="D963" t="s">
        <v>3435</v>
      </c>
      <c r="E963" t="s">
        <v>3671</v>
      </c>
      <c r="F963">
        <v>46</v>
      </c>
      <c r="G963" t="s">
        <v>3679</v>
      </c>
      <c r="H963" t="s">
        <v>3684</v>
      </c>
      <c r="I963" t="s">
        <v>3686</v>
      </c>
      <c r="J963" t="s">
        <v>3693</v>
      </c>
      <c r="K963" t="s">
        <v>3696</v>
      </c>
      <c r="L963">
        <v>4</v>
      </c>
      <c r="M963">
        <v>65000</v>
      </c>
      <c r="N963" t="s">
        <v>3701</v>
      </c>
      <c r="O963" t="s">
        <v>3705</v>
      </c>
      <c r="P963" s="2">
        <f t="shared" ref="P963:P1026" si="75">DATEVALUE(SUBSTITUTE(B963,"/","-"))</f>
        <v>45914</v>
      </c>
      <c r="Q963" t="str">
        <f t="shared" ref="Q963:Q1026" si="76">TRIM(CLEAN(D963))</f>
        <v>Reyansh D’Alia</v>
      </c>
      <c r="R963" t="str">
        <f t="shared" ref="R963:R1026" si="77">IF(G963="","Unknown",G963)</f>
        <v>Bengaluru</v>
      </c>
      <c r="S963" t="str">
        <f t="shared" ref="S963:S1026" si="78">IF(H963="","Unknown",H963)</f>
        <v>Karnataka</v>
      </c>
      <c r="T963">
        <f t="shared" ref="T963:T1026" si="79">L963*M963</f>
        <v>260000</v>
      </c>
    </row>
    <row r="964" spans="1:20" x14ac:dyDescent="0.35">
      <c r="A964" t="s">
        <v>977</v>
      </c>
      <c r="B964" t="s">
        <v>1597</v>
      </c>
      <c r="C964" t="s">
        <v>1871</v>
      </c>
      <c r="D964" t="s">
        <v>3436</v>
      </c>
      <c r="E964" t="s">
        <v>3672</v>
      </c>
      <c r="F964">
        <v>46</v>
      </c>
      <c r="G964" t="s">
        <v>3675</v>
      </c>
      <c r="H964" t="s">
        <v>3681</v>
      </c>
      <c r="I964" t="s">
        <v>3689</v>
      </c>
      <c r="J964" t="s">
        <v>3694</v>
      </c>
      <c r="K964" t="s">
        <v>3699</v>
      </c>
      <c r="L964">
        <v>2</v>
      </c>
      <c r="M964">
        <v>1800</v>
      </c>
      <c r="N964" t="s">
        <v>3704</v>
      </c>
      <c r="O964" t="s">
        <v>3706</v>
      </c>
      <c r="P964" s="2">
        <f t="shared" si="75"/>
        <v>45783</v>
      </c>
      <c r="Q964" t="str">
        <f t="shared" si="76"/>
        <v>Samiha Thaman</v>
      </c>
      <c r="R964" t="str">
        <f t="shared" si="77"/>
        <v>Kolkata</v>
      </c>
      <c r="S964" t="str">
        <f t="shared" si="78"/>
        <v>West Bengal</v>
      </c>
      <c r="T964">
        <f t="shared" si="79"/>
        <v>3600</v>
      </c>
    </row>
    <row r="965" spans="1:20" x14ac:dyDescent="0.35">
      <c r="A965" t="s">
        <v>978</v>
      </c>
      <c r="B965" t="s">
        <v>1743</v>
      </c>
      <c r="C965" t="s">
        <v>2042</v>
      </c>
      <c r="D965" t="s">
        <v>3437</v>
      </c>
      <c r="E965" t="s">
        <v>3672</v>
      </c>
      <c r="F965">
        <v>57</v>
      </c>
      <c r="G965" t="s">
        <v>3675</v>
      </c>
      <c r="H965" t="s">
        <v>3681</v>
      </c>
      <c r="I965" t="s">
        <v>3687</v>
      </c>
      <c r="J965" t="s">
        <v>3693</v>
      </c>
      <c r="K965" t="s">
        <v>3697</v>
      </c>
      <c r="L965">
        <v>5</v>
      </c>
      <c r="M965">
        <v>5000</v>
      </c>
      <c r="N965" t="s">
        <v>3702</v>
      </c>
      <c r="O965" t="s">
        <v>3707</v>
      </c>
      <c r="P965" s="2">
        <f t="shared" si="75"/>
        <v>45707</v>
      </c>
      <c r="Q965" t="str">
        <f t="shared" si="76"/>
        <v>Elakshi Atwal</v>
      </c>
      <c r="R965" t="str">
        <f t="shared" si="77"/>
        <v>Kolkata</v>
      </c>
      <c r="S965" t="str">
        <f t="shared" si="78"/>
        <v>West Bengal</v>
      </c>
      <c r="T965">
        <f t="shared" si="79"/>
        <v>25000</v>
      </c>
    </row>
    <row r="966" spans="1:20" x14ac:dyDescent="0.35">
      <c r="A966" t="s">
        <v>979</v>
      </c>
      <c r="B966" t="s">
        <v>1307</v>
      </c>
      <c r="C966" t="s">
        <v>2351</v>
      </c>
      <c r="D966" t="s">
        <v>3438</v>
      </c>
      <c r="E966" t="s">
        <v>3672</v>
      </c>
      <c r="F966">
        <v>29</v>
      </c>
      <c r="G966" t="s">
        <v>3673</v>
      </c>
      <c r="H966" t="s">
        <v>3673</v>
      </c>
      <c r="I966" t="s">
        <v>3686</v>
      </c>
      <c r="J966" t="s">
        <v>3693</v>
      </c>
      <c r="K966" t="s">
        <v>3696</v>
      </c>
      <c r="L966">
        <v>1</v>
      </c>
      <c r="M966">
        <v>65000</v>
      </c>
      <c r="N966" t="s">
        <v>3703</v>
      </c>
      <c r="O966" t="s">
        <v>3706</v>
      </c>
      <c r="P966" s="2">
        <f t="shared" si="75"/>
        <v>45965</v>
      </c>
      <c r="Q966" t="str">
        <f t="shared" si="76"/>
        <v>Shamik Ravel</v>
      </c>
      <c r="R966" t="str">
        <f t="shared" si="77"/>
        <v>Delhi</v>
      </c>
      <c r="S966" t="str">
        <f t="shared" si="78"/>
        <v>Delhi</v>
      </c>
      <c r="T966">
        <f t="shared" si="79"/>
        <v>65000</v>
      </c>
    </row>
    <row r="967" spans="1:20" x14ac:dyDescent="0.35">
      <c r="A967" t="s">
        <v>980</v>
      </c>
      <c r="B967" t="s">
        <v>1522</v>
      </c>
      <c r="C967" t="s">
        <v>2415</v>
      </c>
      <c r="D967" t="s">
        <v>3439</v>
      </c>
      <c r="E967" t="s">
        <v>3671</v>
      </c>
      <c r="F967">
        <v>43</v>
      </c>
      <c r="G967" t="s">
        <v>3674</v>
      </c>
      <c r="H967" t="s">
        <v>3680</v>
      </c>
      <c r="I967" t="s">
        <v>3685</v>
      </c>
      <c r="J967" t="s">
        <v>3692</v>
      </c>
      <c r="K967" t="s">
        <v>3695</v>
      </c>
      <c r="L967">
        <v>4</v>
      </c>
      <c r="M967">
        <v>12000</v>
      </c>
      <c r="N967" t="s">
        <v>3702</v>
      </c>
      <c r="O967" t="s">
        <v>3707</v>
      </c>
      <c r="P967" s="2">
        <f t="shared" si="75"/>
        <v>45781</v>
      </c>
      <c r="Q967" t="str">
        <f t="shared" si="76"/>
        <v>Prerak Kaur</v>
      </c>
      <c r="R967" t="str">
        <f t="shared" si="77"/>
        <v>Pune</v>
      </c>
      <c r="S967" t="str">
        <f t="shared" si="78"/>
        <v>Maharashtra</v>
      </c>
      <c r="T967">
        <f t="shared" si="79"/>
        <v>48000</v>
      </c>
    </row>
    <row r="968" spans="1:20" x14ac:dyDescent="0.35">
      <c r="A968" t="s">
        <v>981</v>
      </c>
      <c r="B968" t="s">
        <v>1744</v>
      </c>
      <c r="C968" t="s">
        <v>2416</v>
      </c>
      <c r="D968" t="s">
        <v>3440</v>
      </c>
      <c r="E968" t="s">
        <v>3672</v>
      </c>
      <c r="F968">
        <v>56</v>
      </c>
      <c r="G968" t="s">
        <v>3678</v>
      </c>
      <c r="H968" t="s">
        <v>3683</v>
      </c>
      <c r="I968" t="s">
        <v>3686</v>
      </c>
      <c r="J968" t="s">
        <v>3693</v>
      </c>
      <c r="K968" t="s">
        <v>3696</v>
      </c>
      <c r="L968">
        <v>5</v>
      </c>
      <c r="M968">
        <v>65000</v>
      </c>
      <c r="N968" t="s">
        <v>3703</v>
      </c>
      <c r="O968" t="s">
        <v>3707</v>
      </c>
      <c r="P968" s="2">
        <f t="shared" si="75"/>
        <v>46008</v>
      </c>
      <c r="Q968" t="str">
        <f t="shared" si="76"/>
        <v>Pari Dyal</v>
      </c>
      <c r="R968" t="str">
        <f t="shared" si="77"/>
        <v>Hyderabad</v>
      </c>
      <c r="S968" t="str">
        <f t="shared" si="78"/>
        <v>Telangana</v>
      </c>
      <c r="T968">
        <f t="shared" si="79"/>
        <v>325000</v>
      </c>
    </row>
    <row r="969" spans="1:20" x14ac:dyDescent="0.35">
      <c r="A969" t="s">
        <v>982</v>
      </c>
      <c r="B969" t="s">
        <v>1745</v>
      </c>
      <c r="C969" t="s">
        <v>1934</v>
      </c>
      <c r="D969" t="s">
        <v>3441</v>
      </c>
      <c r="E969" t="s">
        <v>3671</v>
      </c>
      <c r="F969">
        <v>31</v>
      </c>
      <c r="G969" t="s">
        <v>3674</v>
      </c>
      <c r="H969" t="s">
        <v>3680</v>
      </c>
      <c r="I969" t="s">
        <v>3688</v>
      </c>
      <c r="J969" t="s">
        <v>3694</v>
      </c>
      <c r="K969" t="s">
        <v>3698</v>
      </c>
      <c r="L969">
        <v>4</v>
      </c>
      <c r="M969">
        <v>4500</v>
      </c>
      <c r="N969" t="s">
        <v>3702</v>
      </c>
      <c r="O969" t="s">
        <v>3707</v>
      </c>
      <c r="P969" s="2">
        <f t="shared" si="75"/>
        <v>45988</v>
      </c>
      <c r="Q969" t="str">
        <f t="shared" si="76"/>
        <v>Indrajit Sidhu</v>
      </c>
      <c r="R969" t="str">
        <f t="shared" si="77"/>
        <v>Pune</v>
      </c>
      <c r="S969" t="str">
        <f t="shared" si="78"/>
        <v>Maharashtra</v>
      </c>
      <c r="T969">
        <f t="shared" si="79"/>
        <v>18000</v>
      </c>
    </row>
    <row r="970" spans="1:20" x14ac:dyDescent="0.35">
      <c r="A970" t="s">
        <v>983</v>
      </c>
      <c r="B970" t="s">
        <v>1746</v>
      </c>
      <c r="C970" t="s">
        <v>1843</v>
      </c>
      <c r="D970" t="s">
        <v>3442</v>
      </c>
      <c r="E970" t="s">
        <v>3671</v>
      </c>
      <c r="F970">
        <v>52</v>
      </c>
      <c r="G970" t="s">
        <v>3678</v>
      </c>
      <c r="H970" t="s">
        <v>3683</v>
      </c>
      <c r="I970" t="s">
        <v>3688</v>
      </c>
      <c r="J970" t="s">
        <v>3694</v>
      </c>
      <c r="K970" t="s">
        <v>3698</v>
      </c>
      <c r="L970">
        <v>2</v>
      </c>
      <c r="M970">
        <v>4500</v>
      </c>
      <c r="N970" t="s">
        <v>3703</v>
      </c>
      <c r="O970" t="s">
        <v>3707</v>
      </c>
      <c r="P970" s="2">
        <f t="shared" si="75"/>
        <v>45827</v>
      </c>
      <c r="Q970" t="str">
        <f t="shared" si="76"/>
        <v>Romil Dasgupta</v>
      </c>
      <c r="R970" t="str">
        <f t="shared" si="77"/>
        <v>Hyderabad</v>
      </c>
      <c r="S970" t="str">
        <f t="shared" si="78"/>
        <v>Telangana</v>
      </c>
      <c r="T970">
        <f t="shared" si="79"/>
        <v>9000</v>
      </c>
    </row>
    <row r="971" spans="1:20" x14ac:dyDescent="0.35">
      <c r="A971" t="s">
        <v>984</v>
      </c>
      <c r="B971" t="s">
        <v>1747</v>
      </c>
      <c r="C971" t="s">
        <v>2417</v>
      </c>
      <c r="D971" t="s">
        <v>3443</v>
      </c>
      <c r="E971" t="s">
        <v>3671</v>
      </c>
      <c r="F971">
        <v>32</v>
      </c>
      <c r="G971" t="s">
        <v>3676</v>
      </c>
      <c r="H971" t="s">
        <v>3682</v>
      </c>
      <c r="I971" t="s">
        <v>3687</v>
      </c>
      <c r="J971" t="s">
        <v>3693</v>
      </c>
      <c r="K971" t="s">
        <v>3697</v>
      </c>
      <c r="L971">
        <v>1</v>
      </c>
      <c r="M971">
        <v>5000</v>
      </c>
      <c r="N971" t="s">
        <v>3701</v>
      </c>
      <c r="O971" t="s">
        <v>3707</v>
      </c>
      <c r="P971" s="2">
        <f t="shared" si="75"/>
        <v>45715</v>
      </c>
      <c r="Q971" t="str">
        <f t="shared" si="76"/>
        <v>Armaan Dhaliwal</v>
      </c>
      <c r="R971" t="str">
        <f t="shared" si="77"/>
        <v>Chennai</v>
      </c>
      <c r="S971" t="str">
        <f t="shared" si="78"/>
        <v>Tamil Nadu</v>
      </c>
      <c r="T971">
        <f t="shared" si="79"/>
        <v>5000</v>
      </c>
    </row>
    <row r="972" spans="1:20" x14ac:dyDescent="0.35">
      <c r="A972" t="s">
        <v>985</v>
      </c>
      <c r="B972" t="s">
        <v>1458</v>
      </c>
      <c r="C972" t="s">
        <v>1807</v>
      </c>
      <c r="D972" t="s">
        <v>3444</v>
      </c>
      <c r="E972" t="s">
        <v>3672</v>
      </c>
      <c r="F972">
        <v>54</v>
      </c>
      <c r="G972" t="s">
        <v>3679</v>
      </c>
      <c r="H972" t="s">
        <v>3684</v>
      </c>
      <c r="I972" t="s">
        <v>3689</v>
      </c>
      <c r="J972" t="s">
        <v>3694</v>
      </c>
      <c r="K972" t="s">
        <v>3699</v>
      </c>
      <c r="L972">
        <v>2</v>
      </c>
      <c r="M972">
        <v>1800</v>
      </c>
      <c r="N972" t="s">
        <v>3702</v>
      </c>
      <c r="O972" t="s">
        <v>3705</v>
      </c>
      <c r="P972" s="2">
        <f t="shared" si="75"/>
        <v>45744</v>
      </c>
      <c r="Q972" t="str">
        <f t="shared" si="76"/>
        <v>Jayan Bajwa</v>
      </c>
      <c r="R972" t="str">
        <f t="shared" si="77"/>
        <v>Bengaluru</v>
      </c>
      <c r="S972" t="str">
        <f t="shared" si="78"/>
        <v>Karnataka</v>
      </c>
      <c r="T972">
        <f t="shared" si="79"/>
        <v>3600</v>
      </c>
    </row>
    <row r="973" spans="1:20" x14ac:dyDescent="0.35">
      <c r="A973" t="s">
        <v>986</v>
      </c>
      <c r="B973" t="s">
        <v>1320</v>
      </c>
      <c r="C973" t="s">
        <v>2418</v>
      </c>
      <c r="D973" t="s">
        <v>3445</v>
      </c>
      <c r="E973" t="s">
        <v>3671</v>
      </c>
      <c r="F973">
        <v>29</v>
      </c>
      <c r="G973" t="s">
        <v>3676</v>
      </c>
      <c r="H973" t="s">
        <v>3682</v>
      </c>
      <c r="I973" t="s">
        <v>3691</v>
      </c>
      <c r="J973" t="s">
        <v>3693</v>
      </c>
      <c r="K973" t="s">
        <v>3696</v>
      </c>
      <c r="L973">
        <v>1</v>
      </c>
      <c r="M973">
        <v>58000</v>
      </c>
      <c r="N973" t="s">
        <v>3702</v>
      </c>
      <c r="O973" t="s">
        <v>3705</v>
      </c>
      <c r="P973" s="2">
        <f t="shared" si="75"/>
        <v>45841</v>
      </c>
      <c r="Q973" t="str">
        <f t="shared" si="76"/>
        <v>Sahil Tripathi</v>
      </c>
      <c r="R973" t="str">
        <f t="shared" si="77"/>
        <v>Chennai</v>
      </c>
      <c r="S973" t="str">
        <f t="shared" si="78"/>
        <v>Tamil Nadu</v>
      </c>
      <c r="T973">
        <f t="shared" si="79"/>
        <v>58000</v>
      </c>
    </row>
    <row r="974" spans="1:20" x14ac:dyDescent="0.35">
      <c r="A974" t="s">
        <v>987</v>
      </c>
      <c r="B974" t="s">
        <v>1748</v>
      </c>
      <c r="C974" t="s">
        <v>2351</v>
      </c>
      <c r="D974" t="s">
        <v>3446</v>
      </c>
      <c r="E974" t="s">
        <v>3671</v>
      </c>
      <c r="F974">
        <v>39</v>
      </c>
      <c r="G974" t="s">
        <v>3676</v>
      </c>
      <c r="H974" t="s">
        <v>3682</v>
      </c>
      <c r="I974" t="s">
        <v>3691</v>
      </c>
      <c r="J974" t="s">
        <v>3693</v>
      </c>
      <c r="K974" t="s">
        <v>3696</v>
      </c>
      <c r="L974">
        <v>4</v>
      </c>
      <c r="M974">
        <v>58000</v>
      </c>
      <c r="N974" t="s">
        <v>3704</v>
      </c>
      <c r="O974" t="s">
        <v>3706</v>
      </c>
      <c r="P974" s="2">
        <f t="shared" si="75"/>
        <v>45980</v>
      </c>
      <c r="Q974" t="str">
        <f t="shared" si="76"/>
        <v>Amani Contractor</v>
      </c>
      <c r="R974" t="str">
        <f t="shared" si="77"/>
        <v>Chennai</v>
      </c>
      <c r="S974" t="str">
        <f t="shared" si="78"/>
        <v>Tamil Nadu</v>
      </c>
      <c r="T974">
        <f t="shared" si="79"/>
        <v>232000</v>
      </c>
    </row>
    <row r="975" spans="1:20" x14ac:dyDescent="0.35">
      <c r="A975" t="s">
        <v>988</v>
      </c>
      <c r="B975" t="s">
        <v>1631</v>
      </c>
      <c r="C975" t="s">
        <v>2419</v>
      </c>
      <c r="D975" t="s">
        <v>3447</v>
      </c>
      <c r="E975" t="s">
        <v>3671</v>
      </c>
      <c r="F975">
        <v>54</v>
      </c>
      <c r="G975" t="s">
        <v>3677</v>
      </c>
      <c r="H975" t="s">
        <v>3680</v>
      </c>
      <c r="I975" t="s">
        <v>3685</v>
      </c>
      <c r="J975" t="s">
        <v>3692</v>
      </c>
      <c r="K975" t="s">
        <v>3695</v>
      </c>
      <c r="L975">
        <v>5</v>
      </c>
      <c r="M975">
        <v>12000</v>
      </c>
      <c r="N975" t="s">
        <v>3702</v>
      </c>
      <c r="O975" t="s">
        <v>3706</v>
      </c>
      <c r="P975" s="2">
        <f t="shared" si="75"/>
        <v>45684</v>
      </c>
      <c r="Q975" t="str">
        <f t="shared" si="76"/>
        <v>Drishya Samra</v>
      </c>
      <c r="R975" t="str">
        <f t="shared" si="77"/>
        <v>Mumbai</v>
      </c>
      <c r="S975" t="str">
        <f t="shared" si="78"/>
        <v>Maharashtra</v>
      </c>
      <c r="T975">
        <f t="shared" si="79"/>
        <v>60000</v>
      </c>
    </row>
    <row r="976" spans="1:20" x14ac:dyDescent="0.35">
      <c r="A976" t="s">
        <v>989</v>
      </c>
      <c r="B976" t="s">
        <v>1392</v>
      </c>
      <c r="C976" t="s">
        <v>2420</v>
      </c>
      <c r="D976" t="s">
        <v>3448</v>
      </c>
      <c r="E976" t="s">
        <v>3672</v>
      </c>
      <c r="F976">
        <v>33</v>
      </c>
      <c r="G976" t="s">
        <v>3678</v>
      </c>
      <c r="H976" t="s">
        <v>3683</v>
      </c>
      <c r="I976" t="s">
        <v>3687</v>
      </c>
      <c r="J976" t="s">
        <v>3693</v>
      </c>
      <c r="K976" t="s">
        <v>3697</v>
      </c>
      <c r="L976">
        <v>3</v>
      </c>
      <c r="M976">
        <v>5000</v>
      </c>
      <c r="N976" t="s">
        <v>3702</v>
      </c>
      <c r="O976" t="s">
        <v>3705</v>
      </c>
      <c r="P976" s="2">
        <f t="shared" si="75"/>
        <v>45793</v>
      </c>
      <c r="Q976" t="str">
        <f t="shared" si="76"/>
        <v>Suhana Dugar</v>
      </c>
      <c r="R976" t="str">
        <f t="shared" si="77"/>
        <v>Hyderabad</v>
      </c>
      <c r="S976" t="str">
        <f t="shared" si="78"/>
        <v>Telangana</v>
      </c>
      <c r="T976">
        <f t="shared" si="79"/>
        <v>15000</v>
      </c>
    </row>
    <row r="977" spans="1:20" x14ac:dyDescent="0.35">
      <c r="A977" t="s">
        <v>990</v>
      </c>
      <c r="B977" t="s">
        <v>1624</v>
      </c>
      <c r="C977" t="s">
        <v>2028</v>
      </c>
      <c r="D977" t="s">
        <v>3449</v>
      </c>
      <c r="E977" t="s">
        <v>3672</v>
      </c>
      <c r="F977">
        <v>50</v>
      </c>
      <c r="G977" t="s">
        <v>3679</v>
      </c>
      <c r="H977" t="s">
        <v>3684</v>
      </c>
      <c r="I977" t="s">
        <v>3686</v>
      </c>
      <c r="J977" t="s">
        <v>3693</v>
      </c>
      <c r="K977" t="s">
        <v>3696</v>
      </c>
      <c r="L977">
        <v>4</v>
      </c>
      <c r="M977">
        <v>65000</v>
      </c>
      <c r="N977" t="s">
        <v>3703</v>
      </c>
      <c r="O977" t="s">
        <v>3707</v>
      </c>
      <c r="P977" s="2">
        <f t="shared" si="75"/>
        <v>45712</v>
      </c>
      <c r="Q977" t="str">
        <f t="shared" si="76"/>
        <v>Dharmajan Chakraborty</v>
      </c>
      <c r="R977" t="str">
        <f t="shared" si="77"/>
        <v>Bengaluru</v>
      </c>
      <c r="S977" t="str">
        <f t="shared" si="78"/>
        <v>Karnataka</v>
      </c>
      <c r="T977">
        <f t="shared" si="79"/>
        <v>260000</v>
      </c>
    </row>
    <row r="978" spans="1:20" x14ac:dyDescent="0.35">
      <c r="A978" t="s">
        <v>991</v>
      </c>
      <c r="B978" t="s">
        <v>1590</v>
      </c>
      <c r="C978" t="s">
        <v>2215</v>
      </c>
      <c r="D978" t="s">
        <v>3450</v>
      </c>
      <c r="E978" t="s">
        <v>3672</v>
      </c>
      <c r="F978">
        <v>57</v>
      </c>
      <c r="G978" t="s">
        <v>3673</v>
      </c>
      <c r="H978" t="s">
        <v>3673</v>
      </c>
      <c r="I978" t="s">
        <v>3691</v>
      </c>
      <c r="J978" t="s">
        <v>3693</v>
      </c>
      <c r="K978" t="s">
        <v>3696</v>
      </c>
      <c r="L978">
        <v>5</v>
      </c>
      <c r="M978">
        <v>58000</v>
      </c>
      <c r="N978" t="s">
        <v>3704</v>
      </c>
      <c r="O978" t="s">
        <v>3707</v>
      </c>
      <c r="P978" s="2">
        <f t="shared" si="75"/>
        <v>45935</v>
      </c>
      <c r="Q978" t="str">
        <f t="shared" si="76"/>
        <v>Mishti Shenoy</v>
      </c>
      <c r="R978" t="str">
        <f t="shared" si="77"/>
        <v>Delhi</v>
      </c>
      <c r="S978" t="str">
        <f t="shared" si="78"/>
        <v>Delhi</v>
      </c>
      <c r="T978">
        <f t="shared" si="79"/>
        <v>290000</v>
      </c>
    </row>
    <row r="979" spans="1:20" x14ac:dyDescent="0.35">
      <c r="A979" t="s">
        <v>992</v>
      </c>
      <c r="B979" t="s">
        <v>1222</v>
      </c>
      <c r="C979" t="s">
        <v>1970</v>
      </c>
      <c r="D979" t="s">
        <v>3451</v>
      </c>
      <c r="E979" t="s">
        <v>3671</v>
      </c>
      <c r="F979">
        <v>57</v>
      </c>
      <c r="G979" t="s">
        <v>3677</v>
      </c>
      <c r="H979" t="s">
        <v>3680</v>
      </c>
      <c r="I979" t="s">
        <v>3690</v>
      </c>
      <c r="J979" t="s">
        <v>3693</v>
      </c>
      <c r="K979" t="s">
        <v>3700</v>
      </c>
      <c r="L979">
        <v>1</v>
      </c>
      <c r="M979">
        <v>72000</v>
      </c>
      <c r="N979" t="s">
        <v>3701</v>
      </c>
      <c r="O979" t="s">
        <v>3706</v>
      </c>
      <c r="P979" s="2">
        <f t="shared" si="75"/>
        <v>45843</v>
      </c>
      <c r="Q979" t="str">
        <f t="shared" si="76"/>
        <v>Vivaan Dayal</v>
      </c>
      <c r="R979" t="str">
        <f t="shared" si="77"/>
        <v>Mumbai</v>
      </c>
      <c r="S979" t="str">
        <f t="shared" si="78"/>
        <v>Maharashtra</v>
      </c>
      <c r="T979">
        <f t="shared" si="79"/>
        <v>72000</v>
      </c>
    </row>
    <row r="980" spans="1:20" x14ac:dyDescent="0.35">
      <c r="A980" t="s">
        <v>993</v>
      </c>
      <c r="B980" t="s">
        <v>1681</v>
      </c>
      <c r="C980" t="s">
        <v>2229</v>
      </c>
      <c r="D980" t="s">
        <v>3452</v>
      </c>
      <c r="E980" t="s">
        <v>3671</v>
      </c>
      <c r="F980">
        <v>35</v>
      </c>
      <c r="G980" t="s">
        <v>3677</v>
      </c>
      <c r="H980" t="s">
        <v>3680</v>
      </c>
      <c r="I980" t="s">
        <v>3691</v>
      </c>
      <c r="J980" t="s">
        <v>3693</v>
      </c>
      <c r="K980" t="s">
        <v>3696</v>
      </c>
      <c r="L980">
        <v>4</v>
      </c>
      <c r="M980">
        <v>58000</v>
      </c>
      <c r="N980" t="s">
        <v>3701</v>
      </c>
      <c r="O980" t="s">
        <v>3707</v>
      </c>
      <c r="P980" s="2">
        <f t="shared" si="75"/>
        <v>45942</v>
      </c>
      <c r="Q980" t="str">
        <f t="shared" si="76"/>
        <v>Tara Sengupta</v>
      </c>
      <c r="R980" t="str">
        <f t="shared" si="77"/>
        <v>Mumbai</v>
      </c>
      <c r="S980" t="str">
        <f t="shared" si="78"/>
        <v>Maharashtra</v>
      </c>
      <c r="T980">
        <f t="shared" si="79"/>
        <v>232000</v>
      </c>
    </row>
    <row r="981" spans="1:20" x14ac:dyDescent="0.35">
      <c r="A981" t="s">
        <v>994</v>
      </c>
      <c r="B981" t="s">
        <v>1396</v>
      </c>
      <c r="C981" t="s">
        <v>2421</v>
      </c>
      <c r="D981" t="s">
        <v>3453</v>
      </c>
      <c r="E981" t="s">
        <v>3672</v>
      </c>
      <c r="F981">
        <v>59</v>
      </c>
      <c r="G981" t="s">
        <v>3678</v>
      </c>
      <c r="H981" t="s">
        <v>3683</v>
      </c>
      <c r="I981" t="s">
        <v>3685</v>
      </c>
      <c r="J981" t="s">
        <v>3692</v>
      </c>
      <c r="K981" t="s">
        <v>3695</v>
      </c>
      <c r="L981">
        <v>1</v>
      </c>
      <c r="M981">
        <v>12000</v>
      </c>
      <c r="N981" t="s">
        <v>3704</v>
      </c>
      <c r="O981" t="s">
        <v>3706</v>
      </c>
      <c r="P981" s="2">
        <f t="shared" si="75"/>
        <v>46001</v>
      </c>
      <c r="Q981" t="str">
        <f t="shared" si="76"/>
        <v>Umang Sarraf</v>
      </c>
      <c r="R981" t="str">
        <f t="shared" si="77"/>
        <v>Hyderabad</v>
      </c>
      <c r="S981" t="str">
        <f t="shared" si="78"/>
        <v>Telangana</v>
      </c>
      <c r="T981">
        <f t="shared" si="79"/>
        <v>12000</v>
      </c>
    </row>
    <row r="982" spans="1:20" x14ac:dyDescent="0.35">
      <c r="A982" t="s">
        <v>995</v>
      </c>
      <c r="B982" t="s">
        <v>1713</v>
      </c>
      <c r="C982" t="s">
        <v>2422</v>
      </c>
      <c r="D982" t="s">
        <v>3454</v>
      </c>
      <c r="E982" t="s">
        <v>3672</v>
      </c>
      <c r="F982">
        <v>41</v>
      </c>
      <c r="G982" t="s">
        <v>3676</v>
      </c>
      <c r="H982" t="s">
        <v>3682</v>
      </c>
      <c r="I982" t="s">
        <v>3689</v>
      </c>
      <c r="J982" t="s">
        <v>3694</v>
      </c>
      <c r="K982" t="s">
        <v>3699</v>
      </c>
      <c r="L982">
        <v>2</v>
      </c>
      <c r="M982">
        <v>1800</v>
      </c>
      <c r="N982" t="s">
        <v>3702</v>
      </c>
      <c r="O982" t="s">
        <v>3706</v>
      </c>
      <c r="P982" s="2">
        <f t="shared" si="75"/>
        <v>45747</v>
      </c>
      <c r="Q982" t="str">
        <f t="shared" si="76"/>
        <v>Piya Sem</v>
      </c>
      <c r="R982" t="str">
        <f t="shared" si="77"/>
        <v>Chennai</v>
      </c>
      <c r="S982" t="str">
        <f t="shared" si="78"/>
        <v>Tamil Nadu</v>
      </c>
      <c r="T982">
        <f t="shared" si="79"/>
        <v>3600</v>
      </c>
    </row>
    <row r="983" spans="1:20" x14ac:dyDescent="0.35">
      <c r="A983" t="s">
        <v>996</v>
      </c>
      <c r="B983" t="s">
        <v>1454</v>
      </c>
      <c r="C983" t="s">
        <v>2423</v>
      </c>
      <c r="D983" t="s">
        <v>3455</v>
      </c>
      <c r="E983" t="s">
        <v>3672</v>
      </c>
      <c r="F983">
        <v>23</v>
      </c>
      <c r="G983" t="s">
        <v>3676</v>
      </c>
      <c r="H983" t="s">
        <v>3682</v>
      </c>
      <c r="I983" t="s">
        <v>3691</v>
      </c>
      <c r="J983" t="s">
        <v>3693</v>
      </c>
      <c r="K983" t="s">
        <v>3696</v>
      </c>
      <c r="L983">
        <v>1</v>
      </c>
      <c r="M983">
        <v>58000</v>
      </c>
      <c r="N983" t="s">
        <v>3701</v>
      </c>
      <c r="O983" t="s">
        <v>3705</v>
      </c>
      <c r="P983" s="2">
        <f t="shared" si="75"/>
        <v>45923</v>
      </c>
      <c r="Q983" t="str">
        <f t="shared" si="76"/>
        <v>Taran Wali</v>
      </c>
      <c r="R983" t="str">
        <f t="shared" si="77"/>
        <v>Chennai</v>
      </c>
      <c r="S983" t="str">
        <f t="shared" si="78"/>
        <v>Tamil Nadu</v>
      </c>
      <c r="T983">
        <f t="shared" si="79"/>
        <v>58000</v>
      </c>
    </row>
    <row r="984" spans="1:20" x14ac:dyDescent="0.35">
      <c r="A984" t="s">
        <v>997</v>
      </c>
      <c r="B984" t="s">
        <v>1249</v>
      </c>
      <c r="C984" t="s">
        <v>2424</v>
      </c>
      <c r="D984" t="s">
        <v>3456</v>
      </c>
      <c r="E984" t="s">
        <v>3672</v>
      </c>
      <c r="F984">
        <v>37</v>
      </c>
      <c r="G984" t="s">
        <v>3679</v>
      </c>
      <c r="H984" t="s">
        <v>3684</v>
      </c>
      <c r="I984" t="s">
        <v>3687</v>
      </c>
      <c r="J984" t="s">
        <v>3693</v>
      </c>
      <c r="K984" t="s">
        <v>3697</v>
      </c>
      <c r="L984">
        <v>3</v>
      </c>
      <c r="M984">
        <v>5000</v>
      </c>
      <c r="N984" t="s">
        <v>3701</v>
      </c>
      <c r="O984" t="s">
        <v>3706</v>
      </c>
      <c r="P984" s="2">
        <f t="shared" si="75"/>
        <v>45828</v>
      </c>
      <c r="Q984" t="str">
        <f t="shared" si="76"/>
        <v>Eshani Shukla</v>
      </c>
      <c r="R984" t="str">
        <f t="shared" si="77"/>
        <v>Bengaluru</v>
      </c>
      <c r="S984" t="str">
        <f t="shared" si="78"/>
        <v>Karnataka</v>
      </c>
      <c r="T984">
        <f t="shared" si="79"/>
        <v>15000</v>
      </c>
    </row>
    <row r="985" spans="1:20" x14ac:dyDescent="0.35">
      <c r="A985" t="s">
        <v>998</v>
      </c>
      <c r="B985" t="s">
        <v>1495</v>
      </c>
      <c r="C985" t="s">
        <v>2228</v>
      </c>
      <c r="D985" t="s">
        <v>3457</v>
      </c>
      <c r="E985" t="s">
        <v>3671</v>
      </c>
      <c r="F985">
        <v>60</v>
      </c>
      <c r="G985" t="s">
        <v>3675</v>
      </c>
      <c r="H985" t="s">
        <v>3681</v>
      </c>
      <c r="I985" t="s">
        <v>3685</v>
      </c>
      <c r="J985" t="s">
        <v>3692</v>
      </c>
      <c r="K985" t="s">
        <v>3695</v>
      </c>
      <c r="L985">
        <v>3</v>
      </c>
      <c r="M985">
        <v>12000</v>
      </c>
      <c r="N985" t="s">
        <v>3701</v>
      </c>
      <c r="O985" t="s">
        <v>3706</v>
      </c>
      <c r="P985" s="2">
        <f t="shared" si="75"/>
        <v>45694</v>
      </c>
      <c r="Q985" t="str">
        <f t="shared" si="76"/>
        <v>Advik Contractor</v>
      </c>
      <c r="R985" t="str">
        <f t="shared" si="77"/>
        <v>Kolkata</v>
      </c>
      <c r="S985" t="str">
        <f t="shared" si="78"/>
        <v>West Bengal</v>
      </c>
      <c r="T985">
        <f t="shared" si="79"/>
        <v>36000</v>
      </c>
    </row>
    <row r="986" spans="1:20" x14ac:dyDescent="0.35">
      <c r="A986" t="s">
        <v>999</v>
      </c>
      <c r="B986" t="s">
        <v>1705</v>
      </c>
      <c r="C986" t="s">
        <v>2314</v>
      </c>
      <c r="D986" t="s">
        <v>3458</v>
      </c>
      <c r="E986" t="s">
        <v>3671</v>
      </c>
      <c r="F986">
        <v>31</v>
      </c>
      <c r="G986" t="s">
        <v>3673</v>
      </c>
      <c r="H986" t="s">
        <v>3673</v>
      </c>
      <c r="I986" t="s">
        <v>3687</v>
      </c>
      <c r="J986" t="s">
        <v>3693</v>
      </c>
      <c r="K986" t="s">
        <v>3697</v>
      </c>
      <c r="L986">
        <v>1</v>
      </c>
      <c r="M986">
        <v>5000</v>
      </c>
      <c r="N986" t="s">
        <v>3704</v>
      </c>
      <c r="O986" t="s">
        <v>3706</v>
      </c>
      <c r="P986" s="2">
        <f t="shared" si="75"/>
        <v>45964</v>
      </c>
      <c r="Q986" t="str">
        <f t="shared" si="76"/>
        <v>Saanvi Bir</v>
      </c>
      <c r="R986" t="str">
        <f t="shared" si="77"/>
        <v>Delhi</v>
      </c>
      <c r="S986" t="str">
        <f t="shared" si="78"/>
        <v>Delhi</v>
      </c>
      <c r="T986">
        <f t="shared" si="79"/>
        <v>5000</v>
      </c>
    </row>
    <row r="987" spans="1:20" x14ac:dyDescent="0.35">
      <c r="A987" t="s">
        <v>1000</v>
      </c>
      <c r="B987" t="s">
        <v>1350</v>
      </c>
      <c r="C987" t="s">
        <v>2425</v>
      </c>
      <c r="D987" t="s">
        <v>3459</v>
      </c>
      <c r="E987" t="s">
        <v>3672</v>
      </c>
      <c r="F987">
        <v>38</v>
      </c>
      <c r="G987" t="s">
        <v>3676</v>
      </c>
      <c r="H987" t="s">
        <v>3682</v>
      </c>
      <c r="I987" t="s">
        <v>3687</v>
      </c>
      <c r="J987" t="s">
        <v>3693</v>
      </c>
      <c r="K987" t="s">
        <v>3697</v>
      </c>
      <c r="L987">
        <v>1</v>
      </c>
      <c r="M987">
        <v>5000</v>
      </c>
      <c r="N987" t="s">
        <v>3702</v>
      </c>
      <c r="O987" t="s">
        <v>3706</v>
      </c>
      <c r="P987" s="2">
        <f t="shared" si="75"/>
        <v>45951</v>
      </c>
      <c r="Q987" t="str">
        <f t="shared" si="76"/>
        <v>Rohan Iyengar</v>
      </c>
      <c r="R987" t="str">
        <f t="shared" si="77"/>
        <v>Chennai</v>
      </c>
      <c r="S987" t="str">
        <f t="shared" si="78"/>
        <v>Tamil Nadu</v>
      </c>
      <c r="T987">
        <f t="shared" si="79"/>
        <v>5000</v>
      </c>
    </row>
    <row r="988" spans="1:20" x14ac:dyDescent="0.35">
      <c r="A988" t="s">
        <v>1001</v>
      </c>
      <c r="B988" t="s">
        <v>1742</v>
      </c>
      <c r="C988" t="s">
        <v>2418</v>
      </c>
      <c r="D988" t="s">
        <v>3460</v>
      </c>
      <c r="E988" t="s">
        <v>3671</v>
      </c>
      <c r="F988">
        <v>30</v>
      </c>
      <c r="G988" t="s">
        <v>3676</v>
      </c>
      <c r="H988" t="s">
        <v>3682</v>
      </c>
      <c r="I988" t="s">
        <v>3685</v>
      </c>
      <c r="J988" t="s">
        <v>3692</v>
      </c>
      <c r="K988" t="s">
        <v>3695</v>
      </c>
      <c r="L988">
        <v>5</v>
      </c>
      <c r="M988">
        <v>12000</v>
      </c>
      <c r="N988" t="s">
        <v>3703</v>
      </c>
      <c r="O988" t="s">
        <v>3707</v>
      </c>
      <c r="P988" s="2">
        <f t="shared" si="75"/>
        <v>45738</v>
      </c>
      <c r="Q988" t="str">
        <f t="shared" si="76"/>
        <v>Raghav Bose</v>
      </c>
      <c r="R988" t="str">
        <f t="shared" si="77"/>
        <v>Chennai</v>
      </c>
      <c r="S988" t="str">
        <f t="shared" si="78"/>
        <v>Tamil Nadu</v>
      </c>
      <c r="T988">
        <f t="shared" si="79"/>
        <v>60000</v>
      </c>
    </row>
    <row r="989" spans="1:20" x14ac:dyDescent="0.35">
      <c r="A989" t="s">
        <v>1002</v>
      </c>
      <c r="B989" t="s">
        <v>1522</v>
      </c>
      <c r="C989" t="s">
        <v>1857</v>
      </c>
      <c r="D989" t="s">
        <v>3461</v>
      </c>
      <c r="E989" t="s">
        <v>3672</v>
      </c>
      <c r="F989">
        <v>57</v>
      </c>
      <c r="G989" t="s">
        <v>3676</v>
      </c>
      <c r="H989" t="s">
        <v>3682</v>
      </c>
      <c r="I989" t="s">
        <v>3689</v>
      </c>
      <c r="J989" t="s">
        <v>3694</v>
      </c>
      <c r="K989" t="s">
        <v>3699</v>
      </c>
      <c r="L989">
        <v>4</v>
      </c>
      <c r="M989">
        <v>1800</v>
      </c>
      <c r="N989" t="s">
        <v>3701</v>
      </c>
      <c r="O989" t="s">
        <v>3706</v>
      </c>
      <c r="P989" s="2">
        <f t="shared" si="75"/>
        <v>45781</v>
      </c>
      <c r="Q989" t="str">
        <f t="shared" si="76"/>
        <v>Anahita Chad</v>
      </c>
      <c r="R989" t="str">
        <f t="shared" si="77"/>
        <v>Chennai</v>
      </c>
      <c r="S989" t="str">
        <f t="shared" si="78"/>
        <v>Tamil Nadu</v>
      </c>
      <c r="T989">
        <f t="shared" si="79"/>
        <v>7200</v>
      </c>
    </row>
    <row r="990" spans="1:20" x14ac:dyDescent="0.35">
      <c r="A990" t="s">
        <v>1003</v>
      </c>
      <c r="B990" t="s">
        <v>1416</v>
      </c>
      <c r="C990" t="s">
        <v>1992</v>
      </c>
      <c r="D990" t="s">
        <v>3462</v>
      </c>
      <c r="E990" t="s">
        <v>3672</v>
      </c>
      <c r="F990">
        <v>44</v>
      </c>
      <c r="G990" t="s">
        <v>3677</v>
      </c>
      <c r="H990" t="s">
        <v>3680</v>
      </c>
      <c r="I990" t="s">
        <v>3685</v>
      </c>
      <c r="J990" t="s">
        <v>3692</v>
      </c>
      <c r="K990" t="s">
        <v>3695</v>
      </c>
      <c r="L990">
        <v>3</v>
      </c>
      <c r="M990">
        <v>12000</v>
      </c>
      <c r="N990" t="s">
        <v>3704</v>
      </c>
      <c r="O990" t="s">
        <v>3706</v>
      </c>
      <c r="P990" s="2">
        <f t="shared" si="75"/>
        <v>45786</v>
      </c>
      <c r="Q990" t="str">
        <f t="shared" si="76"/>
        <v>Alisha Aggarwal</v>
      </c>
      <c r="R990" t="str">
        <f t="shared" si="77"/>
        <v>Mumbai</v>
      </c>
      <c r="S990" t="str">
        <f t="shared" si="78"/>
        <v>Maharashtra</v>
      </c>
      <c r="T990">
        <f t="shared" si="79"/>
        <v>36000</v>
      </c>
    </row>
    <row r="991" spans="1:20" x14ac:dyDescent="0.35">
      <c r="A991" t="s">
        <v>1004</v>
      </c>
      <c r="B991" t="s">
        <v>1277</v>
      </c>
      <c r="C991" t="s">
        <v>2426</v>
      </c>
      <c r="D991" t="s">
        <v>3463</v>
      </c>
      <c r="E991" t="s">
        <v>3672</v>
      </c>
      <c r="F991">
        <v>34</v>
      </c>
      <c r="G991" t="s">
        <v>3676</v>
      </c>
      <c r="H991" t="s">
        <v>3682</v>
      </c>
      <c r="I991" t="s">
        <v>3691</v>
      </c>
      <c r="J991" t="s">
        <v>3693</v>
      </c>
      <c r="K991" t="s">
        <v>3696</v>
      </c>
      <c r="L991">
        <v>2</v>
      </c>
      <c r="M991">
        <v>58000</v>
      </c>
      <c r="N991" t="s">
        <v>3701</v>
      </c>
      <c r="O991" t="s">
        <v>3705</v>
      </c>
      <c r="P991" s="2">
        <f t="shared" si="75"/>
        <v>45863</v>
      </c>
      <c r="Q991" t="str">
        <f t="shared" si="76"/>
        <v>Arhaan Saran</v>
      </c>
      <c r="R991" t="str">
        <f t="shared" si="77"/>
        <v>Chennai</v>
      </c>
      <c r="S991" t="str">
        <f t="shared" si="78"/>
        <v>Tamil Nadu</v>
      </c>
      <c r="T991">
        <f t="shared" si="79"/>
        <v>116000</v>
      </c>
    </row>
    <row r="992" spans="1:20" x14ac:dyDescent="0.35">
      <c r="A992" t="s">
        <v>1005</v>
      </c>
      <c r="B992" t="s">
        <v>1749</v>
      </c>
      <c r="C992" t="s">
        <v>2427</v>
      </c>
      <c r="D992" t="s">
        <v>3464</v>
      </c>
      <c r="E992" t="s">
        <v>3671</v>
      </c>
      <c r="F992">
        <v>59</v>
      </c>
      <c r="G992" t="s">
        <v>3673</v>
      </c>
      <c r="H992" t="s">
        <v>3673</v>
      </c>
      <c r="I992" t="s">
        <v>3685</v>
      </c>
      <c r="J992" t="s">
        <v>3692</v>
      </c>
      <c r="K992" t="s">
        <v>3695</v>
      </c>
      <c r="L992">
        <v>2</v>
      </c>
      <c r="M992">
        <v>12000</v>
      </c>
      <c r="N992" t="s">
        <v>3704</v>
      </c>
      <c r="O992" t="s">
        <v>3707</v>
      </c>
      <c r="P992" s="2">
        <f t="shared" si="75"/>
        <v>45817</v>
      </c>
      <c r="Q992" t="str">
        <f t="shared" si="76"/>
        <v>Bhavin Ramakrishnan</v>
      </c>
      <c r="R992" t="str">
        <f t="shared" si="77"/>
        <v>Delhi</v>
      </c>
      <c r="S992" t="str">
        <f t="shared" si="78"/>
        <v>Delhi</v>
      </c>
      <c r="T992">
        <f t="shared" si="79"/>
        <v>24000</v>
      </c>
    </row>
    <row r="993" spans="1:20" x14ac:dyDescent="0.35">
      <c r="A993" t="s">
        <v>1006</v>
      </c>
      <c r="B993" t="s">
        <v>1750</v>
      </c>
      <c r="C993" t="s">
        <v>2163</v>
      </c>
      <c r="D993" t="s">
        <v>3465</v>
      </c>
      <c r="E993" t="s">
        <v>3671</v>
      </c>
      <c r="F993">
        <v>28</v>
      </c>
      <c r="G993" t="s">
        <v>3676</v>
      </c>
      <c r="H993" t="s">
        <v>3682</v>
      </c>
      <c r="I993" t="s">
        <v>3688</v>
      </c>
      <c r="J993" t="s">
        <v>3694</v>
      </c>
      <c r="K993" t="s">
        <v>3698</v>
      </c>
      <c r="L993">
        <v>4</v>
      </c>
      <c r="M993">
        <v>4500</v>
      </c>
      <c r="N993" t="s">
        <v>3704</v>
      </c>
      <c r="O993" t="s">
        <v>3706</v>
      </c>
      <c r="P993" s="2">
        <f t="shared" si="75"/>
        <v>45972</v>
      </c>
      <c r="Q993" t="str">
        <f t="shared" si="76"/>
        <v>Hunar Devan</v>
      </c>
      <c r="R993" t="str">
        <f t="shared" si="77"/>
        <v>Chennai</v>
      </c>
      <c r="S993" t="str">
        <f t="shared" si="78"/>
        <v>Tamil Nadu</v>
      </c>
      <c r="T993">
        <f t="shared" si="79"/>
        <v>18000</v>
      </c>
    </row>
    <row r="994" spans="1:20" x14ac:dyDescent="0.35">
      <c r="A994" t="s">
        <v>1007</v>
      </c>
      <c r="B994" t="s">
        <v>1551</v>
      </c>
      <c r="C994" t="s">
        <v>2154</v>
      </c>
      <c r="D994" t="s">
        <v>3466</v>
      </c>
      <c r="E994" t="s">
        <v>3671</v>
      </c>
      <c r="F994">
        <v>47</v>
      </c>
      <c r="G994" t="s">
        <v>3674</v>
      </c>
      <c r="H994" t="s">
        <v>3680</v>
      </c>
      <c r="I994" t="s">
        <v>3688</v>
      </c>
      <c r="J994" t="s">
        <v>3694</v>
      </c>
      <c r="K994" t="s">
        <v>3698</v>
      </c>
      <c r="L994">
        <v>4</v>
      </c>
      <c r="M994">
        <v>4500</v>
      </c>
      <c r="N994" t="s">
        <v>3703</v>
      </c>
      <c r="O994" t="s">
        <v>3707</v>
      </c>
      <c r="P994" s="2">
        <f t="shared" si="75"/>
        <v>45943</v>
      </c>
      <c r="Q994" t="str">
        <f t="shared" si="76"/>
        <v>Hrishita Upadhyay</v>
      </c>
      <c r="R994" t="str">
        <f t="shared" si="77"/>
        <v>Pune</v>
      </c>
      <c r="S994" t="str">
        <f t="shared" si="78"/>
        <v>Maharashtra</v>
      </c>
      <c r="T994">
        <f t="shared" si="79"/>
        <v>18000</v>
      </c>
    </row>
    <row r="995" spans="1:20" x14ac:dyDescent="0.35">
      <c r="A995" t="s">
        <v>1008</v>
      </c>
      <c r="B995" t="s">
        <v>1657</v>
      </c>
      <c r="C995" t="s">
        <v>2428</v>
      </c>
      <c r="D995" t="s">
        <v>3467</v>
      </c>
      <c r="E995" t="s">
        <v>3672</v>
      </c>
      <c r="F995">
        <v>55</v>
      </c>
      <c r="G995" t="s">
        <v>3677</v>
      </c>
      <c r="H995" t="s">
        <v>3680</v>
      </c>
      <c r="I995" t="s">
        <v>3691</v>
      </c>
      <c r="J995" t="s">
        <v>3693</v>
      </c>
      <c r="K995" t="s">
        <v>3696</v>
      </c>
      <c r="L995">
        <v>2</v>
      </c>
      <c r="M995">
        <v>58000</v>
      </c>
      <c r="N995" t="s">
        <v>3702</v>
      </c>
      <c r="O995" t="s">
        <v>3705</v>
      </c>
      <c r="P995" s="2">
        <f t="shared" si="75"/>
        <v>45788</v>
      </c>
      <c r="Q995" t="str">
        <f t="shared" si="76"/>
        <v>Shanaya Kadakia</v>
      </c>
      <c r="R995" t="str">
        <f t="shared" si="77"/>
        <v>Mumbai</v>
      </c>
      <c r="S995" t="str">
        <f t="shared" si="78"/>
        <v>Maharashtra</v>
      </c>
      <c r="T995">
        <f t="shared" si="79"/>
        <v>116000</v>
      </c>
    </row>
    <row r="996" spans="1:20" x14ac:dyDescent="0.35">
      <c r="A996" t="s">
        <v>1009</v>
      </c>
      <c r="B996" t="s">
        <v>1226</v>
      </c>
      <c r="C996" t="s">
        <v>2049</v>
      </c>
      <c r="D996" t="s">
        <v>3468</v>
      </c>
      <c r="E996" t="s">
        <v>3671</v>
      </c>
      <c r="F996">
        <v>56</v>
      </c>
      <c r="G996" t="s">
        <v>3674</v>
      </c>
      <c r="H996" t="s">
        <v>3680</v>
      </c>
      <c r="I996" t="s">
        <v>3690</v>
      </c>
      <c r="J996" t="s">
        <v>3693</v>
      </c>
      <c r="K996" t="s">
        <v>3700</v>
      </c>
      <c r="L996">
        <v>4</v>
      </c>
      <c r="M996">
        <v>72000</v>
      </c>
      <c r="N996" t="s">
        <v>3703</v>
      </c>
      <c r="O996" t="s">
        <v>3705</v>
      </c>
      <c r="P996" s="2">
        <f t="shared" si="75"/>
        <v>45858</v>
      </c>
      <c r="Q996" t="str">
        <f t="shared" si="76"/>
        <v>Vedika Gola</v>
      </c>
      <c r="R996" t="str">
        <f t="shared" si="77"/>
        <v>Pune</v>
      </c>
      <c r="S996" t="str">
        <f t="shared" si="78"/>
        <v>Maharashtra</v>
      </c>
      <c r="T996">
        <f t="shared" si="79"/>
        <v>288000</v>
      </c>
    </row>
    <row r="997" spans="1:20" x14ac:dyDescent="0.35">
      <c r="A997" t="s">
        <v>1010</v>
      </c>
      <c r="B997" t="s">
        <v>1751</v>
      </c>
      <c r="C997" t="s">
        <v>2429</v>
      </c>
      <c r="D997" t="s">
        <v>3469</v>
      </c>
      <c r="E997" t="s">
        <v>3671</v>
      </c>
      <c r="F997">
        <v>41</v>
      </c>
      <c r="G997" t="s">
        <v>3676</v>
      </c>
      <c r="H997" t="s">
        <v>3682</v>
      </c>
      <c r="I997" t="s">
        <v>3686</v>
      </c>
      <c r="J997" t="s">
        <v>3693</v>
      </c>
      <c r="K997" t="s">
        <v>3696</v>
      </c>
      <c r="L997">
        <v>1</v>
      </c>
      <c r="M997">
        <v>65000</v>
      </c>
      <c r="N997" t="s">
        <v>3704</v>
      </c>
      <c r="O997" t="s">
        <v>3705</v>
      </c>
      <c r="P997" s="2">
        <f t="shared" si="75"/>
        <v>45769</v>
      </c>
      <c r="Q997" t="str">
        <f t="shared" si="76"/>
        <v>Piya Agrawal</v>
      </c>
      <c r="R997" t="str">
        <f t="shared" si="77"/>
        <v>Chennai</v>
      </c>
      <c r="S997" t="str">
        <f t="shared" si="78"/>
        <v>Tamil Nadu</v>
      </c>
      <c r="T997">
        <f t="shared" si="79"/>
        <v>65000</v>
      </c>
    </row>
    <row r="998" spans="1:20" x14ac:dyDescent="0.35">
      <c r="A998" t="s">
        <v>1011</v>
      </c>
      <c r="B998" t="s">
        <v>1614</v>
      </c>
      <c r="C998" t="s">
        <v>2123</v>
      </c>
      <c r="D998" t="s">
        <v>3470</v>
      </c>
      <c r="E998" t="s">
        <v>3671</v>
      </c>
      <c r="F998">
        <v>24</v>
      </c>
      <c r="G998" t="s">
        <v>3679</v>
      </c>
      <c r="H998" t="s">
        <v>3684</v>
      </c>
      <c r="I998" t="s">
        <v>3687</v>
      </c>
      <c r="J998" t="s">
        <v>3693</v>
      </c>
      <c r="K998" t="s">
        <v>3697</v>
      </c>
      <c r="L998">
        <v>3</v>
      </c>
      <c r="M998">
        <v>5000</v>
      </c>
      <c r="N998" t="s">
        <v>3701</v>
      </c>
      <c r="O998" t="s">
        <v>3706</v>
      </c>
      <c r="P998" s="2">
        <f t="shared" si="75"/>
        <v>45929</v>
      </c>
      <c r="Q998" t="str">
        <f t="shared" si="76"/>
        <v>Vedika Lall</v>
      </c>
      <c r="R998" t="str">
        <f t="shared" si="77"/>
        <v>Bengaluru</v>
      </c>
      <c r="S998" t="str">
        <f t="shared" si="78"/>
        <v>Karnataka</v>
      </c>
      <c r="T998">
        <f t="shared" si="79"/>
        <v>15000</v>
      </c>
    </row>
    <row r="999" spans="1:20" x14ac:dyDescent="0.35">
      <c r="A999" t="s">
        <v>1012</v>
      </c>
      <c r="B999" t="s">
        <v>1322</v>
      </c>
      <c r="C999" t="s">
        <v>2430</v>
      </c>
      <c r="D999" t="s">
        <v>3471</v>
      </c>
      <c r="E999" t="s">
        <v>3671</v>
      </c>
      <c r="F999">
        <v>35</v>
      </c>
      <c r="G999" t="s">
        <v>3677</v>
      </c>
      <c r="H999" t="s">
        <v>3680</v>
      </c>
      <c r="I999" t="s">
        <v>3688</v>
      </c>
      <c r="J999" t="s">
        <v>3694</v>
      </c>
      <c r="K999" t="s">
        <v>3698</v>
      </c>
      <c r="L999">
        <v>3</v>
      </c>
      <c r="M999">
        <v>4500</v>
      </c>
      <c r="N999" t="s">
        <v>3702</v>
      </c>
      <c r="O999" t="s">
        <v>3707</v>
      </c>
      <c r="P999" s="2">
        <f t="shared" si="75"/>
        <v>45819</v>
      </c>
      <c r="Q999" t="str">
        <f t="shared" si="76"/>
        <v>Devansh Bhalla</v>
      </c>
      <c r="R999" t="str">
        <f t="shared" si="77"/>
        <v>Mumbai</v>
      </c>
      <c r="S999" t="str">
        <f t="shared" si="78"/>
        <v>Maharashtra</v>
      </c>
      <c r="T999">
        <f t="shared" si="79"/>
        <v>13500</v>
      </c>
    </row>
    <row r="1000" spans="1:20" x14ac:dyDescent="0.35">
      <c r="A1000" t="s">
        <v>1013</v>
      </c>
      <c r="B1000" t="s">
        <v>1698</v>
      </c>
      <c r="C1000" t="s">
        <v>1981</v>
      </c>
      <c r="D1000" t="s">
        <v>3472</v>
      </c>
      <c r="E1000" t="s">
        <v>3671</v>
      </c>
      <c r="F1000">
        <v>30</v>
      </c>
      <c r="G1000" t="s">
        <v>3678</v>
      </c>
      <c r="H1000" t="s">
        <v>3683</v>
      </c>
      <c r="I1000" t="s">
        <v>3690</v>
      </c>
      <c r="J1000" t="s">
        <v>3693</v>
      </c>
      <c r="K1000" t="s">
        <v>3700</v>
      </c>
      <c r="L1000">
        <v>4</v>
      </c>
      <c r="M1000">
        <v>72000</v>
      </c>
      <c r="N1000" t="s">
        <v>3701</v>
      </c>
      <c r="O1000" t="s">
        <v>3707</v>
      </c>
      <c r="P1000" s="2">
        <f t="shared" si="75"/>
        <v>45835</v>
      </c>
      <c r="Q1000" t="str">
        <f t="shared" si="76"/>
        <v>Jhanvi Handa</v>
      </c>
      <c r="R1000" t="str">
        <f t="shared" si="77"/>
        <v>Hyderabad</v>
      </c>
      <c r="S1000" t="str">
        <f t="shared" si="78"/>
        <v>Telangana</v>
      </c>
      <c r="T1000">
        <f t="shared" si="79"/>
        <v>288000</v>
      </c>
    </row>
    <row r="1001" spans="1:20" x14ac:dyDescent="0.35">
      <c r="A1001" t="s">
        <v>1014</v>
      </c>
      <c r="B1001" t="s">
        <v>1744</v>
      </c>
      <c r="C1001" t="s">
        <v>2286</v>
      </c>
      <c r="D1001" t="s">
        <v>3473</v>
      </c>
      <c r="E1001" t="s">
        <v>3671</v>
      </c>
      <c r="F1001">
        <v>54</v>
      </c>
      <c r="G1001" t="s">
        <v>3675</v>
      </c>
      <c r="H1001" t="s">
        <v>3681</v>
      </c>
      <c r="I1001" t="s">
        <v>3691</v>
      </c>
      <c r="J1001" t="s">
        <v>3693</v>
      </c>
      <c r="K1001" t="s">
        <v>3696</v>
      </c>
      <c r="L1001">
        <v>3</v>
      </c>
      <c r="M1001">
        <v>58000</v>
      </c>
      <c r="N1001" t="s">
        <v>3704</v>
      </c>
      <c r="O1001" t="s">
        <v>3707</v>
      </c>
      <c r="P1001" s="2">
        <f t="shared" si="75"/>
        <v>46008</v>
      </c>
      <c r="Q1001" t="str">
        <f t="shared" si="76"/>
        <v>Azad Sami</v>
      </c>
      <c r="R1001" t="str">
        <f t="shared" si="77"/>
        <v>Kolkata</v>
      </c>
      <c r="S1001" t="str">
        <f t="shared" si="78"/>
        <v>West Bengal</v>
      </c>
      <c r="T1001">
        <f t="shared" si="79"/>
        <v>174000</v>
      </c>
    </row>
    <row r="1002" spans="1:20" x14ac:dyDescent="0.35">
      <c r="A1002" t="s">
        <v>1015</v>
      </c>
      <c r="B1002" t="s">
        <v>1497</v>
      </c>
      <c r="C1002" t="s">
        <v>2431</v>
      </c>
      <c r="D1002" t="s">
        <v>3474</v>
      </c>
      <c r="E1002" t="s">
        <v>3672</v>
      </c>
      <c r="F1002">
        <v>33</v>
      </c>
      <c r="G1002" t="s">
        <v>3674</v>
      </c>
      <c r="H1002" t="s">
        <v>3680</v>
      </c>
      <c r="I1002" t="s">
        <v>3686</v>
      </c>
      <c r="J1002" t="s">
        <v>3693</v>
      </c>
      <c r="K1002" t="s">
        <v>3696</v>
      </c>
      <c r="L1002">
        <v>4</v>
      </c>
      <c r="M1002">
        <v>65000</v>
      </c>
      <c r="N1002" t="s">
        <v>3701</v>
      </c>
      <c r="O1002" t="s">
        <v>3706</v>
      </c>
      <c r="P1002" s="2">
        <f t="shared" si="75"/>
        <v>45694</v>
      </c>
      <c r="Q1002" t="str">
        <f t="shared" si="76"/>
        <v>Jivika Agate</v>
      </c>
      <c r="R1002" t="str">
        <f t="shared" si="77"/>
        <v>Pune</v>
      </c>
      <c r="S1002" t="str">
        <f t="shared" si="78"/>
        <v>Maharashtra</v>
      </c>
      <c r="T1002">
        <f t="shared" si="79"/>
        <v>260000</v>
      </c>
    </row>
    <row r="1003" spans="1:20" x14ac:dyDescent="0.35">
      <c r="A1003" t="s">
        <v>1016</v>
      </c>
      <c r="B1003" t="s">
        <v>1577</v>
      </c>
      <c r="C1003" t="s">
        <v>2071</v>
      </c>
      <c r="D1003" t="s">
        <v>3475</v>
      </c>
      <c r="E1003" t="s">
        <v>3672</v>
      </c>
      <c r="F1003">
        <v>37</v>
      </c>
      <c r="G1003" t="s">
        <v>3677</v>
      </c>
      <c r="H1003" t="s">
        <v>3680</v>
      </c>
      <c r="I1003" t="s">
        <v>3691</v>
      </c>
      <c r="J1003" t="s">
        <v>3693</v>
      </c>
      <c r="K1003" t="s">
        <v>3696</v>
      </c>
      <c r="L1003">
        <v>3</v>
      </c>
      <c r="M1003">
        <v>58000</v>
      </c>
      <c r="N1003" t="s">
        <v>3704</v>
      </c>
      <c r="O1003" t="s">
        <v>3705</v>
      </c>
      <c r="P1003" s="2">
        <f t="shared" si="75"/>
        <v>45754</v>
      </c>
      <c r="Q1003" t="str">
        <f t="shared" si="76"/>
        <v>Divij D’Alia</v>
      </c>
      <c r="R1003" t="str">
        <f t="shared" si="77"/>
        <v>Mumbai</v>
      </c>
      <c r="S1003" t="str">
        <f t="shared" si="78"/>
        <v>Maharashtra</v>
      </c>
      <c r="T1003">
        <f t="shared" si="79"/>
        <v>174000</v>
      </c>
    </row>
    <row r="1004" spans="1:20" x14ac:dyDescent="0.35">
      <c r="A1004" t="s">
        <v>1017</v>
      </c>
      <c r="B1004" t="s">
        <v>1516</v>
      </c>
      <c r="C1004" t="s">
        <v>2045</v>
      </c>
      <c r="D1004" t="s">
        <v>3476</v>
      </c>
      <c r="E1004" t="s">
        <v>3672</v>
      </c>
      <c r="F1004">
        <v>50</v>
      </c>
      <c r="G1004" t="s">
        <v>3678</v>
      </c>
      <c r="H1004" t="s">
        <v>3683</v>
      </c>
      <c r="I1004" t="s">
        <v>3690</v>
      </c>
      <c r="J1004" t="s">
        <v>3693</v>
      </c>
      <c r="K1004" t="s">
        <v>3700</v>
      </c>
      <c r="L1004">
        <v>4</v>
      </c>
      <c r="M1004">
        <v>72000</v>
      </c>
      <c r="N1004" t="s">
        <v>3703</v>
      </c>
      <c r="O1004" t="s">
        <v>3707</v>
      </c>
      <c r="P1004" s="2">
        <f t="shared" si="75"/>
        <v>45998</v>
      </c>
      <c r="Q1004" t="str">
        <f t="shared" si="76"/>
        <v>Raghav Ben</v>
      </c>
      <c r="R1004" t="str">
        <f t="shared" si="77"/>
        <v>Hyderabad</v>
      </c>
      <c r="S1004" t="str">
        <f t="shared" si="78"/>
        <v>Telangana</v>
      </c>
      <c r="T1004">
        <f t="shared" si="79"/>
        <v>288000</v>
      </c>
    </row>
    <row r="1005" spans="1:20" x14ac:dyDescent="0.35">
      <c r="A1005" t="s">
        <v>1018</v>
      </c>
      <c r="B1005" t="s">
        <v>1546</v>
      </c>
      <c r="C1005" t="s">
        <v>2337</v>
      </c>
      <c r="D1005" t="s">
        <v>3477</v>
      </c>
      <c r="E1005" t="s">
        <v>3672</v>
      </c>
      <c r="F1005">
        <v>21</v>
      </c>
      <c r="G1005" t="s">
        <v>3673</v>
      </c>
      <c r="H1005" t="s">
        <v>3673</v>
      </c>
      <c r="I1005" t="s">
        <v>3687</v>
      </c>
      <c r="J1005" t="s">
        <v>3693</v>
      </c>
      <c r="K1005" t="s">
        <v>3697</v>
      </c>
      <c r="L1005">
        <v>2</v>
      </c>
      <c r="M1005">
        <v>5000</v>
      </c>
      <c r="N1005" t="s">
        <v>3701</v>
      </c>
      <c r="O1005" t="s">
        <v>3705</v>
      </c>
      <c r="P1005" s="2">
        <f t="shared" si="75"/>
        <v>45798</v>
      </c>
      <c r="Q1005" t="str">
        <f t="shared" si="76"/>
        <v>Amira Tripathi</v>
      </c>
      <c r="R1005" t="str">
        <f t="shared" si="77"/>
        <v>Delhi</v>
      </c>
      <c r="S1005" t="str">
        <f t="shared" si="78"/>
        <v>Delhi</v>
      </c>
      <c r="T1005">
        <f t="shared" si="79"/>
        <v>10000</v>
      </c>
    </row>
    <row r="1006" spans="1:20" x14ac:dyDescent="0.35">
      <c r="A1006" t="s">
        <v>1019</v>
      </c>
      <c r="B1006" t="s">
        <v>1341</v>
      </c>
      <c r="C1006" t="s">
        <v>2432</v>
      </c>
      <c r="D1006" t="s">
        <v>3478</v>
      </c>
      <c r="E1006" t="s">
        <v>3671</v>
      </c>
      <c r="F1006">
        <v>58</v>
      </c>
      <c r="G1006" t="s">
        <v>3677</v>
      </c>
      <c r="H1006" t="s">
        <v>3680</v>
      </c>
      <c r="I1006" t="s">
        <v>3689</v>
      </c>
      <c r="J1006" t="s">
        <v>3694</v>
      </c>
      <c r="K1006" t="s">
        <v>3699</v>
      </c>
      <c r="L1006">
        <v>5</v>
      </c>
      <c r="M1006">
        <v>1800</v>
      </c>
      <c r="N1006" t="s">
        <v>3701</v>
      </c>
      <c r="O1006" t="s">
        <v>3706</v>
      </c>
      <c r="P1006" s="2">
        <f t="shared" si="75"/>
        <v>45950</v>
      </c>
      <c r="Q1006" t="str">
        <f t="shared" si="76"/>
        <v>Adah Baria</v>
      </c>
      <c r="R1006" t="str">
        <f t="shared" si="77"/>
        <v>Mumbai</v>
      </c>
      <c r="S1006" t="str">
        <f t="shared" si="78"/>
        <v>Maharashtra</v>
      </c>
      <c r="T1006">
        <f t="shared" si="79"/>
        <v>9000</v>
      </c>
    </row>
    <row r="1007" spans="1:20" x14ac:dyDescent="0.35">
      <c r="A1007" t="s">
        <v>1020</v>
      </c>
      <c r="B1007" t="s">
        <v>1734</v>
      </c>
      <c r="C1007" t="s">
        <v>2384</v>
      </c>
      <c r="D1007" t="s">
        <v>3479</v>
      </c>
      <c r="E1007" t="s">
        <v>3671</v>
      </c>
      <c r="F1007">
        <v>26</v>
      </c>
      <c r="G1007" t="s">
        <v>3674</v>
      </c>
      <c r="H1007" t="s">
        <v>3680</v>
      </c>
      <c r="I1007" t="s">
        <v>3688</v>
      </c>
      <c r="J1007" t="s">
        <v>3694</v>
      </c>
      <c r="K1007" t="s">
        <v>3698</v>
      </c>
      <c r="L1007">
        <v>3</v>
      </c>
      <c r="M1007">
        <v>4500</v>
      </c>
      <c r="N1007" t="s">
        <v>3702</v>
      </c>
      <c r="O1007" t="s">
        <v>3706</v>
      </c>
      <c r="P1007" s="2">
        <f t="shared" si="75"/>
        <v>45802</v>
      </c>
      <c r="Q1007" t="str">
        <f t="shared" si="76"/>
        <v>Farhan Manne</v>
      </c>
      <c r="R1007" t="str">
        <f t="shared" si="77"/>
        <v>Pune</v>
      </c>
      <c r="S1007" t="str">
        <f t="shared" si="78"/>
        <v>Maharashtra</v>
      </c>
      <c r="T1007">
        <f t="shared" si="79"/>
        <v>13500</v>
      </c>
    </row>
    <row r="1008" spans="1:20" x14ac:dyDescent="0.35">
      <c r="A1008" t="s">
        <v>1021</v>
      </c>
      <c r="B1008" t="s">
        <v>1603</v>
      </c>
      <c r="C1008" t="s">
        <v>2433</v>
      </c>
      <c r="D1008" t="s">
        <v>3480</v>
      </c>
      <c r="E1008" t="s">
        <v>3672</v>
      </c>
      <c r="F1008">
        <v>49</v>
      </c>
      <c r="G1008" t="s">
        <v>3674</v>
      </c>
      <c r="H1008" t="s">
        <v>3680</v>
      </c>
      <c r="I1008" t="s">
        <v>3690</v>
      </c>
      <c r="J1008" t="s">
        <v>3693</v>
      </c>
      <c r="K1008" t="s">
        <v>3700</v>
      </c>
      <c r="L1008">
        <v>3</v>
      </c>
      <c r="M1008">
        <v>72000</v>
      </c>
      <c r="N1008" t="s">
        <v>3703</v>
      </c>
      <c r="O1008" t="s">
        <v>3707</v>
      </c>
      <c r="P1008" s="2">
        <f t="shared" si="75"/>
        <v>45800</v>
      </c>
      <c r="Q1008" t="str">
        <f t="shared" si="76"/>
        <v>Armaan Dani</v>
      </c>
      <c r="R1008" t="str">
        <f t="shared" si="77"/>
        <v>Pune</v>
      </c>
      <c r="S1008" t="str">
        <f t="shared" si="78"/>
        <v>Maharashtra</v>
      </c>
      <c r="T1008">
        <f t="shared" si="79"/>
        <v>216000</v>
      </c>
    </row>
    <row r="1009" spans="1:20" x14ac:dyDescent="0.35">
      <c r="A1009" t="s">
        <v>1022</v>
      </c>
      <c r="B1009" t="s">
        <v>1752</v>
      </c>
      <c r="C1009" t="s">
        <v>1935</v>
      </c>
      <c r="D1009" t="s">
        <v>3481</v>
      </c>
      <c r="E1009" t="s">
        <v>3672</v>
      </c>
      <c r="F1009">
        <v>22</v>
      </c>
      <c r="G1009" t="s">
        <v>3679</v>
      </c>
      <c r="H1009" t="s">
        <v>3684</v>
      </c>
      <c r="I1009" t="s">
        <v>3687</v>
      </c>
      <c r="J1009" t="s">
        <v>3693</v>
      </c>
      <c r="K1009" t="s">
        <v>3697</v>
      </c>
      <c r="L1009">
        <v>3</v>
      </c>
      <c r="M1009">
        <v>5000</v>
      </c>
      <c r="N1009" t="s">
        <v>3701</v>
      </c>
      <c r="O1009" t="s">
        <v>3707</v>
      </c>
      <c r="P1009" s="2">
        <f t="shared" si="75"/>
        <v>45696</v>
      </c>
      <c r="Q1009" t="str">
        <f t="shared" si="76"/>
        <v>Samarth Iyer</v>
      </c>
      <c r="R1009" t="str">
        <f t="shared" si="77"/>
        <v>Bengaluru</v>
      </c>
      <c r="S1009" t="str">
        <f t="shared" si="78"/>
        <v>Karnataka</v>
      </c>
      <c r="T1009">
        <f t="shared" si="79"/>
        <v>15000</v>
      </c>
    </row>
    <row r="1010" spans="1:20" x14ac:dyDescent="0.35">
      <c r="A1010" t="s">
        <v>1023</v>
      </c>
      <c r="B1010" t="s">
        <v>1753</v>
      </c>
      <c r="C1010" t="s">
        <v>2004</v>
      </c>
      <c r="D1010" t="s">
        <v>3482</v>
      </c>
      <c r="E1010" t="s">
        <v>3671</v>
      </c>
      <c r="F1010">
        <v>48</v>
      </c>
      <c r="G1010" t="s">
        <v>3679</v>
      </c>
      <c r="H1010" t="s">
        <v>3684</v>
      </c>
      <c r="I1010" t="s">
        <v>3685</v>
      </c>
      <c r="J1010" t="s">
        <v>3692</v>
      </c>
      <c r="K1010" t="s">
        <v>3695</v>
      </c>
      <c r="L1010">
        <v>1</v>
      </c>
      <c r="M1010">
        <v>12000</v>
      </c>
      <c r="N1010" t="s">
        <v>3703</v>
      </c>
      <c r="O1010" t="s">
        <v>3705</v>
      </c>
      <c r="P1010" s="2">
        <f t="shared" si="75"/>
        <v>45727</v>
      </c>
      <c r="Q1010" t="str">
        <f t="shared" si="76"/>
        <v>Zeeshan Gara</v>
      </c>
      <c r="R1010" t="str">
        <f t="shared" si="77"/>
        <v>Bengaluru</v>
      </c>
      <c r="S1010" t="str">
        <f t="shared" si="78"/>
        <v>Karnataka</v>
      </c>
      <c r="T1010">
        <f t="shared" si="79"/>
        <v>12000</v>
      </c>
    </row>
    <row r="1011" spans="1:20" x14ac:dyDescent="0.35">
      <c r="A1011" t="s">
        <v>1024</v>
      </c>
      <c r="B1011" t="s">
        <v>1668</v>
      </c>
      <c r="C1011" t="s">
        <v>2434</v>
      </c>
      <c r="D1011" t="s">
        <v>3440</v>
      </c>
      <c r="E1011" t="s">
        <v>3671</v>
      </c>
      <c r="F1011">
        <v>24</v>
      </c>
      <c r="G1011" t="s">
        <v>3679</v>
      </c>
      <c r="H1011" t="s">
        <v>3684</v>
      </c>
      <c r="I1011" t="s">
        <v>3691</v>
      </c>
      <c r="J1011" t="s">
        <v>3693</v>
      </c>
      <c r="K1011" t="s">
        <v>3696</v>
      </c>
      <c r="L1011">
        <v>3</v>
      </c>
      <c r="M1011">
        <v>58000</v>
      </c>
      <c r="N1011" t="s">
        <v>3701</v>
      </c>
      <c r="O1011" t="s">
        <v>3707</v>
      </c>
      <c r="P1011" s="2">
        <f t="shared" si="75"/>
        <v>45895</v>
      </c>
      <c r="Q1011" t="str">
        <f t="shared" si="76"/>
        <v>Pari Dyal</v>
      </c>
      <c r="R1011" t="str">
        <f t="shared" si="77"/>
        <v>Bengaluru</v>
      </c>
      <c r="S1011" t="str">
        <f t="shared" si="78"/>
        <v>Karnataka</v>
      </c>
      <c r="T1011">
        <f t="shared" si="79"/>
        <v>174000</v>
      </c>
    </row>
    <row r="1012" spans="1:20" x14ac:dyDescent="0.35">
      <c r="A1012" t="s">
        <v>1025</v>
      </c>
      <c r="B1012" t="s">
        <v>1393</v>
      </c>
      <c r="C1012" t="s">
        <v>2349</v>
      </c>
      <c r="D1012" t="s">
        <v>3483</v>
      </c>
      <c r="E1012" t="s">
        <v>3671</v>
      </c>
      <c r="F1012">
        <v>27</v>
      </c>
      <c r="G1012" t="s">
        <v>3677</v>
      </c>
      <c r="H1012" t="s">
        <v>3680</v>
      </c>
      <c r="I1012" t="s">
        <v>3689</v>
      </c>
      <c r="J1012" t="s">
        <v>3694</v>
      </c>
      <c r="K1012" t="s">
        <v>3699</v>
      </c>
      <c r="L1012">
        <v>4</v>
      </c>
      <c r="M1012">
        <v>1800</v>
      </c>
      <c r="N1012" t="s">
        <v>3704</v>
      </c>
      <c r="O1012" t="s">
        <v>3706</v>
      </c>
      <c r="P1012" s="2">
        <f t="shared" si="75"/>
        <v>45972</v>
      </c>
      <c r="Q1012" t="str">
        <f t="shared" si="76"/>
        <v>Ryan Sagar</v>
      </c>
      <c r="R1012" t="str">
        <f t="shared" si="77"/>
        <v>Mumbai</v>
      </c>
      <c r="S1012" t="str">
        <f t="shared" si="78"/>
        <v>Maharashtra</v>
      </c>
      <c r="T1012">
        <f t="shared" si="79"/>
        <v>7200</v>
      </c>
    </row>
    <row r="1013" spans="1:20" x14ac:dyDescent="0.35">
      <c r="A1013" t="s">
        <v>1026</v>
      </c>
      <c r="B1013" t="s">
        <v>1469</v>
      </c>
      <c r="C1013" t="s">
        <v>2104</v>
      </c>
      <c r="D1013" t="s">
        <v>3484</v>
      </c>
      <c r="E1013" t="s">
        <v>3672</v>
      </c>
      <c r="F1013">
        <v>39</v>
      </c>
      <c r="G1013" t="s">
        <v>3677</v>
      </c>
      <c r="H1013" t="s">
        <v>3680</v>
      </c>
      <c r="I1013" t="s">
        <v>3689</v>
      </c>
      <c r="J1013" t="s">
        <v>3694</v>
      </c>
      <c r="K1013" t="s">
        <v>3699</v>
      </c>
      <c r="L1013">
        <v>5</v>
      </c>
      <c r="M1013">
        <v>1800</v>
      </c>
      <c r="N1013" t="s">
        <v>3702</v>
      </c>
      <c r="O1013" t="s">
        <v>3706</v>
      </c>
      <c r="P1013" s="2">
        <f t="shared" si="75"/>
        <v>45788</v>
      </c>
      <c r="Q1013" t="str">
        <f t="shared" si="76"/>
        <v>Elakshi Yohannan</v>
      </c>
      <c r="R1013" t="str">
        <f t="shared" si="77"/>
        <v>Mumbai</v>
      </c>
      <c r="S1013" t="str">
        <f t="shared" si="78"/>
        <v>Maharashtra</v>
      </c>
      <c r="T1013">
        <f t="shared" si="79"/>
        <v>9000</v>
      </c>
    </row>
    <row r="1014" spans="1:20" x14ac:dyDescent="0.35">
      <c r="A1014" t="s">
        <v>1027</v>
      </c>
      <c r="B1014" t="s">
        <v>1619</v>
      </c>
      <c r="C1014" t="s">
        <v>2294</v>
      </c>
      <c r="D1014" t="s">
        <v>2651</v>
      </c>
      <c r="E1014" t="s">
        <v>3672</v>
      </c>
      <c r="F1014">
        <v>42</v>
      </c>
      <c r="G1014" t="s">
        <v>3679</v>
      </c>
      <c r="H1014" t="s">
        <v>3684</v>
      </c>
      <c r="I1014" t="s">
        <v>3685</v>
      </c>
      <c r="J1014" t="s">
        <v>3692</v>
      </c>
      <c r="K1014" t="s">
        <v>3695</v>
      </c>
      <c r="L1014">
        <v>1</v>
      </c>
      <c r="M1014">
        <v>12000</v>
      </c>
      <c r="N1014" t="s">
        <v>3701</v>
      </c>
      <c r="O1014" t="s">
        <v>3706</v>
      </c>
      <c r="P1014" s="2">
        <f t="shared" si="75"/>
        <v>45741</v>
      </c>
      <c r="Q1014" t="str">
        <f t="shared" si="76"/>
        <v>Abram Suresh</v>
      </c>
      <c r="R1014" t="str">
        <f t="shared" si="77"/>
        <v>Bengaluru</v>
      </c>
      <c r="S1014" t="str">
        <f t="shared" si="78"/>
        <v>Karnataka</v>
      </c>
      <c r="T1014">
        <f t="shared" si="79"/>
        <v>12000</v>
      </c>
    </row>
    <row r="1015" spans="1:20" x14ac:dyDescent="0.35">
      <c r="A1015" t="s">
        <v>1028</v>
      </c>
      <c r="B1015" t="s">
        <v>1716</v>
      </c>
      <c r="C1015" t="s">
        <v>2147</v>
      </c>
      <c r="D1015" t="s">
        <v>3485</v>
      </c>
      <c r="E1015" t="s">
        <v>3672</v>
      </c>
      <c r="F1015">
        <v>34</v>
      </c>
      <c r="G1015" t="s">
        <v>3678</v>
      </c>
      <c r="H1015" t="s">
        <v>3683</v>
      </c>
      <c r="I1015" t="s">
        <v>3691</v>
      </c>
      <c r="J1015" t="s">
        <v>3693</v>
      </c>
      <c r="K1015" t="s">
        <v>3696</v>
      </c>
      <c r="L1015">
        <v>2</v>
      </c>
      <c r="M1015">
        <v>58000</v>
      </c>
      <c r="N1015" t="s">
        <v>3701</v>
      </c>
      <c r="O1015" t="s">
        <v>3705</v>
      </c>
      <c r="P1015" s="2">
        <f t="shared" si="75"/>
        <v>45671</v>
      </c>
      <c r="Q1015" t="str">
        <f t="shared" si="76"/>
        <v>Inaaya Chakrabarti</v>
      </c>
      <c r="R1015" t="str">
        <f t="shared" si="77"/>
        <v>Hyderabad</v>
      </c>
      <c r="S1015" t="str">
        <f t="shared" si="78"/>
        <v>Telangana</v>
      </c>
      <c r="T1015">
        <f t="shared" si="79"/>
        <v>116000</v>
      </c>
    </row>
    <row r="1016" spans="1:20" x14ac:dyDescent="0.35">
      <c r="A1016" t="s">
        <v>1029</v>
      </c>
      <c r="B1016" t="s">
        <v>1340</v>
      </c>
      <c r="C1016" t="s">
        <v>2133</v>
      </c>
      <c r="D1016" t="s">
        <v>3486</v>
      </c>
      <c r="E1016" t="s">
        <v>3671</v>
      </c>
      <c r="F1016">
        <v>49</v>
      </c>
      <c r="G1016" t="s">
        <v>3679</v>
      </c>
      <c r="H1016" t="s">
        <v>3684</v>
      </c>
      <c r="I1016" t="s">
        <v>3686</v>
      </c>
      <c r="J1016" t="s">
        <v>3693</v>
      </c>
      <c r="K1016" t="s">
        <v>3696</v>
      </c>
      <c r="L1016">
        <v>4</v>
      </c>
      <c r="M1016">
        <v>65000</v>
      </c>
      <c r="N1016" t="s">
        <v>3702</v>
      </c>
      <c r="O1016" t="s">
        <v>3706</v>
      </c>
      <c r="P1016" s="2">
        <f t="shared" si="75"/>
        <v>46024</v>
      </c>
      <c r="Q1016" t="str">
        <f t="shared" si="76"/>
        <v>Armaan Vyas</v>
      </c>
      <c r="R1016" t="str">
        <f t="shared" si="77"/>
        <v>Bengaluru</v>
      </c>
      <c r="S1016" t="str">
        <f t="shared" si="78"/>
        <v>Karnataka</v>
      </c>
      <c r="T1016">
        <f t="shared" si="79"/>
        <v>260000</v>
      </c>
    </row>
    <row r="1017" spans="1:20" x14ac:dyDescent="0.35">
      <c r="A1017" t="s">
        <v>1030</v>
      </c>
      <c r="B1017" t="s">
        <v>1402</v>
      </c>
      <c r="C1017" t="s">
        <v>2237</v>
      </c>
      <c r="D1017" t="s">
        <v>3487</v>
      </c>
      <c r="E1017" t="s">
        <v>3671</v>
      </c>
      <c r="F1017">
        <v>21</v>
      </c>
      <c r="G1017" t="s">
        <v>3675</v>
      </c>
      <c r="H1017" t="s">
        <v>3681</v>
      </c>
      <c r="I1017" t="s">
        <v>3685</v>
      </c>
      <c r="J1017" t="s">
        <v>3692</v>
      </c>
      <c r="K1017" t="s">
        <v>3695</v>
      </c>
      <c r="L1017">
        <v>2</v>
      </c>
      <c r="M1017">
        <v>12000</v>
      </c>
      <c r="N1017" t="s">
        <v>3702</v>
      </c>
      <c r="O1017" t="s">
        <v>3705</v>
      </c>
      <c r="P1017" s="2">
        <f t="shared" si="75"/>
        <v>45770</v>
      </c>
      <c r="Q1017" t="str">
        <f t="shared" si="76"/>
        <v>Urvi Sachdeva</v>
      </c>
      <c r="R1017" t="str">
        <f t="shared" si="77"/>
        <v>Kolkata</v>
      </c>
      <c r="S1017" t="str">
        <f t="shared" si="78"/>
        <v>West Bengal</v>
      </c>
      <c r="T1017">
        <f t="shared" si="79"/>
        <v>24000</v>
      </c>
    </row>
    <row r="1018" spans="1:20" x14ac:dyDescent="0.35">
      <c r="A1018" t="s">
        <v>1031</v>
      </c>
      <c r="B1018" t="s">
        <v>1218</v>
      </c>
      <c r="C1018" t="s">
        <v>2435</v>
      </c>
      <c r="D1018" t="s">
        <v>3488</v>
      </c>
      <c r="E1018" t="s">
        <v>3672</v>
      </c>
      <c r="F1018">
        <v>18</v>
      </c>
      <c r="G1018" t="s">
        <v>3673</v>
      </c>
      <c r="H1018" t="s">
        <v>3673</v>
      </c>
      <c r="I1018" t="s">
        <v>3689</v>
      </c>
      <c r="J1018" t="s">
        <v>3694</v>
      </c>
      <c r="K1018" t="s">
        <v>3699</v>
      </c>
      <c r="L1018">
        <v>4</v>
      </c>
      <c r="M1018">
        <v>1800</v>
      </c>
      <c r="N1018" t="s">
        <v>3702</v>
      </c>
      <c r="O1018" t="s">
        <v>3707</v>
      </c>
      <c r="P1018" s="2">
        <f t="shared" si="75"/>
        <v>46010</v>
      </c>
      <c r="Q1018" t="str">
        <f t="shared" si="76"/>
        <v>Navya Kara</v>
      </c>
      <c r="R1018" t="str">
        <f t="shared" si="77"/>
        <v>Delhi</v>
      </c>
      <c r="S1018" t="str">
        <f t="shared" si="78"/>
        <v>Delhi</v>
      </c>
      <c r="T1018">
        <f t="shared" si="79"/>
        <v>7200</v>
      </c>
    </row>
    <row r="1019" spans="1:20" x14ac:dyDescent="0.35">
      <c r="A1019" t="s">
        <v>1032</v>
      </c>
      <c r="B1019" t="s">
        <v>1675</v>
      </c>
      <c r="C1019" t="s">
        <v>2296</v>
      </c>
      <c r="D1019" t="s">
        <v>3489</v>
      </c>
      <c r="E1019" t="s">
        <v>3672</v>
      </c>
      <c r="F1019">
        <v>60</v>
      </c>
      <c r="G1019" t="s">
        <v>3673</v>
      </c>
      <c r="H1019" t="s">
        <v>3673</v>
      </c>
      <c r="I1019" t="s">
        <v>3685</v>
      </c>
      <c r="J1019" t="s">
        <v>3692</v>
      </c>
      <c r="K1019" t="s">
        <v>3695</v>
      </c>
      <c r="L1019">
        <v>4</v>
      </c>
      <c r="M1019">
        <v>12000</v>
      </c>
      <c r="N1019" t="s">
        <v>3701</v>
      </c>
      <c r="O1019" t="s">
        <v>3707</v>
      </c>
      <c r="P1019" s="2">
        <f t="shared" si="75"/>
        <v>45949</v>
      </c>
      <c r="Q1019" t="str">
        <f t="shared" si="76"/>
        <v>Vanya Sodhi</v>
      </c>
      <c r="R1019" t="str">
        <f t="shared" si="77"/>
        <v>Delhi</v>
      </c>
      <c r="S1019" t="str">
        <f t="shared" si="78"/>
        <v>Delhi</v>
      </c>
      <c r="T1019">
        <f t="shared" si="79"/>
        <v>48000</v>
      </c>
    </row>
    <row r="1020" spans="1:20" x14ac:dyDescent="0.35">
      <c r="A1020" t="s">
        <v>1033</v>
      </c>
      <c r="B1020" t="s">
        <v>1754</v>
      </c>
      <c r="C1020" t="s">
        <v>2281</v>
      </c>
      <c r="D1020" t="s">
        <v>3490</v>
      </c>
      <c r="E1020" t="s">
        <v>3672</v>
      </c>
      <c r="F1020">
        <v>55</v>
      </c>
      <c r="G1020" t="s">
        <v>3679</v>
      </c>
      <c r="H1020" t="s">
        <v>3684</v>
      </c>
      <c r="I1020" t="s">
        <v>3691</v>
      </c>
      <c r="J1020" t="s">
        <v>3693</v>
      </c>
      <c r="K1020" t="s">
        <v>3696</v>
      </c>
      <c r="L1020">
        <v>3</v>
      </c>
      <c r="M1020">
        <v>58000</v>
      </c>
      <c r="N1020" t="s">
        <v>3703</v>
      </c>
      <c r="O1020" t="s">
        <v>3707</v>
      </c>
      <c r="P1020" s="2">
        <f t="shared" si="75"/>
        <v>46012</v>
      </c>
      <c r="Q1020" t="str">
        <f t="shared" si="76"/>
        <v>Ahana Loyal</v>
      </c>
      <c r="R1020" t="str">
        <f t="shared" si="77"/>
        <v>Bengaluru</v>
      </c>
      <c r="S1020" t="str">
        <f t="shared" si="78"/>
        <v>Karnataka</v>
      </c>
      <c r="T1020">
        <f t="shared" si="79"/>
        <v>174000</v>
      </c>
    </row>
    <row r="1021" spans="1:20" x14ac:dyDescent="0.35">
      <c r="A1021" t="s">
        <v>1034</v>
      </c>
      <c r="B1021" t="s">
        <v>1267</v>
      </c>
      <c r="C1021" t="s">
        <v>2274</v>
      </c>
      <c r="D1021" t="s">
        <v>3491</v>
      </c>
      <c r="E1021" t="s">
        <v>3672</v>
      </c>
      <c r="F1021">
        <v>59</v>
      </c>
      <c r="G1021" t="s">
        <v>3679</v>
      </c>
      <c r="H1021" t="s">
        <v>3684</v>
      </c>
      <c r="I1021" t="s">
        <v>3685</v>
      </c>
      <c r="J1021" t="s">
        <v>3692</v>
      </c>
      <c r="K1021" t="s">
        <v>3695</v>
      </c>
      <c r="L1021">
        <v>1</v>
      </c>
      <c r="M1021">
        <v>12000</v>
      </c>
      <c r="N1021" t="s">
        <v>3701</v>
      </c>
      <c r="O1021" t="s">
        <v>3707</v>
      </c>
      <c r="P1021" s="2">
        <f t="shared" si="75"/>
        <v>45945</v>
      </c>
      <c r="Q1021" t="str">
        <f t="shared" si="76"/>
        <v>Onkar Swaminathan</v>
      </c>
      <c r="R1021" t="str">
        <f t="shared" si="77"/>
        <v>Bengaluru</v>
      </c>
      <c r="S1021" t="str">
        <f t="shared" si="78"/>
        <v>Karnataka</v>
      </c>
      <c r="T1021">
        <f t="shared" si="79"/>
        <v>12000</v>
      </c>
    </row>
    <row r="1022" spans="1:20" x14ac:dyDescent="0.35">
      <c r="A1022" t="s">
        <v>1035</v>
      </c>
      <c r="B1022" t="s">
        <v>1755</v>
      </c>
      <c r="C1022" t="s">
        <v>2427</v>
      </c>
      <c r="D1022" t="s">
        <v>3492</v>
      </c>
      <c r="E1022" t="s">
        <v>3671</v>
      </c>
      <c r="F1022">
        <v>47</v>
      </c>
      <c r="G1022" t="s">
        <v>3677</v>
      </c>
      <c r="H1022" t="s">
        <v>3680</v>
      </c>
      <c r="I1022" t="s">
        <v>3686</v>
      </c>
      <c r="J1022" t="s">
        <v>3693</v>
      </c>
      <c r="K1022" t="s">
        <v>3696</v>
      </c>
      <c r="L1022">
        <v>3</v>
      </c>
      <c r="M1022">
        <v>65000</v>
      </c>
      <c r="N1022" t="s">
        <v>3704</v>
      </c>
      <c r="O1022" t="s">
        <v>3705</v>
      </c>
      <c r="P1022" s="2">
        <f t="shared" si="75"/>
        <v>46016</v>
      </c>
      <c r="Q1022" t="str">
        <f t="shared" si="76"/>
        <v>Kimaya Krish</v>
      </c>
      <c r="R1022" t="str">
        <f t="shared" si="77"/>
        <v>Mumbai</v>
      </c>
      <c r="S1022" t="str">
        <f t="shared" si="78"/>
        <v>Maharashtra</v>
      </c>
      <c r="T1022">
        <f t="shared" si="79"/>
        <v>195000</v>
      </c>
    </row>
    <row r="1023" spans="1:20" x14ac:dyDescent="0.35">
      <c r="A1023" t="s">
        <v>1036</v>
      </c>
      <c r="B1023" t="s">
        <v>1756</v>
      </c>
      <c r="C1023" t="s">
        <v>2436</v>
      </c>
      <c r="D1023" t="s">
        <v>3493</v>
      </c>
      <c r="E1023" t="s">
        <v>3672</v>
      </c>
      <c r="F1023">
        <v>34</v>
      </c>
      <c r="G1023" t="s">
        <v>3679</v>
      </c>
      <c r="H1023" t="s">
        <v>3684</v>
      </c>
      <c r="I1023" t="s">
        <v>3688</v>
      </c>
      <c r="J1023" t="s">
        <v>3694</v>
      </c>
      <c r="K1023" t="s">
        <v>3698</v>
      </c>
      <c r="L1023">
        <v>5</v>
      </c>
      <c r="M1023">
        <v>4500</v>
      </c>
      <c r="N1023" t="s">
        <v>3704</v>
      </c>
      <c r="O1023" t="s">
        <v>3705</v>
      </c>
      <c r="P1023" s="2">
        <f t="shared" si="75"/>
        <v>45764</v>
      </c>
      <c r="Q1023" t="str">
        <f t="shared" si="76"/>
        <v>Zeeshan Saini</v>
      </c>
      <c r="R1023" t="str">
        <f t="shared" si="77"/>
        <v>Bengaluru</v>
      </c>
      <c r="S1023" t="str">
        <f t="shared" si="78"/>
        <v>Karnataka</v>
      </c>
      <c r="T1023">
        <f t="shared" si="79"/>
        <v>22500</v>
      </c>
    </row>
    <row r="1024" spans="1:20" x14ac:dyDescent="0.35">
      <c r="A1024" t="s">
        <v>1037</v>
      </c>
      <c r="B1024" t="s">
        <v>1744</v>
      </c>
      <c r="C1024" t="s">
        <v>2243</v>
      </c>
      <c r="D1024" t="s">
        <v>3494</v>
      </c>
      <c r="E1024" t="s">
        <v>3671</v>
      </c>
      <c r="F1024">
        <v>22</v>
      </c>
      <c r="G1024" t="s">
        <v>3677</v>
      </c>
      <c r="H1024" t="s">
        <v>3680</v>
      </c>
      <c r="I1024" t="s">
        <v>3685</v>
      </c>
      <c r="J1024" t="s">
        <v>3692</v>
      </c>
      <c r="K1024" t="s">
        <v>3695</v>
      </c>
      <c r="L1024">
        <v>4</v>
      </c>
      <c r="M1024">
        <v>12000</v>
      </c>
      <c r="N1024" t="s">
        <v>3702</v>
      </c>
      <c r="O1024" t="s">
        <v>3706</v>
      </c>
      <c r="P1024" s="2">
        <f t="shared" si="75"/>
        <v>46008</v>
      </c>
      <c r="Q1024" t="str">
        <f t="shared" si="76"/>
        <v>Saksham Gopal</v>
      </c>
      <c r="R1024" t="str">
        <f t="shared" si="77"/>
        <v>Mumbai</v>
      </c>
      <c r="S1024" t="str">
        <f t="shared" si="78"/>
        <v>Maharashtra</v>
      </c>
      <c r="T1024">
        <f t="shared" si="79"/>
        <v>48000</v>
      </c>
    </row>
    <row r="1025" spans="1:20" x14ac:dyDescent="0.35">
      <c r="A1025" t="s">
        <v>1038</v>
      </c>
      <c r="B1025" t="s">
        <v>1721</v>
      </c>
      <c r="C1025" t="s">
        <v>2437</v>
      </c>
      <c r="D1025" t="s">
        <v>3495</v>
      </c>
      <c r="E1025" t="s">
        <v>3672</v>
      </c>
      <c r="F1025">
        <v>31</v>
      </c>
      <c r="G1025" t="s">
        <v>3675</v>
      </c>
      <c r="H1025" t="s">
        <v>3681</v>
      </c>
      <c r="I1025" t="s">
        <v>3687</v>
      </c>
      <c r="J1025" t="s">
        <v>3693</v>
      </c>
      <c r="K1025" t="s">
        <v>3697</v>
      </c>
      <c r="L1025">
        <v>3</v>
      </c>
      <c r="M1025">
        <v>5000</v>
      </c>
      <c r="N1025" t="s">
        <v>3702</v>
      </c>
      <c r="O1025" t="s">
        <v>3705</v>
      </c>
      <c r="P1025" s="2">
        <f t="shared" si="75"/>
        <v>45993</v>
      </c>
      <c r="Q1025" t="str">
        <f t="shared" si="76"/>
        <v>Ishaan Salvi</v>
      </c>
      <c r="R1025" t="str">
        <f t="shared" si="77"/>
        <v>Kolkata</v>
      </c>
      <c r="S1025" t="str">
        <f t="shared" si="78"/>
        <v>West Bengal</v>
      </c>
      <c r="T1025">
        <f t="shared" si="79"/>
        <v>15000</v>
      </c>
    </row>
    <row r="1026" spans="1:20" x14ac:dyDescent="0.35">
      <c r="A1026" t="s">
        <v>1039</v>
      </c>
      <c r="B1026" t="s">
        <v>1637</v>
      </c>
      <c r="C1026" t="s">
        <v>2438</v>
      </c>
      <c r="D1026" t="s">
        <v>3496</v>
      </c>
      <c r="E1026" t="s">
        <v>3672</v>
      </c>
      <c r="F1026">
        <v>27</v>
      </c>
      <c r="G1026" t="s">
        <v>3674</v>
      </c>
      <c r="H1026" t="s">
        <v>3680</v>
      </c>
      <c r="I1026" t="s">
        <v>3687</v>
      </c>
      <c r="J1026" t="s">
        <v>3693</v>
      </c>
      <c r="K1026" t="s">
        <v>3697</v>
      </c>
      <c r="L1026">
        <v>1</v>
      </c>
      <c r="M1026">
        <v>5000</v>
      </c>
      <c r="N1026" t="s">
        <v>3704</v>
      </c>
      <c r="O1026" t="s">
        <v>3706</v>
      </c>
      <c r="P1026" s="2">
        <f t="shared" si="75"/>
        <v>45808</v>
      </c>
      <c r="Q1026" t="str">
        <f t="shared" si="76"/>
        <v>Manikya Bhatia</v>
      </c>
      <c r="R1026" t="str">
        <f t="shared" si="77"/>
        <v>Pune</v>
      </c>
      <c r="S1026" t="str">
        <f t="shared" si="78"/>
        <v>Maharashtra</v>
      </c>
      <c r="T1026">
        <f t="shared" si="79"/>
        <v>5000</v>
      </c>
    </row>
    <row r="1027" spans="1:20" x14ac:dyDescent="0.35">
      <c r="A1027" t="s">
        <v>1040</v>
      </c>
      <c r="B1027" t="s">
        <v>1757</v>
      </c>
      <c r="C1027" t="s">
        <v>2256</v>
      </c>
      <c r="D1027" t="s">
        <v>3497</v>
      </c>
      <c r="E1027" t="s">
        <v>3672</v>
      </c>
      <c r="F1027">
        <v>32</v>
      </c>
      <c r="G1027" t="s">
        <v>3678</v>
      </c>
      <c r="H1027" t="s">
        <v>3683</v>
      </c>
      <c r="I1027" t="s">
        <v>3689</v>
      </c>
      <c r="J1027" t="s">
        <v>3694</v>
      </c>
      <c r="K1027" t="s">
        <v>3699</v>
      </c>
      <c r="L1027">
        <v>2</v>
      </c>
      <c r="M1027">
        <v>1800</v>
      </c>
      <c r="N1027" t="s">
        <v>3703</v>
      </c>
      <c r="O1027" t="s">
        <v>3706</v>
      </c>
      <c r="P1027" s="2">
        <f t="shared" ref="P1027:P1090" si="80">DATEVALUE(SUBSTITUTE(B1027,"/","-"))</f>
        <v>45814</v>
      </c>
      <c r="Q1027" t="str">
        <f t="shared" ref="Q1027:Q1090" si="81">TRIM(CLEAN(D1027))</f>
        <v>Rati Goel</v>
      </c>
      <c r="R1027" t="str">
        <f t="shared" ref="R1027:R1090" si="82">IF(G1027="","Unknown",G1027)</f>
        <v>Hyderabad</v>
      </c>
      <c r="S1027" t="str">
        <f t="shared" ref="S1027:S1090" si="83">IF(H1027="","Unknown",H1027)</f>
        <v>Telangana</v>
      </c>
      <c r="T1027">
        <f t="shared" ref="T1027:T1090" si="84">L1027*M1027</f>
        <v>3600</v>
      </c>
    </row>
    <row r="1028" spans="1:20" x14ac:dyDescent="0.35">
      <c r="A1028" t="s">
        <v>1041</v>
      </c>
      <c r="B1028" t="s">
        <v>1404</v>
      </c>
      <c r="C1028" t="s">
        <v>2071</v>
      </c>
      <c r="D1028" t="s">
        <v>3498</v>
      </c>
      <c r="E1028" t="s">
        <v>3672</v>
      </c>
      <c r="F1028">
        <v>55</v>
      </c>
      <c r="G1028" t="s">
        <v>3675</v>
      </c>
      <c r="H1028" t="s">
        <v>3681</v>
      </c>
      <c r="I1028" t="s">
        <v>3685</v>
      </c>
      <c r="J1028" t="s">
        <v>3692</v>
      </c>
      <c r="K1028" t="s">
        <v>3695</v>
      </c>
      <c r="L1028">
        <v>3</v>
      </c>
      <c r="M1028">
        <v>12000</v>
      </c>
      <c r="N1028" t="s">
        <v>3702</v>
      </c>
      <c r="O1028" t="s">
        <v>3706</v>
      </c>
      <c r="P1028" s="2">
        <f t="shared" si="80"/>
        <v>45920</v>
      </c>
      <c r="Q1028" t="str">
        <f t="shared" si="81"/>
        <v>Vanya Ray</v>
      </c>
      <c r="R1028" t="str">
        <f t="shared" si="82"/>
        <v>Kolkata</v>
      </c>
      <c r="S1028" t="str">
        <f t="shared" si="83"/>
        <v>West Bengal</v>
      </c>
      <c r="T1028">
        <f t="shared" si="84"/>
        <v>36000</v>
      </c>
    </row>
    <row r="1029" spans="1:20" x14ac:dyDescent="0.35">
      <c r="A1029" t="s">
        <v>1042</v>
      </c>
      <c r="B1029" t="s">
        <v>1394</v>
      </c>
      <c r="C1029" t="s">
        <v>2431</v>
      </c>
      <c r="D1029" t="s">
        <v>3499</v>
      </c>
      <c r="E1029" t="s">
        <v>3671</v>
      </c>
      <c r="F1029">
        <v>48</v>
      </c>
      <c r="G1029" t="s">
        <v>3676</v>
      </c>
      <c r="H1029" t="s">
        <v>3682</v>
      </c>
      <c r="I1029" t="s">
        <v>3690</v>
      </c>
      <c r="J1029" t="s">
        <v>3693</v>
      </c>
      <c r="K1029" t="s">
        <v>3700</v>
      </c>
      <c r="L1029">
        <v>4</v>
      </c>
      <c r="M1029">
        <v>72000</v>
      </c>
      <c r="N1029" t="s">
        <v>3703</v>
      </c>
      <c r="O1029" t="s">
        <v>3705</v>
      </c>
      <c r="P1029" s="2">
        <f t="shared" si="80"/>
        <v>46016</v>
      </c>
      <c r="Q1029" t="str">
        <f t="shared" si="81"/>
        <v>Abram Tailor</v>
      </c>
      <c r="R1029" t="str">
        <f t="shared" si="82"/>
        <v>Chennai</v>
      </c>
      <c r="S1029" t="str">
        <f t="shared" si="83"/>
        <v>Tamil Nadu</v>
      </c>
      <c r="T1029">
        <f t="shared" si="84"/>
        <v>288000</v>
      </c>
    </row>
    <row r="1030" spans="1:20" x14ac:dyDescent="0.35">
      <c r="A1030" t="s">
        <v>1043</v>
      </c>
      <c r="B1030" t="s">
        <v>1695</v>
      </c>
      <c r="C1030" t="s">
        <v>2428</v>
      </c>
      <c r="D1030" t="s">
        <v>3500</v>
      </c>
      <c r="E1030" t="s">
        <v>3672</v>
      </c>
      <c r="F1030">
        <v>54</v>
      </c>
      <c r="G1030" t="s">
        <v>3674</v>
      </c>
      <c r="H1030" t="s">
        <v>3680</v>
      </c>
      <c r="I1030" t="s">
        <v>3691</v>
      </c>
      <c r="J1030" t="s">
        <v>3693</v>
      </c>
      <c r="K1030" t="s">
        <v>3696</v>
      </c>
      <c r="L1030">
        <v>2</v>
      </c>
      <c r="M1030">
        <v>58000</v>
      </c>
      <c r="N1030" t="s">
        <v>3704</v>
      </c>
      <c r="O1030" t="s">
        <v>3705</v>
      </c>
      <c r="P1030" s="2">
        <f t="shared" si="80"/>
        <v>45948</v>
      </c>
      <c r="Q1030" t="str">
        <f t="shared" si="81"/>
        <v>Yuvraj Khosla</v>
      </c>
      <c r="R1030" t="str">
        <f t="shared" si="82"/>
        <v>Pune</v>
      </c>
      <c r="S1030" t="str">
        <f t="shared" si="83"/>
        <v>Maharashtra</v>
      </c>
      <c r="T1030">
        <f t="shared" si="84"/>
        <v>116000</v>
      </c>
    </row>
    <row r="1031" spans="1:20" x14ac:dyDescent="0.35">
      <c r="A1031" t="s">
        <v>1044</v>
      </c>
      <c r="B1031" t="s">
        <v>1338</v>
      </c>
      <c r="C1031" t="s">
        <v>2390</v>
      </c>
      <c r="D1031" t="s">
        <v>3501</v>
      </c>
      <c r="E1031" t="s">
        <v>3672</v>
      </c>
      <c r="F1031">
        <v>24</v>
      </c>
      <c r="G1031" t="s">
        <v>3673</v>
      </c>
      <c r="H1031" t="s">
        <v>3673</v>
      </c>
      <c r="I1031" t="s">
        <v>3687</v>
      </c>
      <c r="J1031" t="s">
        <v>3693</v>
      </c>
      <c r="K1031" t="s">
        <v>3697</v>
      </c>
      <c r="L1031">
        <v>2</v>
      </c>
      <c r="M1031">
        <v>5000</v>
      </c>
      <c r="N1031" t="s">
        <v>3703</v>
      </c>
      <c r="O1031" t="s">
        <v>3705</v>
      </c>
      <c r="P1031" s="2">
        <f t="shared" si="80"/>
        <v>45718</v>
      </c>
      <c r="Q1031" t="str">
        <f t="shared" si="81"/>
        <v>Amani Virk</v>
      </c>
      <c r="R1031" t="str">
        <f t="shared" si="82"/>
        <v>Delhi</v>
      </c>
      <c r="S1031" t="str">
        <f t="shared" si="83"/>
        <v>Delhi</v>
      </c>
      <c r="T1031">
        <f t="shared" si="84"/>
        <v>10000</v>
      </c>
    </row>
    <row r="1032" spans="1:20" x14ac:dyDescent="0.35">
      <c r="A1032" t="s">
        <v>1045</v>
      </c>
      <c r="B1032" t="s">
        <v>1661</v>
      </c>
      <c r="C1032" t="s">
        <v>2439</v>
      </c>
      <c r="D1032" t="s">
        <v>3502</v>
      </c>
      <c r="E1032" t="s">
        <v>3671</v>
      </c>
      <c r="F1032">
        <v>47</v>
      </c>
      <c r="G1032" t="s">
        <v>3677</v>
      </c>
      <c r="H1032" t="s">
        <v>3680</v>
      </c>
      <c r="I1032" t="s">
        <v>3686</v>
      </c>
      <c r="J1032" t="s">
        <v>3693</v>
      </c>
      <c r="K1032" t="s">
        <v>3696</v>
      </c>
      <c r="L1032">
        <v>4</v>
      </c>
      <c r="M1032">
        <v>65000</v>
      </c>
      <c r="N1032" t="s">
        <v>3701</v>
      </c>
      <c r="O1032" t="s">
        <v>3706</v>
      </c>
      <c r="P1032" s="2">
        <f t="shared" si="80"/>
        <v>45735</v>
      </c>
      <c r="Q1032" t="str">
        <f t="shared" si="81"/>
        <v>Keya Bahl</v>
      </c>
      <c r="R1032" t="str">
        <f t="shared" si="82"/>
        <v>Mumbai</v>
      </c>
      <c r="S1032" t="str">
        <f t="shared" si="83"/>
        <v>Maharashtra</v>
      </c>
      <c r="T1032">
        <f t="shared" si="84"/>
        <v>260000</v>
      </c>
    </row>
    <row r="1033" spans="1:20" x14ac:dyDescent="0.35">
      <c r="A1033" t="s">
        <v>1046</v>
      </c>
      <c r="B1033" t="s">
        <v>1684</v>
      </c>
      <c r="C1033" t="s">
        <v>1824</v>
      </c>
      <c r="D1033" t="s">
        <v>3503</v>
      </c>
      <c r="E1033" t="s">
        <v>3672</v>
      </c>
      <c r="F1033">
        <v>46</v>
      </c>
      <c r="G1033" t="s">
        <v>3679</v>
      </c>
      <c r="H1033" t="s">
        <v>3684</v>
      </c>
      <c r="I1033" t="s">
        <v>3685</v>
      </c>
      <c r="J1033" t="s">
        <v>3692</v>
      </c>
      <c r="K1033" t="s">
        <v>3695</v>
      </c>
      <c r="L1033">
        <v>4</v>
      </c>
      <c r="M1033">
        <v>12000</v>
      </c>
      <c r="N1033" t="s">
        <v>3704</v>
      </c>
      <c r="O1033" t="s">
        <v>3706</v>
      </c>
      <c r="P1033" s="2">
        <f t="shared" si="80"/>
        <v>45943</v>
      </c>
      <c r="Q1033" t="str">
        <f t="shared" si="81"/>
        <v>Yuvaan Dixit</v>
      </c>
      <c r="R1033" t="str">
        <f t="shared" si="82"/>
        <v>Bengaluru</v>
      </c>
      <c r="S1033" t="str">
        <f t="shared" si="83"/>
        <v>Karnataka</v>
      </c>
      <c r="T1033">
        <f t="shared" si="84"/>
        <v>48000</v>
      </c>
    </row>
    <row r="1034" spans="1:20" x14ac:dyDescent="0.35">
      <c r="A1034" t="s">
        <v>1047</v>
      </c>
      <c r="B1034" t="s">
        <v>1714</v>
      </c>
      <c r="C1034" t="s">
        <v>2286</v>
      </c>
      <c r="D1034" t="s">
        <v>3504</v>
      </c>
      <c r="E1034" t="s">
        <v>3672</v>
      </c>
      <c r="F1034">
        <v>21</v>
      </c>
      <c r="G1034" t="s">
        <v>3679</v>
      </c>
      <c r="H1034" t="s">
        <v>3684</v>
      </c>
      <c r="I1034" t="s">
        <v>3688</v>
      </c>
      <c r="J1034" t="s">
        <v>3694</v>
      </c>
      <c r="K1034" t="s">
        <v>3698</v>
      </c>
      <c r="L1034">
        <v>4</v>
      </c>
      <c r="M1034">
        <v>4500</v>
      </c>
      <c r="N1034" t="s">
        <v>3703</v>
      </c>
      <c r="O1034" t="s">
        <v>3705</v>
      </c>
      <c r="P1034" s="2">
        <f t="shared" si="80"/>
        <v>45840</v>
      </c>
      <c r="Q1034" t="str">
        <f t="shared" si="81"/>
        <v>Advik Bassi</v>
      </c>
      <c r="R1034" t="str">
        <f t="shared" si="82"/>
        <v>Bengaluru</v>
      </c>
      <c r="S1034" t="str">
        <f t="shared" si="83"/>
        <v>Karnataka</v>
      </c>
      <c r="T1034">
        <f t="shared" si="84"/>
        <v>18000</v>
      </c>
    </row>
    <row r="1035" spans="1:20" x14ac:dyDescent="0.35">
      <c r="A1035" t="s">
        <v>1048</v>
      </c>
      <c r="B1035" t="s">
        <v>1362</v>
      </c>
      <c r="C1035" t="s">
        <v>1934</v>
      </c>
      <c r="D1035" t="s">
        <v>3505</v>
      </c>
      <c r="E1035" t="s">
        <v>3672</v>
      </c>
      <c r="F1035">
        <v>32</v>
      </c>
      <c r="G1035" t="s">
        <v>3677</v>
      </c>
      <c r="H1035" t="s">
        <v>3680</v>
      </c>
      <c r="I1035" t="s">
        <v>3685</v>
      </c>
      <c r="J1035" t="s">
        <v>3692</v>
      </c>
      <c r="K1035" t="s">
        <v>3695</v>
      </c>
      <c r="L1035">
        <v>3</v>
      </c>
      <c r="M1035">
        <v>12000</v>
      </c>
      <c r="N1035" t="s">
        <v>3704</v>
      </c>
      <c r="O1035" t="s">
        <v>3706</v>
      </c>
      <c r="P1035" s="2">
        <f t="shared" si="80"/>
        <v>45674</v>
      </c>
      <c r="Q1035" t="str">
        <f t="shared" si="81"/>
        <v>Tejas Ganesan</v>
      </c>
      <c r="R1035" t="str">
        <f t="shared" si="82"/>
        <v>Mumbai</v>
      </c>
      <c r="S1035" t="str">
        <f t="shared" si="83"/>
        <v>Maharashtra</v>
      </c>
      <c r="T1035">
        <f t="shared" si="84"/>
        <v>36000</v>
      </c>
    </row>
    <row r="1036" spans="1:20" x14ac:dyDescent="0.35">
      <c r="A1036" t="s">
        <v>1049</v>
      </c>
      <c r="B1036" t="s">
        <v>1239</v>
      </c>
      <c r="C1036" t="s">
        <v>2345</v>
      </c>
      <c r="D1036" t="s">
        <v>3506</v>
      </c>
      <c r="E1036" t="s">
        <v>3671</v>
      </c>
      <c r="F1036">
        <v>23</v>
      </c>
      <c r="G1036" t="s">
        <v>3673</v>
      </c>
      <c r="H1036" t="s">
        <v>3673</v>
      </c>
      <c r="I1036" t="s">
        <v>3689</v>
      </c>
      <c r="J1036" t="s">
        <v>3694</v>
      </c>
      <c r="K1036" t="s">
        <v>3699</v>
      </c>
      <c r="L1036">
        <v>4</v>
      </c>
      <c r="M1036">
        <v>1800</v>
      </c>
      <c r="N1036" t="s">
        <v>3701</v>
      </c>
      <c r="O1036" t="s">
        <v>3705</v>
      </c>
      <c r="P1036" s="2">
        <f t="shared" si="80"/>
        <v>45667</v>
      </c>
      <c r="Q1036" t="str">
        <f t="shared" si="81"/>
        <v>Madhup Shroff</v>
      </c>
      <c r="R1036" t="str">
        <f t="shared" si="82"/>
        <v>Delhi</v>
      </c>
      <c r="S1036" t="str">
        <f t="shared" si="83"/>
        <v>Delhi</v>
      </c>
      <c r="T1036">
        <f t="shared" si="84"/>
        <v>7200</v>
      </c>
    </row>
    <row r="1037" spans="1:20" x14ac:dyDescent="0.35">
      <c r="A1037" t="s">
        <v>1050</v>
      </c>
      <c r="B1037" t="s">
        <v>1758</v>
      </c>
      <c r="C1037" t="s">
        <v>1828</v>
      </c>
      <c r="D1037" t="s">
        <v>3507</v>
      </c>
      <c r="E1037" t="s">
        <v>3671</v>
      </c>
      <c r="F1037">
        <v>45</v>
      </c>
      <c r="G1037" t="s">
        <v>3675</v>
      </c>
      <c r="H1037" t="s">
        <v>3681</v>
      </c>
      <c r="I1037" t="s">
        <v>3689</v>
      </c>
      <c r="J1037" t="s">
        <v>3694</v>
      </c>
      <c r="K1037" t="s">
        <v>3699</v>
      </c>
      <c r="L1037">
        <v>3</v>
      </c>
      <c r="M1037">
        <v>1800</v>
      </c>
      <c r="N1037" t="s">
        <v>3702</v>
      </c>
      <c r="O1037" t="s">
        <v>3706</v>
      </c>
      <c r="P1037" s="2">
        <f t="shared" si="80"/>
        <v>45680</v>
      </c>
      <c r="Q1037" t="str">
        <f t="shared" si="81"/>
        <v>Umang Bhardwaj</v>
      </c>
      <c r="R1037" t="str">
        <f t="shared" si="82"/>
        <v>Kolkata</v>
      </c>
      <c r="S1037" t="str">
        <f t="shared" si="83"/>
        <v>West Bengal</v>
      </c>
      <c r="T1037">
        <f t="shared" si="84"/>
        <v>5400</v>
      </c>
    </row>
    <row r="1038" spans="1:20" x14ac:dyDescent="0.35">
      <c r="A1038" t="s">
        <v>1051</v>
      </c>
      <c r="B1038" t="s">
        <v>1301</v>
      </c>
      <c r="C1038" t="s">
        <v>1833</v>
      </c>
      <c r="D1038" t="s">
        <v>3508</v>
      </c>
      <c r="E1038" t="s">
        <v>3671</v>
      </c>
      <c r="F1038">
        <v>37</v>
      </c>
      <c r="G1038" t="s">
        <v>3673</v>
      </c>
      <c r="H1038" t="s">
        <v>3673</v>
      </c>
      <c r="I1038" t="s">
        <v>3687</v>
      </c>
      <c r="J1038" t="s">
        <v>3693</v>
      </c>
      <c r="K1038" t="s">
        <v>3697</v>
      </c>
      <c r="L1038">
        <v>3</v>
      </c>
      <c r="M1038">
        <v>5000</v>
      </c>
      <c r="N1038" t="s">
        <v>3701</v>
      </c>
      <c r="O1038" t="s">
        <v>3706</v>
      </c>
      <c r="P1038" s="2">
        <f t="shared" si="80"/>
        <v>45815</v>
      </c>
      <c r="Q1038" t="str">
        <f t="shared" si="81"/>
        <v>Anahita Kale</v>
      </c>
      <c r="R1038" t="str">
        <f t="shared" si="82"/>
        <v>Delhi</v>
      </c>
      <c r="S1038" t="str">
        <f t="shared" si="83"/>
        <v>Delhi</v>
      </c>
      <c r="T1038">
        <f t="shared" si="84"/>
        <v>15000</v>
      </c>
    </row>
    <row r="1039" spans="1:20" x14ac:dyDescent="0.35">
      <c r="A1039" t="s">
        <v>1052</v>
      </c>
      <c r="B1039" t="s">
        <v>1415</v>
      </c>
      <c r="C1039" t="s">
        <v>2334</v>
      </c>
      <c r="D1039" t="s">
        <v>3509</v>
      </c>
      <c r="E1039" t="s">
        <v>3671</v>
      </c>
      <c r="F1039">
        <v>32</v>
      </c>
      <c r="G1039" t="s">
        <v>3679</v>
      </c>
      <c r="H1039" t="s">
        <v>3684</v>
      </c>
      <c r="I1039" t="s">
        <v>3689</v>
      </c>
      <c r="J1039" t="s">
        <v>3694</v>
      </c>
      <c r="K1039" t="s">
        <v>3699</v>
      </c>
      <c r="L1039">
        <v>5</v>
      </c>
      <c r="M1039">
        <v>1800</v>
      </c>
      <c r="N1039" t="s">
        <v>3704</v>
      </c>
      <c r="O1039" t="s">
        <v>3707</v>
      </c>
      <c r="P1039" s="2">
        <f t="shared" si="80"/>
        <v>45951</v>
      </c>
      <c r="Q1039" t="str">
        <f t="shared" si="81"/>
        <v>Anaya Shroff</v>
      </c>
      <c r="R1039" t="str">
        <f t="shared" si="82"/>
        <v>Bengaluru</v>
      </c>
      <c r="S1039" t="str">
        <f t="shared" si="83"/>
        <v>Karnataka</v>
      </c>
      <c r="T1039">
        <f t="shared" si="84"/>
        <v>9000</v>
      </c>
    </row>
    <row r="1040" spans="1:20" x14ac:dyDescent="0.35">
      <c r="A1040" t="s">
        <v>1053</v>
      </c>
      <c r="B1040" t="s">
        <v>1428</v>
      </c>
      <c r="C1040" t="s">
        <v>2124</v>
      </c>
      <c r="D1040" t="s">
        <v>3510</v>
      </c>
      <c r="E1040" t="s">
        <v>3672</v>
      </c>
      <c r="F1040">
        <v>46</v>
      </c>
      <c r="G1040" t="s">
        <v>3675</v>
      </c>
      <c r="H1040" t="s">
        <v>3681</v>
      </c>
      <c r="I1040" t="s">
        <v>3690</v>
      </c>
      <c r="J1040" t="s">
        <v>3693</v>
      </c>
      <c r="K1040" t="s">
        <v>3700</v>
      </c>
      <c r="L1040">
        <v>5</v>
      </c>
      <c r="M1040">
        <v>72000</v>
      </c>
      <c r="N1040" t="s">
        <v>3701</v>
      </c>
      <c r="O1040" t="s">
        <v>3707</v>
      </c>
      <c r="P1040" s="2">
        <f t="shared" si="80"/>
        <v>45960</v>
      </c>
      <c r="Q1040" t="str">
        <f t="shared" si="81"/>
        <v>Kabir Thakkar</v>
      </c>
      <c r="R1040" t="str">
        <f t="shared" si="82"/>
        <v>Kolkata</v>
      </c>
      <c r="S1040" t="str">
        <f t="shared" si="83"/>
        <v>West Bengal</v>
      </c>
      <c r="T1040">
        <f t="shared" si="84"/>
        <v>360000</v>
      </c>
    </row>
    <row r="1041" spans="1:20" x14ac:dyDescent="0.35">
      <c r="A1041" t="s">
        <v>1054</v>
      </c>
      <c r="B1041" t="s">
        <v>1282</v>
      </c>
      <c r="C1041" t="s">
        <v>2440</v>
      </c>
      <c r="D1041" t="s">
        <v>3511</v>
      </c>
      <c r="E1041" t="s">
        <v>3672</v>
      </c>
      <c r="F1041">
        <v>53</v>
      </c>
      <c r="G1041" t="s">
        <v>3673</v>
      </c>
      <c r="H1041" t="s">
        <v>3673</v>
      </c>
      <c r="I1041" t="s">
        <v>3686</v>
      </c>
      <c r="J1041" t="s">
        <v>3693</v>
      </c>
      <c r="K1041" t="s">
        <v>3696</v>
      </c>
      <c r="L1041">
        <v>1</v>
      </c>
      <c r="M1041">
        <v>65000</v>
      </c>
      <c r="N1041" t="s">
        <v>3701</v>
      </c>
      <c r="O1041" t="s">
        <v>3705</v>
      </c>
      <c r="P1041" s="2">
        <f t="shared" si="80"/>
        <v>46019</v>
      </c>
      <c r="Q1041" t="str">
        <f t="shared" si="81"/>
        <v>Dhanuk Deo</v>
      </c>
      <c r="R1041" t="str">
        <f t="shared" si="82"/>
        <v>Delhi</v>
      </c>
      <c r="S1041" t="str">
        <f t="shared" si="83"/>
        <v>Delhi</v>
      </c>
      <c r="T1041">
        <f t="shared" si="84"/>
        <v>65000</v>
      </c>
    </row>
    <row r="1042" spans="1:20" x14ac:dyDescent="0.35">
      <c r="A1042" t="s">
        <v>1055</v>
      </c>
      <c r="B1042" t="s">
        <v>1492</v>
      </c>
      <c r="C1042" t="s">
        <v>2293</v>
      </c>
      <c r="D1042" t="s">
        <v>3512</v>
      </c>
      <c r="E1042" t="s">
        <v>3671</v>
      </c>
      <c r="F1042">
        <v>50</v>
      </c>
      <c r="G1042" t="s">
        <v>3675</v>
      </c>
      <c r="H1042" t="s">
        <v>3681</v>
      </c>
      <c r="I1042" t="s">
        <v>3688</v>
      </c>
      <c r="J1042" t="s">
        <v>3694</v>
      </c>
      <c r="K1042" t="s">
        <v>3698</v>
      </c>
      <c r="L1042">
        <v>5</v>
      </c>
      <c r="M1042">
        <v>4500</v>
      </c>
      <c r="N1042" t="s">
        <v>3702</v>
      </c>
      <c r="O1042" t="s">
        <v>3707</v>
      </c>
      <c r="P1042" s="2">
        <f t="shared" si="80"/>
        <v>45720</v>
      </c>
      <c r="Q1042" t="str">
        <f t="shared" si="81"/>
        <v>Anahi Sankar</v>
      </c>
      <c r="R1042" t="str">
        <f t="shared" si="82"/>
        <v>Kolkata</v>
      </c>
      <c r="S1042" t="str">
        <f t="shared" si="83"/>
        <v>West Bengal</v>
      </c>
      <c r="T1042">
        <f t="shared" si="84"/>
        <v>22500</v>
      </c>
    </row>
    <row r="1043" spans="1:20" x14ac:dyDescent="0.35">
      <c r="A1043" t="s">
        <v>1056</v>
      </c>
      <c r="B1043" t="s">
        <v>1230</v>
      </c>
      <c r="C1043" t="s">
        <v>1833</v>
      </c>
      <c r="D1043" t="s">
        <v>3513</v>
      </c>
      <c r="E1043" t="s">
        <v>3671</v>
      </c>
      <c r="F1043">
        <v>25</v>
      </c>
      <c r="G1043" t="s">
        <v>3675</v>
      </c>
      <c r="H1043" t="s">
        <v>3681</v>
      </c>
      <c r="I1043" t="s">
        <v>3690</v>
      </c>
      <c r="J1043" t="s">
        <v>3693</v>
      </c>
      <c r="K1043" t="s">
        <v>3700</v>
      </c>
      <c r="L1043">
        <v>1</v>
      </c>
      <c r="M1043">
        <v>72000</v>
      </c>
      <c r="N1043" t="s">
        <v>3704</v>
      </c>
      <c r="O1043" t="s">
        <v>3705</v>
      </c>
      <c r="P1043" s="2">
        <f t="shared" si="80"/>
        <v>45790</v>
      </c>
      <c r="Q1043" t="str">
        <f t="shared" si="81"/>
        <v>Lakshit Gulati</v>
      </c>
      <c r="R1043" t="str">
        <f t="shared" si="82"/>
        <v>Kolkata</v>
      </c>
      <c r="S1043" t="str">
        <f t="shared" si="83"/>
        <v>West Bengal</v>
      </c>
      <c r="T1043">
        <f t="shared" si="84"/>
        <v>72000</v>
      </c>
    </row>
    <row r="1044" spans="1:20" x14ac:dyDescent="0.35">
      <c r="A1044" t="s">
        <v>1057</v>
      </c>
      <c r="B1044" t="s">
        <v>1722</v>
      </c>
      <c r="C1044" t="s">
        <v>1943</v>
      </c>
      <c r="D1044" t="s">
        <v>3514</v>
      </c>
      <c r="E1044" t="s">
        <v>3672</v>
      </c>
      <c r="F1044">
        <v>23</v>
      </c>
      <c r="G1044" t="s">
        <v>3673</v>
      </c>
      <c r="H1044" t="s">
        <v>3673</v>
      </c>
      <c r="I1044" t="s">
        <v>3685</v>
      </c>
      <c r="J1044" t="s">
        <v>3692</v>
      </c>
      <c r="K1044" t="s">
        <v>3695</v>
      </c>
      <c r="L1044">
        <v>1</v>
      </c>
      <c r="M1044">
        <v>12000</v>
      </c>
      <c r="N1044" t="s">
        <v>3704</v>
      </c>
      <c r="O1044" t="s">
        <v>3707</v>
      </c>
      <c r="P1044" s="2">
        <f t="shared" si="80"/>
        <v>45796</v>
      </c>
      <c r="Q1044" t="str">
        <f t="shared" si="81"/>
        <v>Yuvaan Dayal</v>
      </c>
      <c r="R1044" t="str">
        <f t="shared" si="82"/>
        <v>Delhi</v>
      </c>
      <c r="S1044" t="str">
        <f t="shared" si="83"/>
        <v>Delhi</v>
      </c>
      <c r="T1044">
        <f t="shared" si="84"/>
        <v>12000</v>
      </c>
    </row>
    <row r="1045" spans="1:20" x14ac:dyDescent="0.35">
      <c r="A1045" t="s">
        <v>1058</v>
      </c>
      <c r="B1045" t="s">
        <v>1379</v>
      </c>
      <c r="C1045" t="s">
        <v>2082</v>
      </c>
      <c r="D1045" t="s">
        <v>3515</v>
      </c>
      <c r="E1045" t="s">
        <v>3671</v>
      </c>
      <c r="F1045">
        <v>40</v>
      </c>
      <c r="G1045" t="s">
        <v>3674</v>
      </c>
      <c r="H1045" t="s">
        <v>3680</v>
      </c>
      <c r="I1045" t="s">
        <v>3690</v>
      </c>
      <c r="J1045" t="s">
        <v>3693</v>
      </c>
      <c r="K1045" t="s">
        <v>3700</v>
      </c>
      <c r="L1045">
        <v>5</v>
      </c>
      <c r="M1045">
        <v>72000</v>
      </c>
      <c r="N1045" t="s">
        <v>3702</v>
      </c>
      <c r="O1045" t="s">
        <v>3706</v>
      </c>
      <c r="P1045" s="2">
        <f t="shared" si="80"/>
        <v>45873</v>
      </c>
      <c r="Q1045" t="str">
        <f t="shared" si="81"/>
        <v>Anay Ganesan</v>
      </c>
      <c r="R1045" t="str">
        <f t="shared" si="82"/>
        <v>Pune</v>
      </c>
      <c r="S1045" t="str">
        <f t="shared" si="83"/>
        <v>Maharashtra</v>
      </c>
      <c r="T1045">
        <f t="shared" si="84"/>
        <v>360000</v>
      </c>
    </row>
    <row r="1046" spans="1:20" x14ac:dyDescent="0.35">
      <c r="A1046" t="s">
        <v>1059</v>
      </c>
      <c r="B1046" t="s">
        <v>1704</v>
      </c>
      <c r="C1046" t="s">
        <v>2168</v>
      </c>
      <c r="D1046" t="s">
        <v>3516</v>
      </c>
      <c r="E1046" t="s">
        <v>3672</v>
      </c>
      <c r="F1046">
        <v>22</v>
      </c>
      <c r="G1046" t="s">
        <v>3677</v>
      </c>
      <c r="H1046" t="s">
        <v>3680</v>
      </c>
      <c r="I1046" t="s">
        <v>3690</v>
      </c>
      <c r="J1046" t="s">
        <v>3693</v>
      </c>
      <c r="K1046" t="s">
        <v>3700</v>
      </c>
      <c r="L1046">
        <v>1</v>
      </c>
      <c r="M1046">
        <v>72000</v>
      </c>
      <c r="N1046" t="s">
        <v>3704</v>
      </c>
      <c r="O1046" t="s">
        <v>3705</v>
      </c>
      <c r="P1046" s="2">
        <f t="shared" si="80"/>
        <v>45752</v>
      </c>
      <c r="Q1046" t="str">
        <f t="shared" si="81"/>
        <v>Kaira Ahluwalia</v>
      </c>
      <c r="R1046" t="str">
        <f t="shared" si="82"/>
        <v>Mumbai</v>
      </c>
      <c r="S1046" t="str">
        <f t="shared" si="83"/>
        <v>Maharashtra</v>
      </c>
      <c r="T1046">
        <f t="shared" si="84"/>
        <v>72000</v>
      </c>
    </row>
    <row r="1047" spans="1:20" x14ac:dyDescent="0.35">
      <c r="A1047" t="s">
        <v>1060</v>
      </c>
      <c r="B1047" t="s">
        <v>1701</v>
      </c>
      <c r="C1047" t="s">
        <v>2046</v>
      </c>
      <c r="D1047" t="s">
        <v>3517</v>
      </c>
      <c r="E1047" t="s">
        <v>3672</v>
      </c>
      <c r="F1047">
        <v>27</v>
      </c>
      <c r="G1047" t="s">
        <v>3673</v>
      </c>
      <c r="H1047" t="s">
        <v>3673</v>
      </c>
      <c r="I1047" t="s">
        <v>3686</v>
      </c>
      <c r="J1047" t="s">
        <v>3693</v>
      </c>
      <c r="K1047" t="s">
        <v>3696</v>
      </c>
      <c r="L1047">
        <v>4</v>
      </c>
      <c r="M1047">
        <v>65000</v>
      </c>
      <c r="N1047" t="s">
        <v>3701</v>
      </c>
      <c r="O1047" t="s">
        <v>3706</v>
      </c>
      <c r="P1047" s="2">
        <f t="shared" si="80"/>
        <v>45779</v>
      </c>
      <c r="Q1047" t="str">
        <f t="shared" si="81"/>
        <v>Charvi Rege</v>
      </c>
      <c r="R1047" t="str">
        <f t="shared" si="82"/>
        <v>Delhi</v>
      </c>
      <c r="S1047" t="str">
        <f t="shared" si="83"/>
        <v>Delhi</v>
      </c>
      <c r="T1047">
        <f t="shared" si="84"/>
        <v>260000</v>
      </c>
    </row>
    <row r="1048" spans="1:20" x14ac:dyDescent="0.35">
      <c r="A1048" t="s">
        <v>1061</v>
      </c>
      <c r="B1048" t="s">
        <v>1453</v>
      </c>
      <c r="C1048" t="s">
        <v>2441</v>
      </c>
      <c r="D1048" t="s">
        <v>3518</v>
      </c>
      <c r="E1048" t="s">
        <v>3672</v>
      </c>
      <c r="F1048">
        <v>23</v>
      </c>
      <c r="G1048" t="s">
        <v>3673</v>
      </c>
      <c r="H1048" t="s">
        <v>3673</v>
      </c>
      <c r="I1048" t="s">
        <v>3691</v>
      </c>
      <c r="J1048" t="s">
        <v>3693</v>
      </c>
      <c r="K1048" t="s">
        <v>3696</v>
      </c>
      <c r="L1048">
        <v>2</v>
      </c>
      <c r="M1048">
        <v>58000</v>
      </c>
      <c r="N1048" t="s">
        <v>3702</v>
      </c>
      <c r="O1048" t="s">
        <v>3707</v>
      </c>
      <c r="P1048" s="2">
        <f t="shared" si="80"/>
        <v>45717</v>
      </c>
      <c r="Q1048" t="str">
        <f t="shared" si="81"/>
        <v>Jayant Dugar</v>
      </c>
      <c r="R1048" t="str">
        <f t="shared" si="82"/>
        <v>Delhi</v>
      </c>
      <c r="S1048" t="str">
        <f t="shared" si="83"/>
        <v>Delhi</v>
      </c>
      <c r="T1048">
        <f t="shared" si="84"/>
        <v>116000</v>
      </c>
    </row>
    <row r="1049" spans="1:20" x14ac:dyDescent="0.35">
      <c r="A1049" t="s">
        <v>1062</v>
      </c>
      <c r="B1049" t="s">
        <v>1728</v>
      </c>
      <c r="C1049" t="s">
        <v>2374</v>
      </c>
      <c r="D1049" t="s">
        <v>3519</v>
      </c>
      <c r="E1049" t="s">
        <v>3672</v>
      </c>
      <c r="F1049">
        <v>57</v>
      </c>
      <c r="G1049" t="s">
        <v>3674</v>
      </c>
      <c r="H1049" t="s">
        <v>3680</v>
      </c>
      <c r="I1049" t="s">
        <v>3689</v>
      </c>
      <c r="J1049" t="s">
        <v>3694</v>
      </c>
      <c r="K1049" t="s">
        <v>3699</v>
      </c>
      <c r="L1049">
        <v>4</v>
      </c>
      <c r="M1049">
        <v>1800</v>
      </c>
      <c r="N1049" t="s">
        <v>3701</v>
      </c>
      <c r="O1049" t="s">
        <v>3706</v>
      </c>
      <c r="P1049" s="2">
        <f t="shared" si="80"/>
        <v>45745</v>
      </c>
      <c r="Q1049" t="str">
        <f t="shared" si="81"/>
        <v>Vivaan Agarwal</v>
      </c>
      <c r="R1049" t="str">
        <f t="shared" si="82"/>
        <v>Pune</v>
      </c>
      <c r="S1049" t="str">
        <f t="shared" si="83"/>
        <v>Maharashtra</v>
      </c>
      <c r="T1049">
        <f t="shared" si="84"/>
        <v>7200</v>
      </c>
    </row>
    <row r="1050" spans="1:20" x14ac:dyDescent="0.35">
      <c r="A1050" t="s">
        <v>1063</v>
      </c>
      <c r="B1050" t="s">
        <v>1248</v>
      </c>
      <c r="C1050" t="s">
        <v>2442</v>
      </c>
      <c r="D1050" t="s">
        <v>3520</v>
      </c>
      <c r="E1050" t="s">
        <v>3671</v>
      </c>
      <c r="F1050">
        <v>33</v>
      </c>
      <c r="G1050" t="s">
        <v>3676</v>
      </c>
      <c r="H1050" t="s">
        <v>3682</v>
      </c>
      <c r="I1050" t="s">
        <v>3686</v>
      </c>
      <c r="J1050" t="s">
        <v>3693</v>
      </c>
      <c r="K1050" t="s">
        <v>3696</v>
      </c>
      <c r="L1050">
        <v>3</v>
      </c>
      <c r="M1050">
        <v>65000</v>
      </c>
      <c r="N1050" t="s">
        <v>3704</v>
      </c>
      <c r="O1050" t="s">
        <v>3707</v>
      </c>
      <c r="P1050" s="2">
        <f t="shared" si="80"/>
        <v>45797</v>
      </c>
      <c r="Q1050" t="str">
        <f t="shared" si="81"/>
        <v>Kabir Krishna</v>
      </c>
      <c r="R1050" t="str">
        <f t="shared" si="82"/>
        <v>Chennai</v>
      </c>
      <c r="S1050" t="str">
        <f t="shared" si="83"/>
        <v>Tamil Nadu</v>
      </c>
      <c r="T1050">
        <f t="shared" si="84"/>
        <v>195000</v>
      </c>
    </row>
    <row r="1051" spans="1:20" x14ac:dyDescent="0.35">
      <c r="A1051" t="s">
        <v>1064</v>
      </c>
      <c r="B1051" t="s">
        <v>1493</v>
      </c>
      <c r="C1051" t="s">
        <v>2266</v>
      </c>
      <c r="D1051" t="s">
        <v>3521</v>
      </c>
      <c r="E1051" t="s">
        <v>3671</v>
      </c>
      <c r="F1051">
        <v>53</v>
      </c>
      <c r="G1051" t="s">
        <v>3677</v>
      </c>
      <c r="H1051" t="s">
        <v>3680</v>
      </c>
      <c r="I1051" t="s">
        <v>3685</v>
      </c>
      <c r="J1051" t="s">
        <v>3692</v>
      </c>
      <c r="K1051" t="s">
        <v>3695</v>
      </c>
      <c r="L1051">
        <v>2</v>
      </c>
      <c r="M1051">
        <v>12000</v>
      </c>
      <c r="N1051" t="s">
        <v>3704</v>
      </c>
      <c r="O1051" t="s">
        <v>3705</v>
      </c>
      <c r="P1051" s="2">
        <f t="shared" si="80"/>
        <v>45663</v>
      </c>
      <c r="Q1051" t="str">
        <f t="shared" si="81"/>
        <v>Arhaan Trivedi</v>
      </c>
      <c r="R1051" t="str">
        <f t="shared" si="82"/>
        <v>Mumbai</v>
      </c>
      <c r="S1051" t="str">
        <f t="shared" si="83"/>
        <v>Maharashtra</v>
      </c>
      <c r="T1051">
        <f t="shared" si="84"/>
        <v>24000</v>
      </c>
    </row>
    <row r="1052" spans="1:20" x14ac:dyDescent="0.35">
      <c r="A1052" t="s">
        <v>1065</v>
      </c>
      <c r="B1052" t="s">
        <v>1759</v>
      </c>
      <c r="C1052" t="s">
        <v>2202</v>
      </c>
      <c r="D1052" t="s">
        <v>3522</v>
      </c>
      <c r="E1052" t="s">
        <v>3671</v>
      </c>
      <c r="F1052">
        <v>36</v>
      </c>
      <c r="G1052" t="s">
        <v>3677</v>
      </c>
      <c r="H1052" t="s">
        <v>3680</v>
      </c>
      <c r="I1052" t="s">
        <v>3685</v>
      </c>
      <c r="J1052" t="s">
        <v>3692</v>
      </c>
      <c r="K1052" t="s">
        <v>3695</v>
      </c>
      <c r="L1052">
        <v>5</v>
      </c>
      <c r="M1052">
        <v>12000</v>
      </c>
      <c r="N1052" t="s">
        <v>3702</v>
      </c>
      <c r="O1052" t="s">
        <v>3707</v>
      </c>
      <c r="P1052" s="2">
        <f t="shared" si="80"/>
        <v>45839</v>
      </c>
      <c r="Q1052" t="str">
        <f t="shared" si="81"/>
        <v>Vivaan Wagle</v>
      </c>
      <c r="R1052" t="str">
        <f t="shared" si="82"/>
        <v>Mumbai</v>
      </c>
      <c r="S1052" t="str">
        <f t="shared" si="83"/>
        <v>Maharashtra</v>
      </c>
      <c r="T1052">
        <f t="shared" si="84"/>
        <v>60000</v>
      </c>
    </row>
    <row r="1053" spans="1:20" x14ac:dyDescent="0.35">
      <c r="A1053" t="s">
        <v>1066</v>
      </c>
      <c r="B1053" t="s">
        <v>1372</v>
      </c>
      <c r="C1053" t="s">
        <v>1818</v>
      </c>
      <c r="D1053" t="s">
        <v>3523</v>
      </c>
      <c r="E1053" t="s">
        <v>3671</v>
      </c>
      <c r="F1053">
        <v>35</v>
      </c>
      <c r="G1053" t="s">
        <v>3675</v>
      </c>
      <c r="H1053" t="s">
        <v>3681</v>
      </c>
      <c r="I1053" t="s">
        <v>3688</v>
      </c>
      <c r="J1053" t="s">
        <v>3694</v>
      </c>
      <c r="K1053" t="s">
        <v>3698</v>
      </c>
      <c r="L1053">
        <v>4</v>
      </c>
      <c r="M1053">
        <v>4500</v>
      </c>
      <c r="N1053" t="s">
        <v>3701</v>
      </c>
      <c r="O1053" t="s">
        <v>3707</v>
      </c>
      <c r="P1053" s="2">
        <f t="shared" si="80"/>
        <v>45921</v>
      </c>
      <c r="Q1053" t="str">
        <f t="shared" si="81"/>
        <v>Onkar Setty</v>
      </c>
      <c r="R1053" t="str">
        <f t="shared" si="82"/>
        <v>Kolkata</v>
      </c>
      <c r="S1053" t="str">
        <f t="shared" si="83"/>
        <v>West Bengal</v>
      </c>
      <c r="T1053">
        <f t="shared" si="84"/>
        <v>18000</v>
      </c>
    </row>
    <row r="1054" spans="1:20" x14ac:dyDescent="0.35">
      <c r="A1054" t="s">
        <v>1067</v>
      </c>
      <c r="B1054" t="s">
        <v>1338</v>
      </c>
      <c r="C1054" t="s">
        <v>2370</v>
      </c>
      <c r="D1054" t="s">
        <v>3524</v>
      </c>
      <c r="E1054" t="s">
        <v>3672</v>
      </c>
      <c r="F1054">
        <v>38</v>
      </c>
      <c r="G1054" t="s">
        <v>3673</v>
      </c>
      <c r="H1054" t="s">
        <v>3673</v>
      </c>
      <c r="I1054" t="s">
        <v>3688</v>
      </c>
      <c r="J1054" t="s">
        <v>3694</v>
      </c>
      <c r="K1054" t="s">
        <v>3698</v>
      </c>
      <c r="L1054">
        <v>4</v>
      </c>
      <c r="M1054">
        <v>4500</v>
      </c>
      <c r="N1054" t="s">
        <v>3704</v>
      </c>
      <c r="O1054" t="s">
        <v>3707</v>
      </c>
      <c r="P1054" s="2">
        <f t="shared" si="80"/>
        <v>45718</v>
      </c>
      <c r="Q1054" t="str">
        <f t="shared" si="81"/>
        <v>Ritvik Ganesan</v>
      </c>
      <c r="R1054" t="str">
        <f t="shared" si="82"/>
        <v>Delhi</v>
      </c>
      <c r="S1054" t="str">
        <f t="shared" si="83"/>
        <v>Delhi</v>
      </c>
      <c r="T1054">
        <f t="shared" si="84"/>
        <v>18000</v>
      </c>
    </row>
    <row r="1055" spans="1:20" x14ac:dyDescent="0.35">
      <c r="A1055" t="s">
        <v>1068</v>
      </c>
      <c r="B1055" t="s">
        <v>1548</v>
      </c>
      <c r="C1055" t="s">
        <v>2136</v>
      </c>
      <c r="D1055" t="s">
        <v>3525</v>
      </c>
      <c r="E1055" t="s">
        <v>3672</v>
      </c>
      <c r="F1055">
        <v>50</v>
      </c>
      <c r="G1055" t="s">
        <v>3678</v>
      </c>
      <c r="H1055" t="s">
        <v>3683</v>
      </c>
      <c r="I1055" t="s">
        <v>3688</v>
      </c>
      <c r="J1055" t="s">
        <v>3694</v>
      </c>
      <c r="K1055" t="s">
        <v>3698</v>
      </c>
      <c r="L1055">
        <v>1</v>
      </c>
      <c r="M1055">
        <v>4500</v>
      </c>
      <c r="N1055" t="s">
        <v>3702</v>
      </c>
      <c r="O1055" t="s">
        <v>3707</v>
      </c>
      <c r="P1055" s="2">
        <f t="shared" si="80"/>
        <v>46006</v>
      </c>
      <c r="Q1055" t="str">
        <f t="shared" si="81"/>
        <v>Drishya Lall</v>
      </c>
      <c r="R1055" t="str">
        <f t="shared" si="82"/>
        <v>Hyderabad</v>
      </c>
      <c r="S1055" t="str">
        <f t="shared" si="83"/>
        <v>Telangana</v>
      </c>
      <c r="T1055">
        <f t="shared" si="84"/>
        <v>4500</v>
      </c>
    </row>
    <row r="1056" spans="1:20" x14ac:dyDescent="0.35">
      <c r="A1056" t="s">
        <v>1069</v>
      </c>
      <c r="B1056" t="s">
        <v>1266</v>
      </c>
      <c r="C1056" t="s">
        <v>1869</v>
      </c>
      <c r="D1056" t="s">
        <v>3526</v>
      </c>
      <c r="E1056" t="s">
        <v>3671</v>
      </c>
      <c r="F1056">
        <v>56</v>
      </c>
      <c r="G1056" t="s">
        <v>3674</v>
      </c>
      <c r="H1056" t="s">
        <v>3680</v>
      </c>
      <c r="I1056" t="s">
        <v>3688</v>
      </c>
      <c r="J1056" t="s">
        <v>3694</v>
      </c>
      <c r="K1056" t="s">
        <v>3698</v>
      </c>
      <c r="L1056">
        <v>3</v>
      </c>
      <c r="M1056">
        <v>4500</v>
      </c>
      <c r="N1056" t="s">
        <v>3701</v>
      </c>
      <c r="O1056" t="s">
        <v>3706</v>
      </c>
      <c r="P1056" s="2">
        <f t="shared" si="80"/>
        <v>45984</v>
      </c>
      <c r="Q1056" t="str">
        <f t="shared" si="81"/>
        <v>Heer Dugal</v>
      </c>
      <c r="R1056" t="str">
        <f t="shared" si="82"/>
        <v>Pune</v>
      </c>
      <c r="S1056" t="str">
        <f t="shared" si="83"/>
        <v>Maharashtra</v>
      </c>
      <c r="T1056">
        <f t="shared" si="84"/>
        <v>13500</v>
      </c>
    </row>
    <row r="1057" spans="1:20" x14ac:dyDescent="0.35">
      <c r="A1057" t="s">
        <v>1070</v>
      </c>
      <c r="B1057" t="s">
        <v>1572</v>
      </c>
      <c r="C1057" t="s">
        <v>1872</v>
      </c>
      <c r="D1057" t="s">
        <v>3215</v>
      </c>
      <c r="E1057" t="s">
        <v>3671</v>
      </c>
      <c r="F1057">
        <v>25</v>
      </c>
      <c r="G1057" t="s">
        <v>3674</v>
      </c>
      <c r="H1057" t="s">
        <v>3680</v>
      </c>
      <c r="I1057" t="s">
        <v>3690</v>
      </c>
      <c r="J1057" t="s">
        <v>3693</v>
      </c>
      <c r="K1057" t="s">
        <v>3700</v>
      </c>
      <c r="L1057">
        <v>5</v>
      </c>
      <c r="M1057">
        <v>72000</v>
      </c>
      <c r="N1057" t="s">
        <v>3701</v>
      </c>
      <c r="O1057" t="s">
        <v>3707</v>
      </c>
      <c r="P1057" s="2">
        <f t="shared" si="80"/>
        <v>45878</v>
      </c>
      <c r="Q1057" t="str">
        <f t="shared" si="81"/>
        <v>Neelofar Verma</v>
      </c>
      <c r="R1057" t="str">
        <f t="shared" si="82"/>
        <v>Pune</v>
      </c>
      <c r="S1057" t="str">
        <f t="shared" si="83"/>
        <v>Maharashtra</v>
      </c>
      <c r="T1057">
        <f t="shared" si="84"/>
        <v>360000</v>
      </c>
    </row>
    <row r="1058" spans="1:20" x14ac:dyDescent="0.35">
      <c r="A1058" t="s">
        <v>1071</v>
      </c>
      <c r="B1058" t="s">
        <v>1760</v>
      </c>
      <c r="C1058" t="s">
        <v>2230</v>
      </c>
      <c r="D1058" t="s">
        <v>3527</v>
      </c>
      <c r="E1058" t="s">
        <v>3671</v>
      </c>
      <c r="F1058">
        <v>31</v>
      </c>
      <c r="G1058" t="s">
        <v>3675</v>
      </c>
      <c r="H1058" t="s">
        <v>3681</v>
      </c>
      <c r="I1058" t="s">
        <v>3691</v>
      </c>
      <c r="J1058" t="s">
        <v>3693</v>
      </c>
      <c r="K1058" t="s">
        <v>3696</v>
      </c>
      <c r="L1058">
        <v>5</v>
      </c>
      <c r="M1058">
        <v>58000</v>
      </c>
      <c r="N1058" t="s">
        <v>3702</v>
      </c>
      <c r="O1058" t="s">
        <v>3705</v>
      </c>
      <c r="P1058" s="2">
        <f t="shared" si="80"/>
        <v>45915</v>
      </c>
      <c r="Q1058" t="str">
        <f t="shared" si="81"/>
        <v>Nitya Chanda</v>
      </c>
      <c r="R1058" t="str">
        <f t="shared" si="82"/>
        <v>Kolkata</v>
      </c>
      <c r="S1058" t="str">
        <f t="shared" si="83"/>
        <v>West Bengal</v>
      </c>
      <c r="T1058">
        <f t="shared" si="84"/>
        <v>290000</v>
      </c>
    </row>
    <row r="1059" spans="1:20" x14ac:dyDescent="0.35">
      <c r="A1059" t="s">
        <v>1072</v>
      </c>
      <c r="B1059" t="s">
        <v>1382</v>
      </c>
      <c r="C1059" t="s">
        <v>2443</v>
      </c>
      <c r="D1059" t="s">
        <v>3528</v>
      </c>
      <c r="E1059" t="s">
        <v>3671</v>
      </c>
      <c r="F1059">
        <v>49</v>
      </c>
      <c r="G1059" t="s">
        <v>3675</v>
      </c>
      <c r="H1059" t="s">
        <v>3681</v>
      </c>
      <c r="I1059" t="s">
        <v>3690</v>
      </c>
      <c r="J1059" t="s">
        <v>3693</v>
      </c>
      <c r="K1059" t="s">
        <v>3700</v>
      </c>
      <c r="L1059">
        <v>4</v>
      </c>
      <c r="M1059">
        <v>72000</v>
      </c>
      <c r="N1059" t="s">
        <v>3702</v>
      </c>
      <c r="O1059" t="s">
        <v>3707</v>
      </c>
      <c r="P1059" s="2">
        <f t="shared" si="80"/>
        <v>45933</v>
      </c>
      <c r="Q1059" t="str">
        <f t="shared" si="81"/>
        <v>Purab Choudhry</v>
      </c>
      <c r="R1059" t="str">
        <f t="shared" si="82"/>
        <v>Kolkata</v>
      </c>
      <c r="S1059" t="str">
        <f t="shared" si="83"/>
        <v>West Bengal</v>
      </c>
      <c r="T1059">
        <f t="shared" si="84"/>
        <v>288000</v>
      </c>
    </row>
    <row r="1060" spans="1:20" x14ac:dyDescent="0.35">
      <c r="A1060" t="s">
        <v>1073</v>
      </c>
      <c r="B1060" t="s">
        <v>1546</v>
      </c>
      <c r="C1060" t="s">
        <v>1941</v>
      </c>
      <c r="D1060" t="s">
        <v>3529</v>
      </c>
      <c r="E1060" t="s">
        <v>3672</v>
      </c>
      <c r="F1060">
        <v>32</v>
      </c>
      <c r="G1060" t="s">
        <v>3679</v>
      </c>
      <c r="H1060" t="s">
        <v>3684</v>
      </c>
      <c r="I1060" t="s">
        <v>3686</v>
      </c>
      <c r="J1060" t="s">
        <v>3693</v>
      </c>
      <c r="K1060" t="s">
        <v>3696</v>
      </c>
      <c r="L1060">
        <v>1</v>
      </c>
      <c r="M1060">
        <v>65000</v>
      </c>
      <c r="N1060" t="s">
        <v>3703</v>
      </c>
      <c r="O1060" t="s">
        <v>3705</v>
      </c>
      <c r="P1060" s="2">
        <f t="shared" si="80"/>
        <v>45798</v>
      </c>
      <c r="Q1060" t="str">
        <f t="shared" si="81"/>
        <v>Advik Anne</v>
      </c>
      <c r="R1060" t="str">
        <f t="shared" si="82"/>
        <v>Bengaluru</v>
      </c>
      <c r="S1060" t="str">
        <f t="shared" si="83"/>
        <v>Karnataka</v>
      </c>
      <c r="T1060">
        <f t="shared" si="84"/>
        <v>65000</v>
      </c>
    </row>
    <row r="1061" spans="1:20" x14ac:dyDescent="0.35">
      <c r="A1061" t="s">
        <v>1074</v>
      </c>
      <c r="B1061" t="s">
        <v>1377</v>
      </c>
      <c r="C1061" t="s">
        <v>2301</v>
      </c>
      <c r="D1061" t="s">
        <v>3530</v>
      </c>
      <c r="E1061" t="s">
        <v>3672</v>
      </c>
      <c r="F1061">
        <v>26</v>
      </c>
      <c r="G1061" t="s">
        <v>3679</v>
      </c>
      <c r="H1061" t="s">
        <v>3684</v>
      </c>
      <c r="I1061" t="s">
        <v>3686</v>
      </c>
      <c r="J1061" t="s">
        <v>3693</v>
      </c>
      <c r="K1061" t="s">
        <v>3696</v>
      </c>
      <c r="L1061">
        <v>5</v>
      </c>
      <c r="M1061">
        <v>65000</v>
      </c>
      <c r="N1061" t="s">
        <v>3704</v>
      </c>
      <c r="O1061" t="s">
        <v>3706</v>
      </c>
      <c r="P1061" s="2">
        <f t="shared" si="80"/>
        <v>45704</v>
      </c>
      <c r="Q1061" t="str">
        <f t="shared" si="81"/>
        <v>Yuvraj Raj</v>
      </c>
      <c r="R1061" t="str">
        <f t="shared" si="82"/>
        <v>Bengaluru</v>
      </c>
      <c r="S1061" t="str">
        <f t="shared" si="83"/>
        <v>Karnataka</v>
      </c>
      <c r="T1061">
        <f t="shared" si="84"/>
        <v>325000</v>
      </c>
    </row>
    <row r="1062" spans="1:20" x14ac:dyDescent="0.35">
      <c r="A1062" t="s">
        <v>1075</v>
      </c>
      <c r="B1062" t="s">
        <v>1380</v>
      </c>
      <c r="C1062" t="s">
        <v>2444</v>
      </c>
      <c r="D1062" t="s">
        <v>3531</v>
      </c>
      <c r="E1062" t="s">
        <v>3671</v>
      </c>
      <c r="F1062">
        <v>42</v>
      </c>
      <c r="G1062" t="s">
        <v>3678</v>
      </c>
      <c r="H1062" t="s">
        <v>3683</v>
      </c>
      <c r="I1062" t="s">
        <v>3686</v>
      </c>
      <c r="J1062" t="s">
        <v>3693</v>
      </c>
      <c r="K1062" t="s">
        <v>3696</v>
      </c>
      <c r="L1062">
        <v>5</v>
      </c>
      <c r="M1062">
        <v>65000</v>
      </c>
      <c r="N1062" t="s">
        <v>3702</v>
      </c>
      <c r="O1062" t="s">
        <v>3706</v>
      </c>
      <c r="P1062" s="2">
        <f t="shared" si="80"/>
        <v>45782</v>
      </c>
      <c r="Q1062" t="str">
        <f t="shared" si="81"/>
        <v>Zara Mand</v>
      </c>
      <c r="R1062" t="str">
        <f t="shared" si="82"/>
        <v>Hyderabad</v>
      </c>
      <c r="S1062" t="str">
        <f t="shared" si="83"/>
        <v>Telangana</v>
      </c>
      <c r="T1062">
        <f t="shared" si="84"/>
        <v>325000</v>
      </c>
    </row>
    <row r="1063" spans="1:20" x14ac:dyDescent="0.35">
      <c r="A1063" t="s">
        <v>1076</v>
      </c>
      <c r="B1063" t="s">
        <v>1410</v>
      </c>
      <c r="C1063" t="s">
        <v>2022</v>
      </c>
      <c r="D1063" t="s">
        <v>3532</v>
      </c>
      <c r="E1063" t="s">
        <v>3672</v>
      </c>
      <c r="F1063">
        <v>42</v>
      </c>
      <c r="G1063" t="s">
        <v>3675</v>
      </c>
      <c r="H1063" t="s">
        <v>3681</v>
      </c>
      <c r="I1063" t="s">
        <v>3685</v>
      </c>
      <c r="J1063" t="s">
        <v>3692</v>
      </c>
      <c r="K1063" t="s">
        <v>3695</v>
      </c>
      <c r="L1063">
        <v>2</v>
      </c>
      <c r="M1063">
        <v>12000</v>
      </c>
      <c r="N1063" t="s">
        <v>3703</v>
      </c>
      <c r="O1063" t="s">
        <v>3705</v>
      </c>
      <c r="P1063" s="2">
        <f t="shared" si="80"/>
        <v>45765</v>
      </c>
      <c r="Q1063" t="str">
        <f t="shared" si="81"/>
        <v>Purab Mand</v>
      </c>
      <c r="R1063" t="str">
        <f t="shared" si="82"/>
        <v>Kolkata</v>
      </c>
      <c r="S1063" t="str">
        <f t="shared" si="83"/>
        <v>West Bengal</v>
      </c>
      <c r="T1063">
        <f t="shared" si="84"/>
        <v>24000</v>
      </c>
    </row>
    <row r="1064" spans="1:20" x14ac:dyDescent="0.35">
      <c r="A1064" t="s">
        <v>1077</v>
      </c>
      <c r="B1064" t="s">
        <v>1225</v>
      </c>
      <c r="C1064" t="s">
        <v>2344</v>
      </c>
      <c r="D1064" t="s">
        <v>3533</v>
      </c>
      <c r="E1064" t="s">
        <v>3672</v>
      </c>
      <c r="F1064">
        <v>49</v>
      </c>
      <c r="G1064" t="s">
        <v>3674</v>
      </c>
      <c r="H1064" t="s">
        <v>3680</v>
      </c>
      <c r="I1064" t="s">
        <v>3686</v>
      </c>
      <c r="J1064" t="s">
        <v>3693</v>
      </c>
      <c r="K1064" t="s">
        <v>3696</v>
      </c>
      <c r="L1064">
        <v>5</v>
      </c>
      <c r="M1064">
        <v>65000</v>
      </c>
      <c r="N1064" t="s">
        <v>3703</v>
      </c>
      <c r="O1064" t="s">
        <v>3706</v>
      </c>
      <c r="P1064" s="2">
        <f t="shared" si="80"/>
        <v>45863</v>
      </c>
      <c r="Q1064" t="str">
        <f t="shared" si="81"/>
        <v>Kashvi Mand</v>
      </c>
      <c r="R1064" t="str">
        <f t="shared" si="82"/>
        <v>Pune</v>
      </c>
      <c r="S1064" t="str">
        <f t="shared" si="83"/>
        <v>Maharashtra</v>
      </c>
      <c r="T1064">
        <f t="shared" si="84"/>
        <v>325000</v>
      </c>
    </row>
    <row r="1065" spans="1:20" x14ac:dyDescent="0.35">
      <c r="A1065" t="s">
        <v>1078</v>
      </c>
      <c r="B1065" t="s">
        <v>1369</v>
      </c>
      <c r="C1065" t="s">
        <v>2271</v>
      </c>
      <c r="D1065" t="s">
        <v>3534</v>
      </c>
      <c r="E1065" t="s">
        <v>3671</v>
      </c>
      <c r="F1065">
        <v>34</v>
      </c>
      <c r="G1065" t="s">
        <v>3678</v>
      </c>
      <c r="H1065" t="s">
        <v>3683</v>
      </c>
      <c r="I1065" t="s">
        <v>3687</v>
      </c>
      <c r="J1065" t="s">
        <v>3693</v>
      </c>
      <c r="K1065" t="s">
        <v>3697</v>
      </c>
      <c r="L1065">
        <v>2</v>
      </c>
      <c r="M1065">
        <v>5000</v>
      </c>
      <c r="N1065" t="s">
        <v>3704</v>
      </c>
      <c r="O1065" t="s">
        <v>3706</v>
      </c>
      <c r="P1065" s="2">
        <f t="shared" si="80"/>
        <v>45864</v>
      </c>
      <c r="Q1065" t="str">
        <f t="shared" si="81"/>
        <v>Mishti Bhasin</v>
      </c>
      <c r="R1065" t="str">
        <f t="shared" si="82"/>
        <v>Hyderabad</v>
      </c>
      <c r="S1065" t="str">
        <f t="shared" si="83"/>
        <v>Telangana</v>
      </c>
      <c r="T1065">
        <f t="shared" si="84"/>
        <v>10000</v>
      </c>
    </row>
    <row r="1066" spans="1:20" x14ac:dyDescent="0.35">
      <c r="A1066" t="s">
        <v>1079</v>
      </c>
      <c r="B1066" t="s">
        <v>1699</v>
      </c>
      <c r="C1066" t="s">
        <v>2035</v>
      </c>
      <c r="D1066" t="s">
        <v>3535</v>
      </c>
      <c r="E1066" t="s">
        <v>3672</v>
      </c>
      <c r="F1066">
        <v>54</v>
      </c>
      <c r="G1066" t="s">
        <v>3678</v>
      </c>
      <c r="H1066" t="s">
        <v>3683</v>
      </c>
      <c r="I1066" t="s">
        <v>3686</v>
      </c>
      <c r="J1066" t="s">
        <v>3693</v>
      </c>
      <c r="K1066" t="s">
        <v>3696</v>
      </c>
      <c r="L1066">
        <v>1</v>
      </c>
      <c r="M1066">
        <v>65000</v>
      </c>
      <c r="N1066" t="s">
        <v>3703</v>
      </c>
      <c r="O1066" t="s">
        <v>3707</v>
      </c>
      <c r="P1066" s="2">
        <f t="shared" si="80"/>
        <v>45994</v>
      </c>
      <c r="Q1066" t="str">
        <f t="shared" si="81"/>
        <v>Kaira Sekhon</v>
      </c>
      <c r="R1066" t="str">
        <f t="shared" si="82"/>
        <v>Hyderabad</v>
      </c>
      <c r="S1066" t="str">
        <f t="shared" si="83"/>
        <v>Telangana</v>
      </c>
      <c r="T1066">
        <f t="shared" si="84"/>
        <v>65000</v>
      </c>
    </row>
    <row r="1067" spans="1:20" x14ac:dyDescent="0.35">
      <c r="A1067" t="s">
        <v>1080</v>
      </c>
      <c r="B1067" t="s">
        <v>1253</v>
      </c>
      <c r="C1067" t="s">
        <v>2234</v>
      </c>
      <c r="D1067" t="s">
        <v>3536</v>
      </c>
      <c r="E1067" t="s">
        <v>3672</v>
      </c>
      <c r="F1067">
        <v>38</v>
      </c>
      <c r="G1067" t="s">
        <v>3674</v>
      </c>
      <c r="H1067" t="s">
        <v>3680</v>
      </c>
      <c r="I1067" t="s">
        <v>3690</v>
      </c>
      <c r="J1067" t="s">
        <v>3693</v>
      </c>
      <c r="K1067" t="s">
        <v>3700</v>
      </c>
      <c r="L1067">
        <v>2</v>
      </c>
      <c r="M1067">
        <v>72000</v>
      </c>
      <c r="N1067" t="s">
        <v>3704</v>
      </c>
      <c r="O1067" t="s">
        <v>3707</v>
      </c>
      <c r="P1067" s="2">
        <f t="shared" si="80"/>
        <v>45806</v>
      </c>
      <c r="Q1067" t="str">
        <f t="shared" si="81"/>
        <v>Kanav Karan</v>
      </c>
      <c r="R1067" t="str">
        <f t="shared" si="82"/>
        <v>Pune</v>
      </c>
      <c r="S1067" t="str">
        <f t="shared" si="83"/>
        <v>Maharashtra</v>
      </c>
      <c r="T1067">
        <f t="shared" si="84"/>
        <v>144000</v>
      </c>
    </row>
    <row r="1068" spans="1:20" x14ac:dyDescent="0.35">
      <c r="A1068" t="s">
        <v>1081</v>
      </c>
      <c r="B1068" t="s">
        <v>1732</v>
      </c>
      <c r="C1068" t="s">
        <v>2280</v>
      </c>
      <c r="D1068" t="s">
        <v>3537</v>
      </c>
      <c r="E1068" t="s">
        <v>3671</v>
      </c>
      <c r="F1068">
        <v>34</v>
      </c>
      <c r="G1068" t="s">
        <v>3676</v>
      </c>
      <c r="H1068" t="s">
        <v>3682</v>
      </c>
      <c r="I1068" t="s">
        <v>3688</v>
      </c>
      <c r="J1068" t="s">
        <v>3694</v>
      </c>
      <c r="K1068" t="s">
        <v>3698</v>
      </c>
      <c r="L1068">
        <v>4</v>
      </c>
      <c r="M1068">
        <v>4500</v>
      </c>
      <c r="N1068" t="s">
        <v>3702</v>
      </c>
      <c r="O1068" t="s">
        <v>3706</v>
      </c>
      <c r="P1068" s="2">
        <f t="shared" si="80"/>
        <v>45685</v>
      </c>
      <c r="Q1068" t="str">
        <f t="shared" si="81"/>
        <v>Ryan Jha</v>
      </c>
      <c r="R1068" t="str">
        <f t="shared" si="82"/>
        <v>Chennai</v>
      </c>
      <c r="S1068" t="str">
        <f t="shared" si="83"/>
        <v>Tamil Nadu</v>
      </c>
      <c r="T1068">
        <f t="shared" si="84"/>
        <v>18000</v>
      </c>
    </row>
    <row r="1069" spans="1:20" x14ac:dyDescent="0.35">
      <c r="A1069" t="s">
        <v>1082</v>
      </c>
      <c r="B1069" t="s">
        <v>1318</v>
      </c>
      <c r="C1069" t="s">
        <v>2127</v>
      </c>
      <c r="D1069" t="s">
        <v>3538</v>
      </c>
      <c r="E1069" t="s">
        <v>3672</v>
      </c>
      <c r="F1069">
        <v>57</v>
      </c>
      <c r="G1069" t="s">
        <v>3678</v>
      </c>
      <c r="H1069" t="s">
        <v>3683</v>
      </c>
      <c r="I1069" t="s">
        <v>3686</v>
      </c>
      <c r="J1069" t="s">
        <v>3693</v>
      </c>
      <c r="K1069" t="s">
        <v>3696</v>
      </c>
      <c r="L1069">
        <v>3</v>
      </c>
      <c r="M1069">
        <v>65000</v>
      </c>
      <c r="N1069" t="s">
        <v>3703</v>
      </c>
      <c r="O1069" t="s">
        <v>3707</v>
      </c>
      <c r="P1069" s="2">
        <f t="shared" si="80"/>
        <v>45941</v>
      </c>
      <c r="Q1069" t="str">
        <f t="shared" si="81"/>
        <v>Samar Choudhary</v>
      </c>
      <c r="R1069" t="str">
        <f t="shared" si="82"/>
        <v>Hyderabad</v>
      </c>
      <c r="S1069" t="str">
        <f t="shared" si="83"/>
        <v>Telangana</v>
      </c>
      <c r="T1069">
        <f t="shared" si="84"/>
        <v>195000</v>
      </c>
    </row>
    <row r="1070" spans="1:20" x14ac:dyDescent="0.35">
      <c r="A1070" t="s">
        <v>1083</v>
      </c>
      <c r="B1070" t="s">
        <v>1252</v>
      </c>
      <c r="C1070" t="s">
        <v>1988</v>
      </c>
      <c r="D1070" t="s">
        <v>3539</v>
      </c>
      <c r="E1070" t="s">
        <v>3671</v>
      </c>
      <c r="F1070">
        <v>49</v>
      </c>
      <c r="G1070" t="s">
        <v>3674</v>
      </c>
      <c r="H1070" t="s">
        <v>3680</v>
      </c>
      <c r="I1070" t="s">
        <v>3686</v>
      </c>
      <c r="J1070" t="s">
        <v>3693</v>
      </c>
      <c r="K1070" t="s">
        <v>3696</v>
      </c>
      <c r="L1070">
        <v>3</v>
      </c>
      <c r="M1070">
        <v>65000</v>
      </c>
      <c r="N1070" t="s">
        <v>3703</v>
      </c>
      <c r="O1070" t="s">
        <v>3707</v>
      </c>
      <c r="P1070" s="2">
        <f t="shared" si="80"/>
        <v>46014</v>
      </c>
      <c r="Q1070" t="str">
        <f t="shared" si="81"/>
        <v>Zoya Kaul</v>
      </c>
      <c r="R1070" t="str">
        <f t="shared" si="82"/>
        <v>Pune</v>
      </c>
      <c r="S1070" t="str">
        <f t="shared" si="83"/>
        <v>Maharashtra</v>
      </c>
      <c r="T1070">
        <f t="shared" si="84"/>
        <v>195000</v>
      </c>
    </row>
    <row r="1071" spans="1:20" x14ac:dyDescent="0.35">
      <c r="A1071" t="s">
        <v>1084</v>
      </c>
      <c r="B1071" t="s">
        <v>1250</v>
      </c>
      <c r="C1071" t="s">
        <v>2445</v>
      </c>
      <c r="D1071" t="s">
        <v>3540</v>
      </c>
      <c r="E1071" t="s">
        <v>3671</v>
      </c>
      <c r="F1071">
        <v>30</v>
      </c>
      <c r="G1071" t="s">
        <v>3678</v>
      </c>
      <c r="H1071" t="s">
        <v>3683</v>
      </c>
      <c r="I1071" t="s">
        <v>3688</v>
      </c>
      <c r="J1071" t="s">
        <v>3694</v>
      </c>
      <c r="K1071" t="s">
        <v>3698</v>
      </c>
      <c r="L1071">
        <v>4</v>
      </c>
      <c r="M1071">
        <v>4500</v>
      </c>
      <c r="N1071" t="s">
        <v>3704</v>
      </c>
      <c r="O1071" t="s">
        <v>3705</v>
      </c>
      <c r="P1071" s="2">
        <f t="shared" si="80"/>
        <v>45957</v>
      </c>
      <c r="Q1071" t="str">
        <f t="shared" si="81"/>
        <v>Gokul Dass</v>
      </c>
      <c r="R1071" t="str">
        <f t="shared" si="82"/>
        <v>Hyderabad</v>
      </c>
      <c r="S1071" t="str">
        <f t="shared" si="83"/>
        <v>Telangana</v>
      </c>
      <c r="T1071">
        <f t="shared" si="84"/>
        <v>18000</v>
      </c>
    </row>
    <row r="1072" spans="1:20" x14ac:dyDescent="0.35">
      <c r="A1072" t="s">
        <v>1085</v>
      </c>
      <c r="B1072" t="s">
        <v>1632</v>
      </c>
      <c r="C1072" t="s">
        <v>2151</v>
      </c>
      <c r="D1072" t="s">
        <v>3541</v>
      </c>
      <c r="E1072" t="s">
        <v>3671</v>
      </c>
      <c r="F1072">
        <v>30</v>
      </c>
      <c r="G1072" t="s">
        <v>3673</v>
      </c>
      <c r="H1072" t="s">
        <v>3673</v>
      </c>
      <c r="I1072" t="s">
        <v>3685</v>
      </c>
      <c r="J1072" t="s">
        <v>3692</v>
      </c>
      <c r="K1072" t="s">
        <v>3695</v>
      </c>
      <c r="L1072">
        <v>3</v>
      </c>
      <c r="M1072">
        <v>12000</v>
      </c>
      <c r="N1072" t="s">
        <v>3702</v>
      </c>
      <c r="O1072" t="s">
        <v>3706</v>
      </c>
      <c r="P1072" s="2">
        <f t="shared" si="80"/>
        <v>45787</v>
      </c>
      <c r="Q1072" t="str">
        <f t="shared" si="81"/>
        <v>Amira Dara</v>
      </c>
      <c r="R1072" t="str">
        <f t="shared" si="82"/>
        <v>Delhi</v>
      </c>
      <c r="S1072" t="str">
        <f t="shared" si="83"/>
        <v>Delhi</v>
      </c>
      <c r="T1072">
        <f t="shared" si="84"/>
        <v>36000</v>
      </c>
    </row>
    <row r="1073" spans="1:20" x14ac:dyDescent="0.35">
      <c r="A1073" t="s">
        <v>1086</v>
      </c>
      <c r="B1073" t="s">
        <v>1355</v>
      </c>
      <c r="C1073" t="s">
        <v>2103</v>
      </c>
      <c r="D1073" t="s">
        <v>3542</v>
      </c>
      <c r="E1073" t="s">
        <v>3672</v>
      </c>
      <c r="F1073">
        <v>55</v>
      </c>
      <c r="G1073" t="s">
        <v>3675</v>
      </c>
      <c r="H1073" t="s">
        <v>3681</v>
      </c>
      <c r="I1073" t="s">
        <v>3690</v>
      </c>
      <c r="J1073" t="s">
        <v>3693</v>
      </c>
      <c r="K1073" t="s">
        <v>3700</v>
      </c>
      <c r="L1073">
        <v>2</v>
      </c>
      <c r="M1073">
        <v>72000</v>
      </c>
      <c r="N1073" t="s">
        <v>3701</v>
      </c>
      <c r="O1073" t="s">
        <v>3706</v>
      </c>
      <c r="P1073" s="2">
        <f t="shared" si="80"/>
        <v>45875</v>
      </c>
      <c r="Q1073" t="str">
        <f t="shared" si="81"/>
        <v>Rhea Borde</v>
      </c>
      <c r="R1073" t="str">
        <f t="shared" si="82"/>
        <v>Kolkata</v>
      </c>
      <c r="S1073" t="str">
        <f t="shared" si="83"/>
        <v>West Bengal</v>
      </c>
      <c r="T1073">
        <f t="shared" si="84"/>
        <v>144000</v>
      </c>
    </row>
    <row r="1074" spans="1:20" x14ac:dyDescent="0.35">
      <c r="A1074" t="s">
        <v>1087</v>
      </c>
      <c r="B1074" t="s">
        <v>1265</v>
      </c>
      <c r="C1074" t="s">
        <v>1899</v>
      </c>
      <c r="D1074" t="s">
        <v>3543</v>
      </c>
      <c r="E1074" t="s">
        <v>3672</v>
      </c>
      <c r="F1074">
        <v>21</v>
      </c>
      <c r="G1074" t="s">
        <v>3674</v>
      </c>
      <c r="H1074" t="s">
        <v>3680</v>
      </c>
      <c r="I1074" t="s">
        <v>3690</v>
      </c>
      <c r="J1074" t="s">
        <v>3693</v>
      </c>
      <c r="K1074" t="s">
        <v>3700</v>
      </c>
      <c r="L1074">
        <v>5</v>
      </c>
      <c r="M1074">
        <v>72000</v>
      </c>
      <c r="N1074" t="s">
        <v>3703</v>
      </c>
      <c r="O1074" t="s">
        <v>3706</v>
      </c>
      <c r="P1074" s="2">
        <f t="shared" si="80"/>
        <v>45979</v>
      </c>
      <c r="Q1074" t="str">
        <f t="shared" si="81"/>
        <v>Sumer Dhar</v>
      </c>
      <c r="R1074" t="str">
        <f t="shared" si="82"/>
        <v>Pune</v>
      </c>
      <c r="S1074" t="str">
        <f t="shared" si="83"/>
        <v>Maharashtra</v>
      </c>
      <c r="T1074">
        <f t="shared" si="84"/>
        <v>360000</v>
      </c>
    </row>
    <row r="1075" spans="1:20" x14ac:dyDescent="0.35">
      <c r="A1075" t="s">
        <v>1088</v>
      </c>
      <c r="B1075" t="s">
        <v>1236</v>
      </c>
      <c r="C1075" t="s">
        <v>2446</v>
      </c>
      <c r="D1075" t="s">
        <v>3544</v>
      </c>
      <c r="E1075" t="s">
        <v>3671</v>
      </c>
      <c r="F1075">
        <v>39</v>
      </c>
      <c r="G1075" t="s">
        <v>3673</v>
      </c>
      <c r="H1075" t="s">
        <v>3673</v>
      </c>
      <c r="I1075" t="s">
        <v>3688</v>
      </c>
      <c r="J1075" t="s">
        <v>3694</v>
      </c>
      <c r="K1075" t="s">
        <v>3698</v>
      </c>
      <c r="L1075">
        <v>1</v>
      </c>
      <c r="M1075">
        <v>4500</v>
      </c>
      <c r="N1075" t="s">
        <v>3704</v>
      </c>
      <c r="O1075" t="s">
        <v>3706</v>
      </c>
      <c r="P1075" s="2">
        <f t="shared" si="80"/>
        <v>45833</v>
      </c>
      <c r="Q1075" t="str">
        <f t="shared" si="81"/>
        <v>Pihu Chada</v>
      </c>
      <c r="R1075" t="str">
        <f t="shared" si="82"/>
        <v>Delhi</v>
      </c>
      <c r="S1075" t="str">
        <f t="shared" si="83"/>
        <v>Delhi</v>
      </c>
      <c r="T1075">
        <f t="shared" si="84"/>
        <v>4500</v>
      </c>
    </row>
    <row r="1076" spans="1:20" x14ac:dyDescent="0.35">
      <c r="A1076" t="s">
        <v>1089</v>
      </c>
      <c r="B1076" t="s">
        <v>1385</v>
      </c>
      <c r="C1076" t="s">
        <v>2012</v>
      </c>
      <c r="D1076" t="s">
        <v>3545</v>
      </c>
      <c r="E1076" t="s">
        <v>3671</v>
      </c>
      <c r="F1076">
        <v>42</v>
      </c>
      <c r="G1076" t="s">
        <v>3675</v>
      </c>
      <c r="H1076" t="s">
        <v>3681</v>
      </c>
      <c r="I1076" t="s">
        <v>3689</v>
      </c>
      <c r="J1076" t="s">
        <v>3694</v>
      </c>
      <c r="K1076" t="s">
        <v>3699</v>
      </c>
      <c r="L1076">
        <v>2</v>
      </c>
      <c r="M1076">
        <v>1800</v>
      </c>
      <c r="N1076" t="s">
        <v>3701</v>
      </c>
      <c r="O1076" t="s">
        <v>3705</v>
      </c>
      <c r="P1076" s="2">
        <f t="shared" si="80"/>
        <v>45861</v>
      </c>
      <c r="Q1076" t="str">
        <f t="shared" si="81"/>
        <v>Lakshay Kuruvilla</v>
      </c>
      <c r="R1076" t="str">
        <f t="shared" si="82"/>
        <v>Kolkata</v>
      </c>
      <c r="S1076" t="str">
        <f t="shared" si="83"/>
        <v>West Bengal</v>
      </c>
      <c r="T1076">
        <f t="shared" si="84"/>
        <v>3600</v>
      </c>
    </row>
    <row r="1077" spans="1:20" x14ac:dyDescent="0.35">
      <c r="A1077" t="s">
        <v>1090</v>
      </c>
      <c r="B1077" t="s">
        <v>1387</v>
      </c>
      <c r="C1077" t="s">
        <v>2430</v>
      </c>
      <c r="D1077" t="s">
        <v>3546</v>
      </c>
      <c r="E1077" t="s">
        <v>3672</v>
      </c>
      <c r="F1077">
        <v>52</v>
      </c>
      <c r="G1077" t="s">
        <v>3676</v>
      </c>
      <c r="H1077" t="s">
        <v>3682</v>
      </c>
      <c r="I1077" t="s">
        <v>3685</v>
      </c>
      <c r="J1077" t="s">
        <v>3692</v>
      </c>
      <c r="K1077" t="s">
        <v>3695</v>
      </c>
      <c r="L1077">
        <v>5</v>
      </c>
      <c r="M1077">
        <v>12000</v>
      </c>
      <c r="N1077" t="s">
        <v>3704</v>
      </c>
      <c r="O1077" t="s">
        <v>3705</v>
      </c>
      <c r="P1077" s="2">
        <f t="shared" si="80"/>
        <v>45773</v>
      </c>
      <c r="Q1077" t="str">
        <f t="shared" si="81"/>
        <v>Parinaaz Seshadri</v>
      </c>
      <c r="R1077" t="str">
        <f t="shared" si="82"/>
        <v>Chennai</v>
      </c>
      <c r="S1077" t="str">
        <f t="shared" si="83"/>
        <v>Tamil Nadu</v>
      </c>
      <c r="T1077">
        <f t="shared" si="84"/>
        <v>60000</v>
      </c>
    </row>
    <row r="1078" spans="1:20" x14ac:dyDescent="0.35">
      <c r="A1078" t="s">
        <v>1091</v>
      </c>
      <c r="B1078" t="s">
        <v>1373</v>
      </c>
      <c r="C1078" t="s">
        <v>2089</v>
      </c>
      <c r="D1078" t="s">
        <v>3547</v>
      </c>
      <c r="E1078" t="s">
        <v>3672</v>
      </c>
      <c r="F1078">
        <v>33</v>
      </c>
      <c r="G1078" t="s">
        <v>3673</v>
      </c>
      <c r="H1078" t="s">
        <v>3673</v>
      </c>
      <c r="I1078" t="s">
        <v>3686</v>
      </c>
      <c r="J1078" t="s">
        <v>3693</v>
      </c>
      <c r="K1078" t="s">
        <v>3696</v>
      </c>
      <c r="L1078">
        <v>1</v>
      </c>
      <c r="M1078">
        <v>65000</v>
      </c>
      <c r="N1078" t="s">
        <v>3702</v>
      </c>
      <c r="O1078" t="s">
        <v>3705</v>
      </c>
      <c r="P1078" s="2">
        <f t="shared" si="80"/>
        <v>45793</v>
      </c>
      <c r="Q1078" t="str">
        <f t="shared" si="81"/>
        <v>Abram Kale</v>
      </c>
      <c r="R1078" t="str">
        <f t="shared" si="82"/>
        <v>Delhi</v>
      </c>
      <c r="S1078" t="str">
        <f t="shared" si="83"/>
        <v>Delhi</v>
      </c>
      <c r="T1078">
        <f t="shared" si="84"/>
        <v>65000</v>
      </c>
    </row>
    <row r="1079" spans="1:20" x14ac:dyDescent="0.35">
      <c r="A1079" t="s">
        <v>1092</v>
      </c>
      <c r="B1079" t="s">
        <v>1268</v>
      </c>
      <c r="C1079" t="s">
        <v>2198</v>
      </c>
      <c r="D1079" t="s">
        <v>3548</v>
      </c>
      <c r="E1079" t="s">
        <v>3671</v>
      </c>
      <c r="F1079">
        <v>30</v>
      </c>
      <c r="G1079" t="s">
        <v>3677</v>
      </c>
      <c r="H1079" t="s">
        <v>3680</v>
      </c>
      <c r="I1079" t="s">
        <v>3689</v>
      </c>
      <c r="J1079" t="s">
        <v>3694</v>
      </c>
      <c r="K1079" t="s">
        <v>3699</v>
      </c>
      <c r="L1079">
        <v>5</v>
      </c>
      <c r="M1079">
        <v>1800</v>
      </c>
      <c r="N1079" t="s">
        <v>3702</v>
      </c>
      <c r="O1079" t="s">
        <v>3707</v>
      </c>
      <c r="P1079" s="2">
        <f t="shared" si="80"/>
        <v>45714</v>
      </c>
      <c r="Q1079" t="str">
        <f t="shared" si="81"/>
        <v>Hrishita Das</v>
      </c>
      <c r="R1079" t="str">
        <f t="shared" si="82"/>
        <v>Mumbai</v>
      </c>
      <c r="S1079" t="str">
        <f t="shared" si="83"/>
        <v>Maharashtra</v>
      </c>
      <c r="T1079">
        <f t="shared" si="84"/>
        <v>9000</v>
      </c>
    </row>
    <row r="1080" spans="1:20" x14ac:dyDescent="0.35">
      <c r="A1080" t="s">
        <v>1093</v>
      </c>
      <c r="B1080" t="s">
        <v>1458</v>
      </c>
      <c r="C1080" t="s">
        <v>2108</v>
      </c>
      <c r="D1080" t="s">
        <v>3549</v>
      </c>
      <c r="E1080" t="s">
        <v>3671</v>
      </c>
      <c r="F1080">
        <v>46</v>
      </c>
      <c r="G1080" t="s">
        <v>3676</v>
      </c>
      <c r="H1080" t="s">
        <v>3682</v>
      </c>
      <c r="I1080" t="s">
        <v>3688</v>
      </c>
      <c r="J1080" t="s">
        <v>3694</v>
      </c>
      <c r="K1080" t="s">
        <v>3698</v>
      </c>
      <c r="L1080">
        <v>3</v>
      </c>
      <c r="M1080">
        <v>4500</v>
      </c>
      <c r="N1080" t="s">
        <v>3702</v>
      </c>
      <c r="O1080" t="s">
        <v>3707</v>
      </c>
      <c r="P1080" s="2">
        <f t="shared" si="80"/>
        <v>45744</v>
      </c>
      <c r="Q1080" t="str">
        <f t="shared" si="81"/>
        <v>Ishaan Lall</v>
      </c>
      <c r="R1080" t="str">
        <f t="shared" si="82"/>
        <v>Chennai</v>
      </c>
      <c r="S1080" t="str">
        <f t="shared" si="83"/>
        <v>Tamil Nadu</v>
      </c>
      <c r="T1080">
        <f t="shared" si="84"/>
        <v>13500</v>
      </c>
    </row>
    <row r="1081" spans="1:20" x14ac:dyDescent="0.35">
      <c r="A1081" t="s">
        <v>1094</v>
      </c>
      <c r="B1081" t="s">
        <v>1672</v>
      </c>
      <c r="C1081" t="s">
        <v>2323</v>
      </c>
      <c r="D1081" t="s">
        <v>3550</v>
      </c>
      <c r="E1081" t="s">
        <v>3672</v>
      </c>
      <c r="F1081">
        <v>40</v>
      </c>
      <c r="G1081" t="s">
        <v>3679</v>
      </c>
      <c r="H1081" t="s">
        <v>3684</v>
      </c>
      <c r="I1081" t="s">
        <v>3687</v>
      </c>
      <c r="J1081" t="s">
        <v>3693</v>
      </c>
      <c r="K1081" t="s">
        <v>3697</v>
      </c>
      <c r="L1081">
        <v>3</v>
      </c>
      <c r="M1081">
        <v>5000</v>
      </c>
      <c r="N1081" t="s">
        <v>3703</v>
      </c>
      <c r="O1081" t="s">
        <v>3707</v>
      </c>
      <c r="P1081" s="2">
        <f t="shared" si="80"/>
        <v>45973</v>
      </c>
      <c r="Q1081" t="str">
        <f t="shared" si="81"/>
        <v>Akarsh Dutt</v>
      </c>
      <c r="R1081" t="str">
        <f t="shared" si="82"/>
        <v>Bengaluru</v>
      </c>
      <c r="S1081" t="str">
        <f t="shared" si="83"/>
        <v>Karnataka</v>
      </c>
      <c r="T1081">
        <f t="shared" si="84"/>
        <v>15000</v>
      </c>
    </row>
    <row r="1082" spans="1:20" x14ac:dyDescent="0.35">
      <c r="A1082" t="s">
        <v>1095</v>
      </c>
      <c r="B1082" t="s">
        <v>1614</v>
      </c>
      <c r="C1082" t="s">
        <v>2281</v>
      </c>
      <c r="D1082" t="s">
        <v>3551</v>
      </c>
      <c r="E1082" t="s">
        <v>3672</v>
      </c>
      <c r="F1082">
        <v>50</v>
      </c>
      <c r="G1082" t="s">
        <v>3679</v>
      </c>
      <c r="H1082" t="s">
        <v>3684</v>
      </c>
      <c r="I1082" t="s">
        <v>3686</v>
      </c>
      <c r="J1082" t="s">
        <v>3693</v>
      </c>
      <c r="K1082" t="s">
        <v>3696</v>
      </c>
      <c r="L1082">
        <v>5</v>
      </c>
      <c r="M1082">
        <v>65000</v>
      </c>
      <c r="N1082" t="s">
        <v>3701</v>
      </c>
      <c r="O1082" t="s">
        <v>3707</v>
      </c>
      <c r="P1082" s="2">
        <f t="shared" si="80"/>
        <v>45929</v>
      </c>
      <c r="Q1082" t="str">
        <f t="shared" si="81"/>
        <v>Zoya Randhawa</v>
      </c>
      <c r="R1082" t="str">
        <f t="shared" si="82"/>
        <v>Bengaluru</v>
      </c>
      <c r="S1082" t="str">
        <f t="shared" si="83"/>
        <v>Karnataka</v>
      </c>
      <c r="T1082">
        <f t="shared" si="84"/>
        <v>325000</v>
      </c>
    </row>
    <row r="1083" spans="1:20" x14ac:dyDescent="0.35">
      <c r="A1083" t="s">
        <v>1096</v>
      </c>
      <c r="B1083" t="s">
        <v>1408</v>
      </c>
      <c r="C1083" t="s">
        <v>2430</v>
      </c>
      <c r="D1083" t="s">
        <v>3552</v>
      </c>
      <c r="E1083" t="s">
        <v>3671</v>
      </c>
      <c r="F1083">
        <v>39</v>
      </c>
      <c r="G1083" t="s">
        <v>3673</v>
      </c>
      <c r="H1083" t="s">
        <v>3673</v>
      </c>
      <c r="I1083" t="s">
        <v>3691</v>
      </c>
      <c r="J1083" t="s">
        <v>3693</v>
      </c>
      <c r="K1083" t="s">
        <v>3696</v>
      </c>
      <c r="L1083">
        <v>4</v>
      </c>
      <c r="M1083">
        <v>58000</v>
      </c>
      <c r="N1083" t="s">
        <v>3704</v>
      </c>
      <c r="O1083" t="s">
        <v>3706</v>
      </c>
      <c r="P1083" s="2">
        <f t="shared" si="80"/>
        <v>46019</v>
      </c>
      <c r="Q1083" t="str">
        <f t="shared" si="81"/>
        <v>Indrans Dutt</v>
      </c>
      <c r="R1083" t="str">
        <f t="shared" si="82"/>
        <v>Delhi</v>
      </c>
      <c r="S1083" t="str">
        <f t="shared" si="83"/>
        <v>Delhi</v>
      </c>
      <c r="T1083">
        <f t="shared" si="84"/>
        <v>232000</v>
      </c>
    </row>
    <row r="1084" spans="1:20" x14ac:dyDescent="0.35">
      <c r="A1084" t="s">
        <v>1097</v>
      </c>
      <c r="B1084" t="s">
        <v>1244</v>
      </c>
      <c r="C1084" t="s">
        <v>1893</v>
      </c>
      <c r="D1084" t="s">
        <v>3553</v>
      </c>
      <c r="E1084" t="s">
        <v>3671</v>
      </c>
      <c r="F1084">
        <v>49</v>
      </c>
      <c r="G1084" t="s">
        <v>3676</v>
      </c>
      <c r="H1084" t="s">
        <v>3682</v>
      </c>
      <c r="I1084" t="s">
        <v>3688</v>
      </c>
      <c r="J1084" t="s">
        <v>3694</v>
      </c>
      <c r="K1084" t="s">
        <v>3698</v>
      </c>
      <c r="L1084">
        <v>2</v>
      </c>
      <c r="M1084">
        <v>4500</v>
      </c>
      <c r="N1084" t="s">
        <v>3701</v>
      </c>
      <c r="O1084" t="s">
        <v>3706</v>
      </c>
      <c r="P1084" s="2">
        <f t="shared" si="80"/>
        <v>45678</v>
      </c>
      <c r="Q1084" t="str">
        <f t="shared" si="81"/>
        <v>Arnav Saini</v>
      </c>
      <c r="R1084" t="str">
        <f t="shared" si="82"/>
        <v>Chennai</v>
      </c>
      <c r="S1084" t="str">
        <f t="shared" si="83"/>
        <v>Tamil Nadu</v>
      </c>
      <c r="T1084">
        <f t="shared" si="84"/>
        <v>9000</v>
      </c>
    </row>
    <row r="1085" spans="1:20" x14ac:dyDescent="0.35">
      <c r="A1085" t="s">
        <v>1098</v>
      </c>
      <c r="B1085" t="s">
        <v>1644</v>
      </c>
      <c r="C1085" t="s">
        <v>2435</v>
      </c>
      <c r="D1085" t="s">
        <v>3554</v>
      </c>
      <c r="E1085" t="s">
        <v>3671</v>
      </c>
      <c r="F1085">
        <v>40</v>
      </c>
      <c r="G1085" t="s">
        <v>3678</v>
      </c>
      <c r="H1085" t="s">
        <v>3683</v>
      </c>
      <c r="I1085" t="s">
        <v>3687</v>
      </c>
      <c r="J1085" t="s">
        <v>3693</v>
      </c>
      <c r="K1085" t="s">
        <v>3697</v>
      </c>
      <c r="L1085">
        <v>1</v>
      </c>
      <c r="M1085">
        <v>5000</v>
      </c>
      <c r="N1085" t="s">
        <v>3702</v>
      </c>
      <c r="O1085" t="s">
        <v>3705</v>
      </c>
      <c r="P1085" s="2">
        <f t="shared" si="80"/>
        <v>45761</v>
      </c>
      <c r="Q1085" t="str">
        <f t="shared" si="81"/>
        <v>Mannat Bains</v>
      </c>
      <c r="R1085" t="str">
        <f t="shared" si="82"/>
        <v>Hyderabad</v>
      </c>
      <c r="S1085" t="str">
        <f t="shared" si="83"/>
        <v>Telangana</v>
      </c>
      <c r="T1085">
        <f t="shared" si="84"/>
        <v>5000</v>
      </c>
    </row>
    <row r="1086" spans="1:20" x14ac:dyDescent="0.35">
      <c r="A1086" t="s">
        <v>1099</v>
      </c>
      <c r="B1086" t="s">
        <v>1648</v>
      </c>
      <c r="C1086" t="s">
        <v>1826</v>
      </c>
      <c r="D1086" t="s">
        <v>3555</v>
      </c>
      <c r="E1086" t="s">
        <v>3672</v>
      </c>
      <c r="F1086">
        <v>32</v>
      </c>
      <c r="G1086" t="s">
        <v>3679</v>
      </c>
      <c r="H1086" t="s">
        <v>3684</v>
      </c>
      <c r="I1086" t="s">
        <v>3691</v>
      </c>
      <c r="J1086" t="s">
        <v>3693</v>
      </c>
      <c r="K1086" t="s">
        <v>3696</v>
      </c>
      <c r="L1086">
        <v>1</v>
      </c>
      <c r="M1086">
        <v>58000</v>
      </c>
      <c r="N1086" t="s">
        <v>3702</v>
      </c>
      <c r="O1086" t="s">
        <v>3705</v>
      </c>
      <c r="P1086" s="2">
        <f t="shared" si="80"/>
        <v>45937</v>
      </c>
      <c r="Q1086" t="str">
        <f t="shared" si="81"/>
        <v>Krish Sura</v>
      </c>
      <c r="R1086" t="str">
        <f t="shared" si="82"/>
        <v>Bengaluru</v>
      </c>
      <c r="S1086" t="str">
        <f t="shared" si="83"/>
        <v>Karnataka</v>
      </c>
      <c r="T1086">
        <f t="shared" si="84"/>
        <v>58000</v>
      </c>
    </row>
    <row r="1087" spans="1:20" x14ac:dyDescent="0.35">
      <c r="A1087" t="s">
        <v>1100</v>
      </c>
      <c r="B1087" t="s">
        <v>1710</v>
      </c>
      <c r="C1087" t="s">
        <v>2376</v>
      </c>
      <c r="D1087" t="s">
        <v>3556</v>
      </c>
      <c r="E1087" t="s">
        <v>3671</v>
      </c>
      <c r="F1087">
        <v>32</v>
      </c>
      <c r="G1087" t="s">
        <v>3678</v>
      </c>
      <c r="H1087" t="s">
        <v>3683</v>
      </c>
      <c r="I1087" t="s">
        <v>3690</v>
      </c>
      <c r="J1087" t="s">
        <v>3693</v>
      </c>
      <c r="K1087" t="s">
        <v>3700</v>
      </c>
      <c r="L1087">
        <v>2</v>
      </c>
      <c r="M1087">
        <v>72000</v>
      </c>
      <c r="N1087" t="s">
        <v>3701</v>
      </c>
      <c r="O1087" t="s">
        <v>3707</v>
      </c>
      <c r="P1087" s="2">
        <f t="shared" si="80"/>
        <v>46002</v>
      </c>
      <c r="Q1087" t="str">
        <f t="shared" si="81"/>
        <v>Rohan Bhargava</v>
      </c>
      <c r="R1087" t="str">
        <f t="shared" si="82"/>
        <v>Hyderabad</v>
      </c>
      <c r="S1087" t="str">
        <f t="shared" si="83"/>
        <v>Telangana</v>
      </c>
      <c r="T1087">
        <f t="shared" si="84"/>
        <v>144000</v>
      </c>
    </row>
    <row r="1088" spans="1:20" x14ac:dyDescent="0.35">
      <c r="A1088" t="s">
        <v>1101</v>
      </c>
      <c r="B1088" t="s">
        <v>1510</v>
      </c>
      <c r="C1088" t="s">
        <v>2257</v>
      </c>
      <c r="D1088" t="s">
        <v>3557</v>
      </c>
      <c r="E1088" t="s">
        <v>3672</v>
      </c>
      <c r="F1088">
        <v>58</v>
      </c>
      <c r="G1088" t="s">
        <v>3675</v>
      </c>
      <c r="H1088" t="s">
        <v>3681</v>
      </c>
      <c r="I1088" t="s">
        <v>3688</v>
      </c>
      <c r="J1088" t="s">
        <v>3694</v>
      </c>
      <c r="K1088" t="s">
        <v>3698</v>
      </c>
      <c r="L1088">
        <v>5</v>
      </c>
      <c r="M1088">
        <v>4500</v>
      </c>
      <c r="N1088" t="s">
        <v>3704</v>
      </c>
      <c r="O1088" t="s">
        <v>3706</v>
      </c>
      <c r="P1088" s="2">
        <f t="shared" si="80"/>
        <v>45837</v>
      </c>
      <c r="Q1088" t="str">
        <f t="shared" si="81"/>
        <v>Zara Date</v>
      </c>
      <c r="R1088" t="str">
        <f t="shared" si="82"/>
        <v>Kolkata</v>
      </c>
      <c r="S1088" t="str">
        <f t="shared" si="83"/>
        <v>West Bengal</v>
      </c>
      <c r="T1088">
        <f t="shared" si="84"/>
        <v>22500</v>
      </c>
    </row>
    <row r="1089" spans="1:20" x14ac:dyDescent="0.35">
      <c r="A1089" t="s">
        <v>1102</v>
      </c>
      <c r="B1089" t="s">
        <v>1610</v>
      </c>
      <c r="C1089" t="s">
        <v>2130</v>
      </c>
      <c r="D1089" t="s">
        <v>3558</v>
      </c>
      <c r="E1089" t="s">
        <v>3671</v>
      </c>
      <c r="F1089">
        <v>49</v>
      </c>
      <c r="G1089" t="s">
        <v>3679</v>
      </c>
      <c r="H1089" t="s">
        <v>3684</v>
      </c>
      <c r="I1089" t="s">
        <v>3691</v>
      </c>
      <c r="J1089" t="s">
        <v>3693</v>
      </c>
      <c r="K1089" t="s">
        <v>3696</v>
      </c>
      <c r="L1089">
        <v>3</v>
      </c>
      <c r="M1089">
        <v>58000</v>
      </c>
      <c r="N1089" t="s">
        <v>3704</v>
      </c>
      <c r="O1089" t="s">
        <v>3705</v>
      </c>
      <c r="P1089" s="2">
        <f t="shared" si="80"/>
        <v>45832</v>
      </c>
      <c r="Q1089" t="str">
        <f t="shared" si="81"/>
        <v>Ishita Kalita</v>
      </c>
      <c r="R1089" t="str">
        <f t="shared" si="82"/>
        <v>Bengaluru</v>
      </c>
      <c r="S1089" t="str">
        <f t="shared" si="83"/>
        <v>Karnataka</v>
      </c>
      <c r="T1089">
        <f t="shared" si="84"/>
        <v>174000</v>
      </c>
    </row>
    <row r="1090" spans="1:20" x14ac:dyDescent="0.35">
      <c r="A1090" t="s">
        <v>1103</v>
      </c>
      <c r="B1090" t="s">
        <v>1557</v>
      </c>
      <c r="C1090" t="s">
        <v>2447</v>
      </c>
      <c r="D1090" t="s">
        <v>3559</v>
      </c>
      <c r="E1090" t="s">
        <v>3672</v>
      </c>
      <c r="F1090">
        <v>37</v>
      </c>
      <c r="G1090" t="s">
        <v>3674</v>
      </c>
      <c r="H1090" t="s">
        <v>3680</v>
      </c>
      <c r="I1090" t="s">
        <v>3689</v>
      </c>
      <c r="J1090" t="s">
        <v>3694</v>
      </c>
      <c r="K1090" t="s">
        <v>3699</v>
      </c>
      <c r="L1090">
        <v>1</v>
      </c>
      <c r="M1090">
        <v>1800</v>
      </c>
      <c r="N1090" t="s">
        <v>3702</v>
      </c>
      <c r="O1090" t="s">
        <v>3706</v>
      </c>
      <c r="P1090" s="2">
        <f t="shared" si="80"/>
        <v>45769</v>
      </c>
      <c r="Q1090" t="str">
        <f t="shared" si="81"/>
        <v>Hiran Virk</v>
      </c>
      <c r="R1090" t="str">
        <f t="shared" si="82"/>
        <v>Pune</v>
      </c>
      <c r="S1090" t="str">
        <f t="shared" si="83"/>
        <v>Maharashtra</v>
      </c>
      <c r="T1090">
        <f t="shared" si="84"/>
        <v>1800</v>
      </c>
    </row>
    <row r="1091" spans="1:20" x14ac:dyDescent="0.35">
      <c r="A1091" t="s">
        <v>1104</v>
      </c>
      <c r="B1091" t="s">
        <v>1343</v>
      </c>
      <c r="C1091" t="s">
        <v>2448</v>
      </c>
      <c r="D1091" t="s">
        <v>3560</v>
      </c>
      <c r="E1091" t="s">
        <v>3672</v>
      </c>
      <c r="F1091">
        <v>28</v>
      </c>
      <c r="G1091" t="s">
        <v>3677</v>
      </c>
      <c r="H1091" t="s">
        <v>3680</v>
      </c>
      <c r="I1091" t="s">
        <v>3690</v>
      </c>
      <c r="J1091" t="s">
        <v>3693</v>
      </c>
      <c r="K1091" t="s">
        <v>3700</v>
      </c>
      <c r="L1091">
        <v>5</v>
      </c>
      <c r="M1091">
        <v>72000</v>
      </c>
      <c r="N1091" t="s">
        <v>3701</v>
      </c>
      <c r="O1091" t="s">
        <v>3707</v>
      </c>
      <c r="P1091" s="2">
        <f t="shared" ref="P1091:P1154" si="85">DATEVALUE(SUBSTITUTE(B1091,"/","-"))</f>
        <v>45709</v>
      </c>
      <c r="Q1091" t="str">
        <f t="shared" ref="Q1091:Q1154" si="86">TRIM(CLEAN(D1091))</f>
        <v>Dhruv Kant</v>
      </c>
      <c r="R1091" t="str">
        <f t="shared" ref="R1091:R1154" si="87">IF(G1091="","Unknown",G1091)</f>
        <v>Mumbai</v>
      </c>
      <c r="S1091" t="str">
        <f t="shared" ref="S1091:S1154" si="88">IF(H1091="","Unknown",H1091)</f>
        <v>Maharashtra</v>
      </c>
      <c r="T1091">
        <f t="shared" ref="T1091:T1154" si="89">L1091*M1091</f>
        <v>360000</v>
      </c>
    </row>
    <row r="1092" spans="1:20" x14ac:dyDescent="0.35">
      <c r="A1092" t="s">
        <v>1105</v>
      </c>
      <c r="B1092" t="s">
        <v>1362</v>
      </c>
      <c r="C1092" t="s">
        <v>1888</v>
      </c>
      <c r="D1092" t="s">
        <v>3561</v>
      </c>
      <c r="E1092" t="s">
        <v>3671</v>
      </c>
      <c r="F1092">
        <v>35</v>
      </c>
      <c r="G1092" t="s">
        <v>3676</v>
      </c>
      <c r="H1092" t="s">
        <v>3682</v>
      </c>
      <c r="I1092" t="s">
        <v>3688</v>
      </c>
      <c r="J1092" t="s">
        <v>3694</v>
      </c>
      <c r="K1092" t="s">
        <v>3698</v>
      </c>
      <c r="L1092">
        <v>1</v>
      </c>
      <c r="M1092">
        <v>4500</v>
      </c>
      <c r="N1092" t="s">
        <v>3703</v>
      </c>
      <c r="O1092" t="s">
        <v>3707</v>
      </c>
      <c r="P1092" s="2">
        <f t="shared" si="85"/>
        <v>45674</v>
      </c>
      <c r="Q1092" t="str">
        <f t="shared" si="86"/>
        <v>Seher Bhattacharyya</v>
      </c>
      <c r="R1092" t="str">
        <f t="shared" si="87"/>
        <v>Chennai</v>
      </c>
      <c r="S1092" t="str">
        <f t="shared" si="88"/>
        <v>Tamil Nadu</v>
      </c>
      <c r="T1092">
        <f t="shared" si="89"/>
        <v>4500</v>
      </c>
    </row>
    <row r="1093" spans="1:20" x14ac:dyDescent="0.35">
      <c r="A1093" t="s">
        <v>1106</v>
      </c>
      <c r="B1093" t="s">
        <v>1730</v>
      </c>
      <c r="C1093" t="s">
        <v>2449</v>
      </c>
      <c r="D1093" t="s">
        <v>3562</v>
      </c>
      <c r="E1093" t="s">
        <v>3671</v>
      </c>
      <c r="F1093">
        <v>57</v>
      </c>
      <c r="G1093" t="s">
        <v>3673</v>
      </c>
      <c r="H1093" t="s">
        <v>3673</v>
      </c>
      <c r="I1093" t="s">
        <v>3691</v>
      </c>
      <c r="J1093" t="s">
        <v>3693</v>
      </c>
      <c r="K1093" t="s">
        <v>3696</v>
      </c>
      <c r="L1093">
        <v>2</v>
      </c>
      <c r="M1093">
        <v>58000</v>
      </c>
      <c r="N1093" t="s">
        <v>3703</v>
      </c>
      <c r="O1093" t="s">
        <v>3705</v>
      </c>
      <c r="P1093" s="2">
        <f t="shared" si="85"/>
        <v>45915</v>
      </c>
      <c r="Q1093" t="str">
        <f t="shared" si="86"/>
        <v>Kaira Samra</v>
      </c>
      <c r="R1093" t="str">
        <f t="shared" si="87"/>
        <v>Delhi</v>
      </c>
      <c r="S1093" t="str">
        <f t="shared" si="88"/>
        <v>Delhi</v>
      </c>
      <c r="T1093">
        <f t="shared" si="89"/>
        <v>116000</v>
      </c>
    </row>
    <row r="1094" spans="1:20" x14ac:dyDescent="0.35">
      <c r="A1094" t="s">
        <v>1107</v>
      </c>
      <c r="B1094" t="s">
        <v>1761</v>
      </c>
      <c r="C1094" t="s">
        <v>2198</v>
      </c>
      <c r="D1094" t="s">
        <v>3563</v>
      </c>
      <c r="E1094" t="s">
        <v>3671</v>
      </c>
      <c r="F1094">
        <v>45</v>
      </c>
      <c r="G1094" t="s">
        <v>3675</v>
      </c>
      <c r="H1094" t="s">
        <v>3681</v>
      </c>
      <c r="I1094" t="s">
        <v>3688</v>
      </c>
      <c r="J1094" t="s">
        <v>3694</v>
      </c>
      <c r="K1094" t="s">
        <v>3698</v>
      </c>
      <c r="L1094">
        <v>3</v>
      </c>
      <c r="M1094">
        <v>4500</v>
      </c>
      <c r="N1094" t="s">
        <v>3702</v>
      </c>
      <c r="O1094" t="s">
        <v>3705</v>
      </c>
      <c r="P1094" s="2">
        <f t="shared" si="85"/>
        <v>45663</v>
      </c>
      <c r="Q1094" t="str">
        <f t="shared" si="86"/>
        <v>Samar Toor</v>
      </c>
      <c r="R1094" t="str">
        <f t="shared" si="87"/>
        <v>Kolkata</v>
      </c>
      <c r="S1094" t="str">
        <f t="shared" si="88"/>
        <v>West Bengal</v>
      </c>
      <c r="T1094">
        <f t="shared" si="89"/>
        <v>13500</v>
      </c>
    </row>
    <row r="1095" spans="1:20" x14ac:dyDescent="0.35">
      <c r="A1095" t="s">
        <v>1108</v>
      </c>
      <c r="B1095" t="s">
        <v>1762</v>
      </c>
      <c r="C1095" t="s">
        <v>2234</v>
      </c>
      <c r="D1095" t="s">
        <v>3564</v>
      </c>
      <c r="E1095" t="s">
        <v>3671</v>
      </c>
      <c r="F1095">
        <v>35</v>
      </c>
      <c r="G1095" t="s">
        <v>3674</v>
      </c>
      <c r="H1095" t="s">
        <v>3680</v>
      </c>
      <c r="I1095" t="s">
        <v>3686</v>
      </c>
      <c r="J1095" t="s">
        <v>3693</v>
      </c>
      <c r="K1095" t="s">
        <v>3696</v>
      </c>
      <c r="L1095">
        <v>3</v>
      </c>
      <c r="M1095">
        <v>65000</v>
      </c>
      <c r="N1095" t="s">
        <v>3701</v>
      </c>
      <c r="O1095" t="s">
        <v>3707</v>
      </c>
      <c r="P1095" s="2">
        <f t="shared" si="85"/>
        <v>45807</v>
      </c>
      <c r="Q1095" t="str">
        <f t="shared" si="86"/>
        <v>Indranil Kaul</v>
      </c>
      <c r="R1095" t="str">
        <f t="shared" si="87"/>
        <v>Pune</v>
      </c>
      <c r="S1095" t="str">
        <f t="shared" si="88"/>
        <v>Maharashtra</v>
      </c>
      <c r="T1095">
        <f t="shared" si="89"/>
        <v>195000</v>
      </c>
    </row>
    <row r="1096" spans="1:20" x14ac:dyDescent="0.35">
      <c r="A1096" t="s">
        <v>1109</v>
      </c>
      <c r="B1096" t="s">
        <v>1458</v>
      </c>
      <c r="C1096" t="s">
        <v>2450</v>
      </c>
      <c r="D1096" t="s">
        <v>3565</v>
      </c>
      <c r="E1096" t="s">
        <v>3672</v>
      </c>
      <c r="F1096">
        <v>36</v>
      </c>
      <c r="G1096" t="s">
        <v>3677</v>
      </c>
      <c r="H1096" t="s">
        <v>3680</v>
      </c>
      <c r="I1096" t="s">
        <v>3686</v>
      </c>
      <c r="J1096" t="s">
        <v>3693</v>
      </c>
      <c r="K1096" t="s">
        <v>3696</v>
      </c>
      <c r="L1096">
        <v>5</v>
      </c>
      <c r="M1096">
        <v>65000</v>
      </c>
      <c r="N1096" t="s">
        <v>3704</v>
      </c>
      <c r="O1096" t="s">
        <v>3705</v>
      </c>
      <c r="P1096" s="2">
        <f t="shared" si="85"/>
        <v>45744</v>
      </c>
      <c r="Q1096" t="str">
        <f t="shared" si="86"/>
        <v>Dhruv Warrior</v>
      </c>
      <c r="R1096" t="str">
        <f t="shared" si="87"/>
        <v>Mumbai</v>
      </c>
      <c r="S1096" t="str">
        <f t="shared" si="88"/>
        <v>Maharashtra</v>
      </c>
      <c r="T1096">
        <f t="shared" si="89"/>
        <v>325000</v>
      </c>
    </row>
    <row r="1097" spans="1:20" x14ac:dyDescent="0.35">
      <c r="A1097" t="s">
        <v>1110</v>
      </c>
      <c r="B1097" t="s">
        <v>1717</v>
      </c>
      <c r="C1097" t="s">
        <v>2451</v>
      </c>
      <c r="D1097" t="s">
        <v>3566</v>
      </c>
      <c r="E1097" t="s">
        <v>3671</v>
      </c>
      <c r="F1097">
        <v>21</v>
      </c>
      <c r="G1097" t="s">
        <v>3674</v>
      </c>
      <c r="H1097" t="s">
        <v>3680</v>
      </c>
      <c r="I1097" t="s">
        <v>3690</v>
      </c>
      <c r="J1097" t="s">
        <v>3693</v>
      </c>
      <c r="K1097" t="s">
        <v>3700</v>
      </c>
      <c r="L1097">
        <v>1</v>
      </c>
      <c r="M1097">
        <v>72000</v>
      </c>
      <c r="N1097" t="s">
        <v>3701</v>
      </c>
      <c r="O1097" t="s">
        <v>3707</v>
      </c>
      <c r="P1097" s="2">
        <f t="shared" si="85"/>
        <v>45836</v>
      </c>
      <c r="Q1097" t="str">
        <f t="shared" si="86"/>
        <v>Sahil Dhar</v>
      </c>
      <c r="R1097" t="str">
        <f t="shared" si="87"/>
        <v>Pune</v>
      </c>
      <c r="S1097" t="str">
        <f t="shared" si="88"/>
        <v>Maharashtra</v>
      </c>
      <c r="T1097">
        <f t="shared" si="89"/>
        <v>72000</v>
      </c>
    </row>
    <row r="1098" spans="1:20" x14ac:dyDescent="0.35">
      <c r="A1098" t="s">
        <v>1111</v>
      </c>
      <c r="B1098" t="s">
        <v>1285</v>
      </c>
      <c r="C1098" t="s">
        <v>2097</v>
      </c>
      <c r="D1098" t="s">
        <v>3567</v>
      </c>
      <c r="E1098" t="s">
        <v>3672</v>
      </c>
      <c r="F1098">
        <v>29</v>
      </c>
      <c r="G1098" t="s">
        <v>3676</v>
      </c>
      <c r="H1098" t="s">
        <v>3682</v>
      </c>
      <c r="I1098" t="s">
        <v>3685</v>
      </c>
      <c r="J1098" t="s">
        <v>3692</v>
      </c>
      <c r="K1098" t="s">
        <v>3695</v>
      </c>
      <c r="L1098">
        <v>3</v>
      </c>
      <c r="M1098">
        <v>12000</v>
      </c>
      <c r="N1098" t="s">
        <v>3702</v>
      </c>
      <c r="O1098" t="s">
        <v>3705</v>
      </c>
      <c r="P1098" s="2">
        <f t="shared" si="85"/>
        <v>45971</v>
      </c>
      <c r="Q1098" t="str">
        <f t="shared" si="86"/>
        <v>Rati Rattan</v>
      </c>
      <c r="R1098" t="str">
        <f t="shared" si="87"/>
        <v>Chennai</v>
      </c>
      <c r="S1098" t="str">
        <f t="shared" si="88"/>
        <v>Tamil Nadu</v>
      </c>
      <c r="T1098">
        <f t="shared" si="89"/>
        <v>36000</v>
      </c>
    </row>
    <row r="1099" spans="1:20" x14ac:dyDescent="0.35">
      <c r="A1099" t="s">
        <v>1112</v>
      </c>
      <c r="B1099" t="s">
        <v>1255</v>
      </c>
      <c r="C1099" t="s">
        <v>2214</v>
      </c>
      <c r="D1099" t="s">
        <v>3568</v>
      </c>
      <c r="E1099" t="s">
        <v>3672</v>
      </c>
      <c r="F1099">
        <v>21</v>
      </c>
      <c r="G1099" t="s">
        <v>3675</v>
      </c>
      <c r="H1099" t="s">
        <v>3681</v>
      </c>
      <c r="I1099" t="s">
        <v>3689</v>
      </c>
      <c r="J1099" t="s">
        <v>3694</v>
      </c>
      <c r="K1099" t="s">
        <v>3699</v>
      </c>
      <c r="L1099">
        <v>2</v>
      </c>
      <c r="M1099">
        <v>1800</v>
      </c>
      <c r="N1099" t="s">
        <v>3703</v>
      </c>
      <c r="O1099" t="s">
        <v>3705</v>
      </c>
      <c r="P1099" s="2">
        <f t="shared" si="85"/>
        <v>45687</v>
      </c>
      <c r="Q1099" t="str">
        <f t="shared" si="86"/>
        <v>Darshit Khatri</v>
      </c>
      <c r="R1099" t="str">
        <f t="shared" si="87"/>
        <v>Kolkata</v>
      </c>
      <c r="S1099" t="str">
        <f t="shared" si="88"/>
        <v>West Bengal</v>
      </c>
      <c r="T1099">
        <f t="shared" si="89"/>
        <v>3600</v>
      </c>
    </row>
    <row r="1100" spans="1:20" x14ac:dyDescent="0.35">
      <c r="A1100" t="s">
        <v>1113</v>
      </c>
      <c r="B1100" t="s">
        <v>1656</v>
      </c>
      <c r="C1100" t="s">
        <v>2328</v>
      </c>
      <c r="D1100" t="s">
        <v>3569</v>
      </c>
      <c r="E1100" t="s">
        <v>3671</v>
      </c>
      <c r="F1100">
        <v>47</v>
      </c>
      <c r="G1100" t="s">
        <v>3677</v>
      </c>
      <c r="H1100" t="s">
        <v>3680</v>
      </c>
      <c r="I1100" t="s">
        <v>3691</v>
      </c>
      <c r="J1100" t="s">
        <v>3693</v>
      </c>
      <c r="K1100" t="s">
        <v>3696</v>
      </c>
      <c r="L1100">
        <v>1</v>
      </c>
      <c r="M1100">
        <v>58000</v>
      </c>
      <c r="N1100" t="s">
        <v>3701</v>
      </c>
      <c r="O1100" t="s">
        <v>3705</v>
      </c>
      <c r="P1100" s="2">
        <f t="shared" si="85"/>
        <v>45828</v>
      </c>
      <c r="Q1100" t="str">
        <f t="shared" si="86"/>
        <v>Mamooty Lalla</v>
      </c>
      <c r="R1100" t="str">
        <f t="shared" si="87"/>
        <v>Mumbai</v>
      </c>
      <c r="S1100" t="str">
        <f t="shared" si="88"/>
        <v>Maharashtra</v>
      </c>
      <c r="T1100">
        <f t="shared" si="89"/>
        <v>58000</v>
      </c>
    </row>
    <row r="1101" spans="1:20" x14ac:dyDescent="0.35">
      <c r="A1101" t="s">
        <v>1114</v>
      </c>
      <c r="B1101" t="s">
        <v>1763</v>
      </c>
      <c r="C1101" t="s">
        <v>2355</v>
      </c>
      <c r="D1101" t="s">
        <v>3570</v>
      </c>
      <c r="E1101" t="s">
        <v>3671</v>
      </c>
      <c r="F1101">
        <v>53</v>
      </c>
      <c r="G1101" t="s">
        <v>3673</v>
      </c>
      <c r="H1101" t="s">
        <v>3673</v>
      </c>
      <c r="I1101" t="s">
        <v>3689</v>
      </c>
      <c r="J1101" t="s">
        <v>3694</v>
      </c>
      <c r="K1101" t="s">
        <v>3699</v>
      </c>
      <c r="L1101">
        <v>1</v>
      </c>
      <c r="M1101">
        <v>1800</v>
      </c>
      <c r="N1101" t="s">
        <v>3702</v>
      </c>
      <c r="O1101" t="s">
        <v>3705</v>
      </c>
      <c r="P1101" s="2">
        <f t="shared" si="85"/>
        <v>45682</v>
      </c>
      <c r="Q1101" t="str">
        <f t="shared" si="86"/>
        <v>Anvi Chana</v>
      </c>
      <c r="R1101" t="str">
        <f t="shared" si="87"/>
        <v>Delhi</v>
      </c>
      <c r="S1101" t="str">
        <f t="shared" si="88"/>
        <v>Delhi</v>
      </c>
      <c r="T1101">
        <f t="shared" si="89"/>
        <v>1800</v>
      </c>
    </row>
    <row r="1102" spans="1:20" x14ac:dyDescent="0.35">
      <c r="A1102" t="s">
        <v>1115</v>
      </c>
      <c r="B1102" t="s">
        <v>1432</v>
      </c>
      <c r="C1102" t="s">
        <v>2452</v>
      </c>
      <c r="D1102" t="s">
        <v>3571</v>
      </c>
      <c r="E1102" t="s">
        <v>3671</v>
      </c>
      <c r="F1102">
        <v>50</v>
      </c>
      <c r="G1102" t="s">
        <v>3673</v>
      </c>
      <c r="H1102" t="s">
        <v>3673</v>
      </c>
      <c r="I1102" t="s">
        <v>3687</v>
      </c>
      <c r="J1102" t="s">
        <v>3693</v>
      </c>
      <c r="K1102" t="s">
        <v>3697</v>
      </c>
      <c r="L1102">
        <v>5</v>
      </c>
      <c r="M1102">
        <v>5000</v>
      </c>
      <c r="N1102" t="s">
        <v>3703</v>
      </c>
      <c r="O1102" t="s">
        <v>3706</v>
      </c>
      <c r="P1102" s="2">
        <f t="shared" si="85"/>
        <v>45859</v>
      </c>
      <c r="Q1102" t="str">
        <f t="shared" si="86"/>
        <v>Charvi Bobal</v>
      </c>
      <c r="R1102" t="str">
        <f t="shared" si="87"/>
        <v>Delhi</v>
      </c>
      <c r="S1102" t="str">
        <f t="shared" si="88"/>
        <v>Delhi</v>
      </c>
      <c r="T1102">
        <f t="shared" si="89"/>
        <v>25000</v>
      </c>
    </row>
    <row r="1103" spans="1:20" x14ac:dyDescent="0.35">
      <c r="A1103" t="s">
        <v>1116</v>
      </c>
      <c r="B1103" t="s">
        <v>1335</v>
      </c>
      <c r="C1103" t="s">
        <v>2135</v>
      </c>
      <c r="D1103" t="s">
        <v>3572</v>
      </c>
      <c r="E1103" t="s">
        <v>3671</v>
      </c>
      <c r="F1103">
        <v>57</v>
      </c>
      <c r="G1103" t="s">
        <v>3678</v>
      </c>
      <c r="H1103" t="s">
        <v>3683</v>
      </c>
      <c r="I1103" t="s">
        <v>3688</v>
      </c>
      <c r="J1103" t="s">
        <v>3694</v>
      </c>
      <c r="K1103" t="s">
        <v>3698</v>
      </c>
      <c r="L1103">
        <v>4</v>
      </c>
      <c r="M1103">
        <v>4500</v>
      </c>
      <c r="N1103" t="s">
        <v>3701</v>
      </c>
      <c r="O1103" t="s">
        <v>3705</v>
      </c>
      <c r="P1103" s="2">
        <f t="shared" si="85"/>
        <v>45870</v>
      </c>
      <c r="Q1103" t="str">
        <f t="shared" si="86"/>
        <v>Himmat Dara</v>
      </c>
      <c r="R1103" t="str">
        <f t="shared" si="87"/>
        <v>Hyderabad</v>
      </c>
      <c r="S1103" t="str">
        <f t="shared" si="88"/>
        <v>Telangana</v>
      </c>
      <c r="T1103">
        <f t="shared" si="89"/>
        <v>18000</v>
      </c>
    </row>
    <row r="1104" spans="1:20" x14ac:dyDescent="0.35">
      <c r="A1104" t="s">
        <v>1117</v>
      </c>
      <c r="B1104" t="s">
        <v>1642</v>
      </c>
      <c r="C1104" t="s">
        <v>2115</v>
      </c>
      <c r="D1104" t="s">
        <v>3573</v>
      </c>
      <c r="E1104" t="s">
        <v>3671</v>
      </c>
      <c r="F1104">
        <v>42</v>
      </c>
      <c r="G1104" t="s">
        <v>3675</v>
      </c>
      <c r="H1104" t="s">
        <v>3681</v>
      </c>
      <c r="I1104" t="s">
        <v>3691</v>
      </c>
      <c r="J1104" t="s">
        <v>3693</v>
      </c>
      <c r="K1104" t="s">
        <v>3696</v>
      </c>
      <c r="L1104">
        <v>3</v>
      </c>
      <c r="M1104">
        <v>58000</v>
      </c>
      <c r="N1104" t="s">
        <v>3701</v>
      </c>
      <c r="O1104" t="s">
        <v>3705</v>
      </c>
      <c r="P1104" s="2">
        <f t="shared" si="85"/>
        <v>45759</v>
      </c>
      <c r="Q1104" t="str">
        <f t="shared" si="86"/>
        <v>Anahita Dyal</v>
      </c>
      <c r="R1104" t="str">
        <f t="shared" si="87"/>
        <v>Kolkata</v>
      </c>
      <c r="S1104" t="str">
        <f t="shared" si="88"/>
        <v>West Bengal</v>
      </c>
      <c r="T1104">
        <f t="shared" si="89"/>
        <v>174000</v>
      </c>
    </row>
    <row r="1105" spans="1:20" x14ac:dyDescent="0.35">
      <c r="A1105" t="s">
        <v>1118</v>
      </c>
      <c r="B1105" t="s">
        <v>1541</v>
      </c>
      <c r="C1105" t="s">
        <v>2285</v>
      </c>
      <c r="D1105" t="s">
        <v>3574</v>
      </c>
      <c r="E1105" t="s">
        <v>3671</v>
      </c>
      <c r="F1105">
        <v>50</v>
      </c>
      <c r="G1105" t="s">
        <v>3675</v>
      </c>
      <c r="H1105" t="s">
        <v>3681</v>
      </c>
      <c r="I1105" t="s">
        <v>3686</v>
      </c>
      <c r="J1105" t="s">
        <v>3693</v>
      </c>
      <c r="K1105" t="s">
        <v>3696</v>
      </c>
      <c r="L1105">
        <v>5</v>
      </c>
      <c r="M1105">
        <v>65000</v>
      </c>
      <c r="N1105" t="s">
        <v>3701</v>
      </c>
      <c r="O1105" t="s">
        <v>3706</v>
      </c>
      <c r="P1105" s="2">
        <f t="shared" si="85"/>
        <v>45990</v>
      </c>
      <c r="Q1105" t="str">
        <f t="shared" si="86"/>
        <v>Navya Aurora</v>
      </c>
      <c r="R1105" t="str">
        <f t="shared" si="87"/>
        <v>Kolkata</v>
      </c>
      <c r="S1105" t="str">
        <f t="shared" si="88"/>
        <v>West Bengal</v>
      </c>
      <c r="T1105">
        <f t="shared" si="89"/>
        <v>325000</v>
      </c>
    </row>
    <row r="1106" spans="1:20" x14ac:dyDescent="0.35">
      <c r="A1106" t="s">
        <v>1119</v>
      </c>
      <c r="B1106" t="s">
        <v>1675</v>
      </c>
      <c r="C1106" t="s">
        <v>2040</v>
      </c>
      <c r="D1106" t="s">
        <v>3575</v>
      </c>
      <c r="E1106" t="s">
        <v>3672</v>
      </c>
      <c r="F1106">
        <v>47</v>
      </c>
      <c r="G1106" t="s">
        <v>3675</v>
      </c>
      <c r="H1106" t="s">
        <v>3681</v>
      </c>
      <c r="I1106" t="s">
        <v>3686</v>
      </c>
      <c r="J1106" t="s">
        <v>3693</v>
      </c>
      <c r="K1106" t="s">
        <v>3696</v>
      </c>
      <c r="L1106">
        <v>1</v>
      </c>
      <c r="M1106">
        <v>65000</v>
      </c>
      <c r="N1106" t="s">
        <v>3701</v>
      </c>
      <c r="O1106" t="s">
        <v>3707</v>
      </c>
      <c r="P1106" s="2">
        <f t="shared" si="85"/>
        <v>45949</v>
      </c>
      <c r="Q1106" t="str">
        <f t="shared" si="86"/>
        <v>Lakshit Mander</v>
      </c>
      <c r="R1106" t="str">
        <f t="shared" si="87"/>
        <v>Kolkata</v>
      </c>
      <c r="S1106" t="str">
        <f t="shared" si="88"/>
        <v>West Bengal</v>
      </c>
      <c r="T1106">
        <f t="shared" si="89"/>
        <v>65000</v>
      </c>
    </row>
    <row r="1107" spans="1:20" x14ac:dyDescent="0.35">
      <c r="A1107" t="s">
        <v>1120</v>
      </c>
      <c r="B1107" t="s">
        <v>1312</v>
      </c>
      <c r="C1107" t="s">
        <v>1857</v>
      </c>
      <c r="D1107" t="s">
        <v>3576</v>
      </c>
      <c r="E1107" t="s">
        <v>3671</v>
      </c>
      <c r="F1107">
        <v>31</v>
      </c>
      <c r="G1107" t="s">
        <v>3679</v>
      </c>
      <c r="H1107" t="s">
        <v>3684</v>
      </c>
      <c r="I1107" t="s">
        <v>3686</v>
      </c>
      <c r="J1107" t="s">
        <v>3693</v>
      </c>
      <c r="K1107" t="s">
        <v>3696</v>
      </c>
      <c r="L1107">
        <v>2</v>
      </c>
      <c r="M1107">
        <v>65000</v>
      </c>
      <c r="N1107" t="s">
        <v>3703</v>
      </c>
      <c r="O1107" t="s">
        <v>3707</v>
      </c>
      <c r="P1107" s="2">
        <f t="shared" si="85"/>
        <v>45903</v>
      </c>
      <c r="Q1107" t="str">
        <f t="shared" si="86"/>
        <v>Hrishita Shroff</v>
      </c>
      <c r="R1107" t="str">
        <f t="shared" si="87"/>
        <v>Bengaluru</v>
      </c>
      <c r="S1107" t="str">
        <f t="shared" si="88"/>
        <v>Karnataka</v>
      </c>
      <c r="T1107">
        <f t="shared" si="89"/>
        <v>130000</v>
      </c>
    </row>
    <row r="1108" spans="1:20" x14ac:dyDescent="0.35">
      <c r="A1108" t="s">
        <v>1121</v>
      </c>
      <c r="B1108" t="s">
        <v>1720</v>
      </c>
      <c r="C1108" t="s">
        <v>2301</v>
      </c>
      <c r="D1108" t="s">
        <v>3577</v>
      </c>
      <c r="E1108" t="s">
        <v>3671</v>
      </c>
      <c r="F1108">
        <v>52</v>
      </c>
      <c r="G1108" t="s">
        <v>3678</v>
      </c>
      <c r="H1108" t="s">
        <v>3683</v>
      </c>
      <c r="I1108" t="s">
        <v>3685</v>
      </c>
      <c r="J1108" t="s">
        <v>3692</v>
      </c>
      <c r="K1108" t="s">
        <v>3695</v>
      </c>
      <c r="L1108">
        <v>5</v>
      </c>
      <c r="M1108">
        <v>12000</v>
      </c>
      <c r="N1108" t="s">
        <v>3701</v>
      </c>
      <c r="O1108" t="s">
        <v>3707</v>
      </c>
      <c r="P1108" s="2">
        <f t="shared" si="85"/>
        <v>45719</v>
      </c>
      <c r="Q1108" t="str">
        <f t="shared" si="86"/>
        <v>Tarini Sen</v>
      </c>
      <c r="R1108" t="str">
        <f t="shared" si="87"/>
        <v>Hyderabad</v>
      </c>
      <c r="S1108" t="str">
        <f t="shared" si="88"/>
        <v>Telangana</v>
      </c>
      <c r="T1108">
        <f t="shared" si="89"/>
        <v>60000</v>
      </c>
    </row>
    <row r="1109" spans="1:20" x14ac:dyDescent="0.35">
      <c r="A1109" t="s">
        <v>1122</v>
      </c>
      <c r="B1109" t="s">
        <v>1764</v>
      </c>
      <c r="C1109" t="s">
        <v>2271</v>
      </c>
      <c r="D1109" t="s">
        <v>3578</v>
      </c>
      <c r="E1109" t="s">
        <v>3671</v>
      </c>
      <c r="F1109">
        <v>49</v>
      </c>
      <c r="G1109" t="s">
        <v>3674</v>
      </c>
      <c r="H1109" t="s">
        <v>3680</v>
      </c>
      <c r="I1109" t="s">
        <v>3689</v>
      </c>
      <c r="J1109" t="s">
        <v>3694</v>
      </c>
      <c r="K1109" t="s">
        <v>3699</v>
      </c>
      <c r="L1109">
        <v>5</v>
      </c>
      <c r="M1109">
        <v>1800</v>
      </c>
      <c r="N1109" t="s">
        <v>3702</v>
      </c>
      <c r="O1109" t="s">
        <v>3706</v>
      </c>
      <c r="P1109" s="2">
        <f t="shared" si="85"/>
        <v>45886</v>
      </c>
      <c r="Q1109" t="str">
        <f t="shared" si="86"/>
        <v>Divij Grover</v>
      </c>
      <c r="R1109" t="str">
        <f t="shared" si="87"/>
        <v>Pune</v>
      </c>
      <c r="S1109" t="str">
        <f t="shared" si="88"/>
        <v>Maharashtra</v>
      </c>
      <c r="T1109">
        <f t="shared" si="89"/>
        <v>9000</v>
      </c>
    </row>
    <row r="1110" spans="1:20" x14ac:dyDescent="0.35">
      <c r="A1110" t="s">
        <v>1123</v>
      </c>
      <c r="B1110" t="s">
        <v>1389</v>
      </c>
      <c r="C1110" t="s">
        <v>2453</v>
      </c>
      <c r="D1110" t="s">
        <v>3579</v>
      </c>
      <c r="E1110" t="s">
        <v>3672</v>
      </c>
      <c r="F1110">
        <v>42</v>
      </c>
      <c r="G1110" t="s">
        <v>3678</v>
      </c>
      <c r="H1110" t="s">
        <v>3683</v>
      </c>
      <c r="I1110" t="s">
        <v>3685</v>
      </c>
      <c r="J1110" t="s">
        <v>3692</v>
      </c>
      <c r="K1110" t="s">
        <v>3695</v>
      </c>
      <c r="L1110">
        <v>1</v>
      </c>
      <c r="M1110">
        <v>12000</v>
      </c>
      <c r="N1110" t="s">
        <v>3703</v>
      </c>
      <c r="O1110" t="s">
        <v>3707</v>
      </c>
      <c r="P1110" s="2">
        <f t="shared" si="85"/>
        <v>45686</v>
      </c>
      <c r="Q1110" t="str">
        <f t="shared" si="86"/>
        <v>Faiyaz Venkatesh</v>
      </c>
      <c r="R1110" t="str">
        <f t="shared" si="87"/>
        <v>Hyderabad</v>
      </c>
      <c r="S1110" t="str">
        <f t="shared" si="88"/>
        <v>Telangana</v>
      </c>
      <c r="T1110">
        <f t="shared" si="89"/>
        <v>12000</v>
      </c>
    </row>
    <row r="1111" spans="1:20" x14ac:dyDescent="0.35">
      <c r="A1111" t="s">
        <v>1124</v>
      </c>
      <c r="B1111" t="s">
        <v>1702</v>
      </c>
      <c r="C1111" t="s">
        <v>2454</v>
      </c>
      <c r="D1111" t="s">
        <v>3580</v>
      </c>
      <c r="E1111" t="s">
        <v>3672</v>
      </c>
      <c r="F1111">
        <v>32</v>
      </c>
      <c r="G1111" t="s">
        <v>3678</v>
      </c>
      <c r="H1111" t="s">
        <v>3683</v>
      </c>
      <c r="I1111" t="s">
        <v>3685</v>
      </c>
      <c r="J1111" t="s">
        <v>3692</v>
      </c>
      <c r="K1111" t="s">
        <v>3695</v>
      </c>
      <c r="L1111">
        <v>3</v>
      </c>
      <c r="M1111">
        <v>12000</v>
      </c>
      <c r="N1111" t="s">
        <v>3704</v>
      </c>
      <c r="O1111" t="s">
        <v>3705</v>
      </c>
      <c r="P1111" s="2">
        <f t="shared" si="85"/>
        <v>45980</v>
      </c>
      <c r="Q1111" t="str">
        <f t="shared" si="86"/>
        <v>Khushi Comar</v>
      </c>
      <c r="R1111" t="str">
        <f t="shared" si="87"/>
        <v>Hyderabad</v>
      </c>
      <c r="S1111" t="str">
        <f t="shared" si="88"/>
        <v>Telangana</v>
      </c>
      <c r="T1111">
        <f t="shared" si="89"/>
        <v>36000</v>
      </c>
    </row>
    <row r="1112" spans="1:20" x14ac:dyDescent="0.35">
      <c r="A1112" t="s">
        <v>1125</v>
      </c>
      <c r="B1112" t="s">
        <v>1435</v>
      </c>
      <c r="C1112" t="s">
        <v>2455</v>
      </c>
      <c r="D1112" t="s">
        <v>3581</v>
      </c>
      <c r="E1112" t="s">
        <v>3672</v>
      </c>
      <c r="F1112">
        <v>24</v>
      </c>
      <c r="G1112" t="s">
        <v>3679</v>
      </c>
      <c r="H1112" t="s">
        <v>3684</v>
      </c>
      <c r="I1112" t="s">
        <v>3686</v>
      </c>
      <c r="J1112" t="s">
        <v>3693</v>
      </c>
      <c r="K1112" t="s">
        <v>3696</v>
      </c>
      <c r="L1112">
        <v>5</v>
      </c>
      <c r="M1112">
        <v>65000</v>
      </c>
      <c r="N1112" t="s">
        <v>3702</v>
      </c>
      <c r="O1112" t="s">
        <v>3706</v>
      </c>
      <c r="P1112" s="2">
        <f t="shared" si="85"/>
        <v>45962</v>
      </c>
      <c r="Q1112" t="str">
        <f t="shared" si="86"/>
        <v>Anaya Hari</v>
      </c>
      <c r="R1112" t="str">
        <f t="shared" si="87"/>
        <v>Bengaluru</v>
      </c>
      <c r="S1112" t="str">
        <f t="shared" si="88"/>
        <v>Karnataka</v>
      </c>
      <c r="T1112">
        <f t="shared" si="89"/>
        <v>325000</v>
      </c>
    </row>
    <row r="1113" spans="1:20" x14ac:dyDescent="0.35">
      <c r="A1113" t="s">
        <v>1126</v>
      </c>
      <c r="B1113" t="s">
        <v>1372</v>
      </c>
      <c r="C1113" t="s">
        <v>2456</v>
      </c>
      <c r="D1113" t="s">
        <v>3582</v>
      </c>
      <c r="E1113" t="s">
        <v>3671</v>
      </c>
      <c r="F1113">
        <v>25</v>
      </c>
      <c r="G1113" t="s">
        <v>3678</v>
      </c>
      <c r="H1113" t="s">
        <v>3683</v>
      </c>
      <c r="I1113" t="s">
        <v>3691</v>
      </c>
      <c r="J1113" t="s">
        <v>3693</v>
      </c>
      <c r="K1113" t="s">
        <v>3696</v>
      </c>
      <c r="L1113">
        <v>4</v>
      </c>
      <c r="M1113">
        <v>58000</v>
      </c>
      <c r="N1113" t="s">
        <v>3701</v>
      </c>
      <c r="O1113" t="s">
        <v>3707</v>
      </c>
      <c r="P1113" s="2">
        <f t="shared" si="85"/>
        <v>45921</v>
      </c>
      <c r="Q1113" t="str">
        <f t="shared" si="86"/>
        <v>Biju Ratta</v>
      </c>
      <c r="R1113" t="str">
        <f t="shared" si="87"/>
        <v>Hyderabad</v>
      </c>
      <c r="S1113" t="str">
        <f t="shared" si="88"/>
        <v>Telangana</v>
      </c>
      <c r="T1113">
        <f t="shared" si="89"/>
        <v>232000</v>
      </c>
    </row>
    <row r="1114" spans="1:20" x14ac:dyDescent="0.35">
      <c r="A1114" t="s">
        <v>1127</v>
      </c>
      <c r="B1114" t="s">
        <v>1765</v>
      </c>
      <c r="C1114" t="s">
        <v>2102</v>
      </c>
      <c r="D1114" t="s">
        <v>3583</v>
      </c>
      <c r="E1114" t="s">
        <v>3671</v>
      </c>
      <c r="F1114">
        <v>40</v>
      </c>
      <c r="G1114" t="s">
        <v>3676</v>
      </c>
      <c r="H1114" t="s">
        <v>3682</v>
      </c>
      <c r="I1114" t="s">
        <v>3686</v>
      </c>
      <c r="J1114" t="s">
        <v>3693</v>
      </c>
      <c r="K1114" t="s">
        <v>3696</v>
      </c>
      <c r="L1114">
        <v>4</v>
      </c>
      <c r="M1114">
        <v>65000</v>
      </c>
      <c r="N1114" t="s">
        <v>3704</v>
      </c>
      <c r="O1114" t="s">
        <v>3707</v>
      </c>
      <c r="P1114" s="2">
        <f t="shared" si="85"/>
        <v>45670</v>
      </c>
      <c r="Q1114" t="str">
        <f t="shared" si="86"/>
        <v>Dharmajan Wable</v>
      </c>
      <c r="R1114" t="str">
        <f t="shared" si="87"/>
        <v>Chennai</v>
      </c>
      <c r="S1114" t="str">
        <f t="shared" si="88"/>
        <v>Tamil Nadu</v>
      </c>
      <c r="T1114">
        <f t="shared" si="89"/>
        <v>260000</v>
      </c>
    </row>
    <row r="1115" spans="1:20" x14ac:dyDescent="0.35">
      <c r="A1115" t="s">
        <v>1128</v>
      </c>
      <c r="B1115" t="s">
        <v>1334</v>
      </c>
      <c r="C1115" t="s">
        <v>2240</v>
      </c>
      <c r="D1115" t="s">
        <v>3584</v>
      </c>
      <c r="E1115" t="s">
        <v>3672</v>
      </c>
      <c r="F1115">
        <v>56</v>
      </c>
      <c r="G1115" t="s">
        <v>3674</v>
      </c>
      <c r="H1115" t="s">
        <v>3680</v>
      </c>
      <c r="I1115" t="s">
        <v>3685</v>
      </c>
      <c r="J1115" t="s">
        <v>3692</v>
      </c>
      <c r="K1115" t="s">
        <v>3695</v>
      </c>
      <c r="L1115">
        <v>5</v>
      </c>
      <c r="M1115">
        <v>12000</v>
      </c>
      <c r="N1115" t="s">
        <v>3702</v>
      </c>
      <c r="O1115" t="s">
        <v>3706</v>
      </c>
      <c r="P1115" s="2">
        <f t="shared" si="85"/>
        <v>45767</v>
      </c>
      <c r="Q1115" t="str">
        <f t="shared" si="86"/>
        <v>Anika Kale</v>
      </c>
      <c r="R1115" t="str">
        <f t="shared" si="87"/>
        <v>Pune</v>
      </c>
      <c r="S1115" t="str">
        <f t="shared" si="88"/>
        <v>Maharashtra</v>
      </c>
      <c r="T1115">
        <f t="shared" si="89"/>
        <v>60000</v>
      </c>
    </row>
    <row r="1116" spans="1:20" x14ac:dyDescent="0.35">
      <c r="A1116" t="s">
        <v>1129</v>
      </c>
      <c r="B1116" t="s">
        <v>1683</v>
      </c>
      <c r="C1116" t="s">
        <v>2286</v>
      </c>
      <c r="D1116" t="s">
        <v>3585</v>
      </c>
      <c r="E1116" t="s">
        <v>3671</v>
      </c>
      <c r="F1116">
        <v>19</v>
      </c>
      <c r="G1116" t="s">
        <v>3675</v>
      </c>
      <c r="H1116" t="s">
        <v>3681</v>
      </c>
      <c r="I1116" t="s">
        <v>3689</v>
      </c>
      <c r="J1116" t="s">
        <v>3694</v>
      </c>
      <c r="K1116" t="s">
        <v>3699</v>
      </c>
      <c r="L1116">
        <v>3</v>
      </c>
      <c r="M1116">
        <v>1800</v>
      </c>
      <c r="N1116" t="s">
        <v>3704</v>
      </c>
      <c r="O1116" t="s">
        <v>3707</v>
      </c>
      <c r="P1116" s="2">
        <f t="shared" si="85"/>
        <v>45665</v>
      </c>
      <c r="Q1116" t="str">
        <f t="shared" si="86"/>
        <v>Manjari Goyal</v>
      </c>
      <c r="R1116" t="str">
        <f t="shared" si="87"/>
        <v>Kolkata</v>
      </c>
      <c r="S1116" t="str">
        <f t="shared" si="88"/>
        <v>West Bengal</v>
      </c>
      <c r="T1116">
        <f t="shared" si="89"/>
        <v>5400</v>
      </c>
    </row>
    <row r="1117" spans="1:20" x14ac:dyDescent="0.35">
      <c r="A1117" t="s">
        <v>1130</v>
      </c>
      <c r="B1117" t="s">
        <v>1663</v>
      </c>
      <c r="C1117" t="s">
        <v>2080</v>
      </c>
      <c r="D1117" t="s">
        <v>3586</v>
      </c>
      <c r="E1117" t="s">
        <v>3671</v>
      </c>
      <c r="F1117">
        <v>32</v>
      </c>
      <c r="G1117" t="s">
        <v>3676</v>
      </c>
      <c r="H1117" t="s">
        <v>3682</v>
      </c>
      <c r="I1117" t="s">
        <v>3688</v>
      </c>
      <c r="J1117" t="s">
        <v>3694</v>
      </c>
      <c r="K1117" t="s">
        <v>3698</v>
      </c>
      <c r="L1117">
        <v>5</v>
      </c>
      <c r="M1117">
        <v>4500</v>
      </c>
      <c r="N1117" t="s">
        <v>3703</v>
      </c>
      <c r="O1117" t="s">
        <v>3705</v>
      </c>
      <c r="P1117" s="2">
        <f t="shared" si="85"/>
        <v>45985</v>
      </c>
      <c r="Q1117" t="str">
        <f t="shared" si="86"/>
        <v>Trisha Kashyap</v>
      </c>
      <c r="R1117" t="str">
        <f t="shared" si="87"/>
        <v>Chennai</v>
      </c>
      <c r="S1117" t="str">
        <f t="shared" si="88"/>
        <v>Tamil Nadu</v>
      </c>
      <c r="T1117">
        <f t="shared" si="89"/>
        <v>22500</v>
      </c>
    </row>
    <row r="1118" spans="1:20" x14ac:dyDescent="0.35">
      <c r="A1118" t="s">
        <v>1131</v>
      </c>
      <c r="B1118" t="s">
        <v>1237</v>
      </c>
      <c r="C1118" t="s">
        <v>2457</v>
      </c>
      <c r="D1118" t="s">
        <v>3587</v>
      </c>
      <c r="E1118" t="s">
        <v>3672</v>
      </c>
      <c r="F1118">
        <v>38</v>
      </c>
      <c r="G1118" t="s">
        <v>3674</v>
      </c>
      <c r="H1118" t="s">
        <v>3680</v>
      </c>
      <c r="I1118" t="s">
        <v>3689</v>
      </c>
      <c r="J1118" t="s">
        <v>3694</v>
      </c>
      <c r="K1118" t="s">
        <v>3699</v>
      </c>
      <c r="L1118">
        <v>4</v>
      </c>
      <c r="M1118">
        <v>1800</v>
      </c>
      <c r="N1118" t="s">
        <v>3703</v>
      </c>
      <c r="O1118" t="s">
        <v>3705</v>
      </c>
      <c r="P1118" s="2">
        <f t="shared" si="85"/>
        <v>45892</v>
      </c>
      <c r="Q1118" t="str">
        <f t="shared" si="86"/>
        <v>Lagan Kala</v>
      </c>
      <c r="R1118" t="str">
        <f t="shared" si="87"/>
        <v>Pune</v>
      </c>
      <c r="S1118" t="str">
        <f t="shared" si="88"/>
        <v>Maharashtra</v>
      </c>
      <c r="T1118">
        <f t="shared" si="89"/>
        <v>7200</v>
      </c>
    </row>
    <row r="1119" spans="1:20" x14ac:dyDescent="0.35">
      <c r="A1119" t="s">
        <v>1132</v>
      </c>
      <c r="B1119" t="s">
        <v>1337</v>
      </c>
      <c r="C1119" t="s">
        <v>2458</v>
      </c>
      <c r="D1119" t="s">
        <v>3588</v>
      </c>
      <c r="E1119" t="s">
        <v>3671</v>
      </c>
      <c r="F1119">
        <v>24</v>
      </c>
      <c r="G1119" t="s">
        <v>3676</v>
      </c>
      <c r="H1119" t="s">
        <v>3682</v>
      </c>
      <c r="I1119" t="s">
        <v>3691</v>
      </c>
      <c r="J1119" t="s">
        <v>3693</v>
      </c>
      <c r="K1119" t="s">
        <v>3696</v>
      </c>
      <c r="L1119">
        <v>2</v>
      </c>
      <c r="M1119">
        <v>58000</v>
      </c>
      <c r="N1119" t="s">
        <v>3702</v>
      </c>
      <c r="O1119" t="s">
        <v>3707</v>
      </c>
      <c r="P1119" s="2">
        <f t="shared" si="85"/>
        <v>45880</v>
      </c>
      <c r="Q1119" t="str">
        <f t="shared" si="86"/>
        <v>Indranil Kamdar</v>
      </c>
      <c r="R1119" t="str">
        <f t="shared" si="87"/>
        <v>Chennai</v>
      </c>
      <c r="S1119" t="str">
        <f t="shared" si="88"/>
        <v>Tamil Nadu</v>
      </c>
      <c r="T1119">
        <f t="shared" si="89"/>
        <v>116000</v>
      </c>
    </row>
    <row r="1120" spans="1:20" x14ac:dyDescent="0.35">
      <c r="A1120" t="s">
        <v>1133</v>
      </c>
      <c r="B1120" t="s">
        <v>1302</v>
      </c>
      <c r="C1120" t="s">
        <v>2436</v>
      </c>
      <c r="D1120" t="s">
        <v>3589</v>
      </c>
      <c r="E1120" t="s">
        <v>3671</v>
      </c>
      <c r="F1120">
        <v>58</v>
      </c>
      <c r="G1120" t="s">
        <v>3679</v>
      </c>
      <c r="H1120" t="s">
        <v>3684</v>
      </c>
      <c r="I1120" t="s">
        <v>3688</v>
      </c>
      <c r="J1120" t="s">
        <v>3694</v>
      </c>
      <c r="K1120" t="s">
        <v>3698</v>
      </c>
      <c r="L1120">
        <v>5</v>
      </c>
      <c r="M1120">
        <v>4500</v>
      </c>
      <c r="N1120" t="s">
        <v>3701</v>
      </c>
      <c r="O1120" t="s">
        <v>3705</v>
      </c>
      <c r="P1120" s="2">
        <f t="shared" si="85"/>
        <v>45867</v>
      </c>
      <c r="Q1120" t="str">
        <f t="shared" si="86"/>
        <v>Jivika Sinha</v>
      </c>
      <c r="R1120" t="str">
        <f t="shared" si="87"/>
        <v>Bengaluru</v>
      </c>
      <c r="S1120" t="str">
        <f t="shared" si="88"/>
        <v>Karnataka</v>
      </c>
      <c r="T1120">
        <f t="shared" si="89"/>
        <v>22500</v>
      </c>
    </row>
    <row r="1121" spans="1:20" x14ac:dyDescent="0.35">
      <c r="A1121" t="s">
        <v>1134</v>
      </c>
      <c r="B1121" t="s">
        <v>1762</v>
      </c>
      <c r="C1121" t="s">
        <v>2459</v>
      </c>
      <c r="D1121" t="s">
        <v>3590</v>
      </c>
      <c r="E1121" t="s">
        <v>3671</v>
      </c>
      <c r="F1121">
        <v>27</v>
      </c>
      <c r="G1121" t="s">
        <v>3675</v>
      </c>
      <c r="H1121" t="s">
        <v>3681</v>
      </c>
      <c r="I1121" t="s">
        <v>3687</v>
      </c>
      <c r="J1121" t="s">
        <v>3693</v>
      </c>
      <c r="K1121" t="s">
        <v>3697</v>
      </c>
      <c r="L1121">
        <v>4</v>
      </c>
      <c r="M1121">
        <v>5000</v>
      </c>
      <c r="N1121" t="s">
        <v>3703</v>
      </c>
      <c r="O1121" t="s">
        <v>3706</v>
      </c>
      <c r="P1121" s="2">
        <f t="shared" si="85"/>
        <v>45807</v>
      </c>
      <c r="Q1121" t="str">
        <f t="shared" si="86"/>
        <v>Ehsaan Walia</v>
      </c>
      <c r="R1121" t="str">
        <f t="shared" si="87"/>
        <v>Kolkata</v>
      </c>
      <c r="S1121" t="str">
        <f t="shared" si="88"/>
        <v>West Bengal</v>
      </c>
      <c r="T1121">
        <f t="shared" si="89"/>
        <v>20000</v>
      </c>
    </row>
    <row r="1122" spans="1:20" x14ac:dyDescent="0.35">
      <c r="A1122" t="s">
        <v>1135</v>
      </c>
      <c r="B1122" t="s">
        <v>1234</v>
      </c>
      <c r="C1122" t="s">
        <v>2460</v>
      </c>
      <c r="D1122" t="s">
        <v>3591</v>
      </c>
      <c r="E1122" t="s">
        <v>3671</v>
      </c>
      <c r="F1122">
        <v>43</v>
      </c>
      <c r="G1122" t="s">
        <v>3676</v>
      </c>
      <c r="H1122" t="s">
        <v>3682</v>
      </c>
      <c r="I1122" t="s">
        <v>3686</v>
      </c>
      <c r="J1122" t="s">
        <v>3693</v>
      </c>
      <c r="K1122" t="s">
        <v>3696</v>
      </c>
      <c r="L1122">
        <v>3</v>
      </c>
      <c r="M1122">
        <v>65000</v>
      </c>
      <c r="N1122" t="s">
        <v>3703</v>
      </c>
      <c r="O1122" t="s">
        <v>3705</v>
      </c>
      <c r="P1122" s="2">
        <f t="shared" si="85"/>
        <v>45818</v>
      </c>
      <c r="Q1122" t="str">
        <f t="shared" si="86"/>
        <v>Jivin Jha</v>
      </c>
      <c r="R1122" t="str">
        <f t="shared" si="87"/>
        <v>Chennai</v>
      </c>
      <c r="S1122" t="str">
        <f t="shared" si="88"/>
        <v>Tamil Nadu</v>
      </c>
      <c r="T1122">
        <f t="shared" si="89"/>
        <v>195000</v>
      </c>
    </row>
    <row r="1123" spans="1:20" x14ac:dyDescent="0.35">
      <c r="A1123" t="s">
        <v>1136</v>
      </c>
      <c r="B1123" t="s">
        <v>1655</v>
      </c>
      <c r="C1123" t="s">
        <v>2080</v>
      </c>
      <c r="D1123" t="s">
        <v>3592</v>
      </c>
      <c r="E1123" t="s">
        <v>3671</v>
      </c>
      <c r="F1123">
        <v>50</v>
      </c>
      <c r="G1123" t="s">
        <v>3674</v>
      </c>
      <c r="H1123" t="s">
        <v>3680</v>
      </c>
      <c r="I1123" t="s">
        <v>3691</v>
      </c>
      <c r="J1123" t="s">
        <v>3693</v>
      </c>
      <c r="K1123" t="s">
        <v>3696</v>
      </c>
      <c r="L1123">
        <v>3</v>
      </c>
      <c r="M1123">
        <v>58000</v>
      </c>
      <c r="N1123" t="s">
        <v>3702</v>
      </c>
      <c r="O1123" t="s">
        <v>3707</v>
      </c>
      <c r="P1123" s="2">
        <f t="shared" si="85"/>
        <v>46004</v>
      </c>
      <c r="Q1123" t="str">
        <f t="shared" si="86"/>
        <v>Umang Vora</v>
      </c>
      <c r="R1123" t="str">
        <f t="shared" si="87"/>
        <v>Pune</v>
      </c>
      <c r="S1123" t="str">
        <f t="shared" si="88"/>
        <v>Maharashtra</v>
      </c>
      <c r="T1123">
        <f t="shared" si="89"/>
        <v>174000</v>
      </c>
    </row>
    <row r="1124" spans="1:20" x14ac:dyDescent="0.35">
      <c r="A1124" t="s">
        <v>1137</v>
      </c>
      <c r="B1124" t="s">
        <v>1766</v>
      </c>
      <c r="C1124" t="s">
        <v>1858</v>
      </c>
      <c r="D1124" t="s">
        <v>3593</v>
      </c>
      <c r="E1124" t="s">
        <v>3672</v>
      </c>
      <c r="F1124">
        <v>53</v>
      </c>
      <c r="G1124" t="s">
        <v>3677</v>
      </c>
      <c r="H1124" t="s">
        <v>3680</v>
      </c>
      <c r="I1124" t="s">
        <v>3687</v>
      </c>
      <c r="J1124" t="s">
        <v>3693</v>
      </c>
      <c r="K1124" t="s">
        <v>3697</v>
      </c>
      <c r="L1124">
        <v>2</v>
      </c>
      <c r="M1124">
        <v>5000</v>
      </c>
      <c r="N1124" t="s">
        <v>3702</v>
      </c>
      <c r="O1124" t="s">
        <v>3706</v>
      </c>
      <c r="P1124" s="2">
        <f t="shared" si="85"/>
        <v>46023</v>
      </c>
      <c r="Q1124" t="str">
        <f t="shared" si="86"/>
        <v>Pari Balan</v>
      </c>
      <c r="R1124" t="str">
        <f t="shared" si="87"/>
        <v>Mumbai</v>
      </c>
      <c r="S1124" t="str">
        <f t="shared" si="88"/>
        <v>Maharashtra</v>
      </c>
      <c r="T1124">
        <f t="shared" si="89"/>
        <v>10000</v>
      </c>
    </row>
    <row r="1125" spans="1:20" x14ac:dyDescent="0.35">
      <c r="A1125" t="s">
        <v>1138</v>
      </c>
      <c r="B1125" t="s">
        <v>1657</v>
      </c>
      <c r="C1125" t="s">
        <v>2218</v>
      </c>
      <c r="D1125" t="s">
        <v>3594</v>
      </c>
      <c r="E1125" t="s">
        <v>3672</v>
      </c>
      <c r="F1125">
        <v>37</v>
      </c>
      <c r="G1125" t="s">
        <v>3679</v>
      </c>
      <c r="H1125" t="s">
        <v>3684</v>
      </c>
      <c r="I1125" t="s">
        <v>3688</v>
      </c>
      <c r="J1125" t="s">
        <v>3694</v>
      </c>
      <c r="K1125" t="s">
        <v>3698</v>
      </c>
      <c r="L1125">
        <v>2</v>
      </c>
      <c r="M1125">
        <v>4500</v>
      </c>
      <c r="N1125" t="s">
        <v>3702</v>
      </c>
      <c r="O1125" t="s">
        <v>3706</v>
      </c>
      <c r="P1125" s="2">
        <f t="shared" si="85"/>
        <v>45788</v>
      </c>
      <c r="Q1125" t="str">
        <f t="shared" si="86"/>
        <v>Ryan Bassi</v>
      </c>
      <c r="R1125" t="str">
        <f t="shared" si="87"/>
        <v>Bengaluru</v>
      </c>
      <c r="S1125" t="str">
        <f t="shared" si="88"/>
        <v>Karnataka</v>
      </c>
      <c r="T1125">
        <f t="shared" si="89"/>
        <v>9000</v>
      </c>
    </row>
    <row r="1126" spans="1:20" x14ac:dyDescent="0.35">
      <c r="A1126" t="s">
        <v>1139</v>
      </c>
      <c r="B1126" t="s">
        <v>1620</v>
      </c>
      <c r="C1126" t="s">
        <v>2461</v>
      </c>
      <c r="D1126" t="s">
        <v>3595</v>
      </c>
      <c r="E1126" t="s">
        <v>3671</v>
      </c>
      <c r="F1126">
        <v>39</v>
      </c>
      <c r="G1126" t="s">
        <v>3679</v>
      </c>
      <c r="H1126" t="s">
        <v>3684</v>
      </c>
      <c r="I1126" t="s">
        <v>3690</v>
      </c>
      <c r="J1126" t="s">
        <v>3693</v>
      </c>
      <c r="K1126" t="s">
        <v>3700</v>
      </c>
      <c r="L1126">
        <v>5</v>
      </c>
      <c r="M1126">
        <v>72000</v>
      </c>
      <c r="N1126" t="s">
        <v>3704</v>
      </c>
      <c r="O1126" t="s">
        <v>3705</v>
      </c>
      <c r="P1126" s="2">
        <f t="shared" si="85"/>
        <v>45932</v>
      </c>
      <c r="Q1126" t="str">
        <f t="shared" si="86"/>
        <v>Nehmat Subramanian</v>
      </c>
      <c r="R1126" t="str">
        <f t="shared" si="87"/>
        <v>Bengaluru</v>
      </c>
      <c r="S1126" t="str">
        <f t="shared" si="88"/>
        <v>Karnataka</v>
      </c>
      <c r="T1126">
        <f t="shared" si="89"/>
        <v>360000</v>
      </c>
    </row>
    <row r="1127" spans="1:20" x14ac:dyDescent="0.35">
      <c r="A1127" t="s">
        <v>1140</v>
      </c>
      <c r="B1127" t="s">
        <v>1394</v>
      </c>
      <c r="C1127" t="s">
        <v>2021</v>
      </c>
      <c r="D1127" t="s">
        <v>3596</v>
      </c>
      <c r="E1127" t="s">
        <v>3671</v>
      </c>
      <c r="F1127">
        <v>42</v>
      </c>
      <c r="G1127" t="s">
        <v>3679</v>
      </c>
      <c r="H1127" t="s">
        <v>3684</v>
      </c>
      <c r="I1127" t="s">
        <v>3691</v>
      </c>
      <c r="J1127" t="s">
        <v>3693</v>
      </c>
      <c r="K1127" t="s">
        <v>3696</v>
      </c>
      <c r="L1127">
        <v>2</v>
      </c>
      <c r="M1127">
        <v>58000</v>
      </c>
      <c r="N1127" t="s">
        <v>3702</v>
      </c>
      <c r="O1127" t="s">
        <v>3707</v>
      </c>
      <c r="P1127" s="2">
        <f t="shared" si="85"/>
        <v>46016</v>
      </c>
      <c r="Q1127" t="str">
        <f t="shared" si="86"/>
        <v>Mehul Kata</v>
      </c>
      <c r="R1127" t="str">
        <f t="shared" si="87"/>
        <v>Bengaluru</v>
      </c>
      <c r="S1127" t="str">
        <f t="shared" si="88"/>
        <v>Karnataka</v>
      </c>
      <c r="T1127">
        <f t="shared" si="89"/>
        <v>116000</v>
      </c>
    </row>
    <row r="1128" spans="1:20" x14ac:dyDescent="0.35">
      <c r="A1128" t="s">
        <v>1141</v>
      </c>
      <c r="B1128" t="s">
        <v>1465</v>
      </c>
      <c r="C1128" t="s">
        <v>2082</v>
      </c>
      <c r="D1128" t="s">
        <v>3597</v>
      </c>
      <c r="E1128" t="s">
        <v>3672</v>
      </c>
      <c r="F1128">
        <v>43</v>
      </c>
      <c r="G1128" t="s">
        <v>3675</v>
      </c>
      <c r="H1128" t="s">
        <v>3681</v>
      </c>
      <c r="I1128" t="s">
        <v>3688</v>
      </c>
      <c r="J1128" t="s">
        <v>3694</v>
      </c>
      <c r="K1128" t="s">
        <v>3698</v>
      </c>
      <c r="L1128">
        <v>5</v>
      </c>
      <c r="M1128">
        <v>4500</v>
      </c>
      <c r="N1128" t="s">
        <v>3702</v>
      </c>
      <c r="O1128" t="s">
        <v>3707</v>
      </c>
      <c r="P1128" s="2">
        <f t="shared" si="85"/>
        <v>45722</v>
      </c>
      <c r="Q1128" t="str">
        <f t="shared" si="86"/>
        <v>Vaibhav Sachdeva</v>
      </c>
      <c r="R1128" t="str">
        <f t="shared" si="87"/>
        <v>Kolkata</v>
      </c>
      <c r="S1128" t="str">
        <f t="shared" si="88"/>
        <v>West Bengal</v>
      </c>
      <c r="T1128">
        <f t="shared" si="89"/>
        <v>22500</v>
      </c>
    </row>
    <row r="1129" spans="1:20" x14ac:dyDescent="0.35">
      <c r="A1129" t="s">
        <v>1142</v>
      </c>
      <c r="B1129" t="s">
        <v>1767</v>
      </c>
      <c r="C1129" t="s">
        <v>1998</v>
      </c>
      <c r="D1129" t="s">
        <v>3598</v>
      </c>
      <c r="E1129" t="s">
        <v>3672</v>
      </c>
      <c r="F1129">
        <v>35</v>
      </c>
      <c r="G1129" t="s">
        <v>3678</v>
      </c>
      <c r="H1129" t="s">
        <v>3683</v>
      </c>
      <c r="I1129" t="s">
        <v>3688</v>
      </c>
      <c r="J1129" t="s">
        <v>3694</v>
      </c>
      <c r="K1129" t="s">
        <v>3698</v>
      </c>
      <c r="L1129">
        <v>4</v>
      </c>
      <c r="M1129">
        <v>4500</v>
      </c>
      <c r="N1129" t="s">
        <v>3701</v>
      </c>
      <c r="O1129" t="s">
        <v>3707</v>
      </c>
      <c r="P1129" s="2">
        <f t="shared" si="85"/>
        <v>45826</v>
      </c>
      <c r="Q1129" t="str">
        <f t="shared" si="86"/>
        <v>Navya Dixit</v>
      </c>
      <c r="R1129" t="str">
        <f t="shared" si="87"/>
        <v>Hyderabad</v>
      </c>
      <c r="S1129" t="str">
        <f t="shared" si="88"/>
        <v>Telangana</v>
      </c>
      <c r="T1129">
        <f t="shared" si="89"/>
        <v>18000</v>
      </c>
    </row>
    <row r="1130" spans="1:20" x14ac:dyDescent="0.35">
      <c r="A1130" t="s">
        <v>1143</v>
      </c>
      <c r="B1130" t="s">
        <v>1700</v>
      </c>
      <c r="C1130" t="s">
        <v>2452</v>
      </c>
      <c r="D1130" t="s">
        <v>3599</v>
      </c>
      <c r="E1130" t="s">
        <v>3672</v>
      </c>
      <c r="F1130">
        <v>19</v>
      </c>
      <c r="G1130" t="s">
        <v>3673</v>
      </c>
      <c r="H1130" t="s">
        <v>3673</v>
      </c>
      <c r="I1130" t="s">
        <v>3685</v>
      </c>
      <c r="J1130" t="s">
        <v>3692</v>
      </c>
      <c r="K1130" t="s">
        <v>3695</v>
      </c>
      <c r="L1130">
        <v>1</v>
      </c>
      <c r="M1130">
        <v>12000</v>
      </c>
      <c r="N1130" t="s">
        <v>3701</v>
      </c>
      <c r="O1130" t="s">
        <v>3705</v>
      </c>
      <c r="P1130" s="2">
        <f t="shared" si="85"/>
        <v>45667</v>
      </c>
      <c r="Q1130" t="str">
        <f t="shared" si="86"/>
        <v>Yashvi Choudhry</v>
      </c>
      <c r="R1130" t="str">
        <f t="shared" si="87"/>
        <v>Delhi</v>
      </c>
      <c r="S1130" t="str">
        <f t="shared" si="88"/>
        <v>Delhi</v>
      </c>
      <c r="T1130">
        <f t="shared" si="89"/>
        <v>12000</v>
      </c>
    </row>
    <row r="1131" spans="1:20" x14ac:dyDescent="0.35">
      <c r="A1131" t="s">
        <v>1144</v>
      </c>
      <c r="B1131" t="s">
        <v>1374</v>
      </c>
      <c r="C1131" t="s">
        <v>2366</v>
      </c>
      <c r="D1131" t="s">
        <v>3600</v>
      </c>
      <c r="E1131" t="s">
        <v>3672</v>
      </c>
      <c r="F1131">
        <v>23</v>
      </c>
      <c r="G1131" t="s">
        <v>3675</v>
      </c>
      <c r="H1131" t="s">
        <v>3681</v>
      </c>
      <c r="I1131" t="s">
        <v>3687</v>
      </c>
      <c r="J1131" t="s">
        <v>3693</v>
      </c>
      <c r="K1131" t="s">
        <v>3697</v>
      </c>
      <c r="L1131">
        <v>4</v>
      </c>
      <c r="M1131">
        <v>5000</v>
      </c>
      <c r="N1131" t="s">
        <v>3702</v>
      </c>
      <c r="O1131" t="s">
        <v>3705</v>
      </c>
      <c r="P1131" s="2">
        <f t="shared" si="85"/>
        <v>45836</v>
      </c>
      <c r="Q1131" t="str">
        <f t="shared" si="86"/>
        <v>Shalv Majumdar</v>
      </c>
      <c r="R1131" t="str">
        <f t="shared" si="87"/>
        <v>Kolkata</v>
      </c>
      <c r="S1131" t="str">
        <f t="shared" si="88"/>
        <v>West Bengal</v>
      </c>
      <c r="T1131">
        <f t="shared" si="89"/>
        <v>20000</v>
      </c>
    </row>
    <row r="1132" spans="1:20" x14ac:dyDescent="0.35">
      <c r="A1132" t="s">
        <v>1145</v>
      </c>
      <c r="B1132" t="s">
        <v>1768</v>
      </c>
      <c r="C1132" t="s">
        <v>2223</v>
      </c>
      <c r="D1132" t="s">
        <v>3601</v>
      </c>
      <c r="E1132" t="s">
        <v>3672</v>
      </c>
      <c r="F1132">
        <v>27</v>
      </c>
      <c r="G1132" t="s">
        <v>3677</v>
      </c>
      <c r="H1132" t="s">
        <v>3680</v>
      </c>
      <c r="I1132" t="s">
        <v>3689</v>
      </c>
      <c r="J1132" t="s">
        <v>3694</v>
      </c>
      <c r="K1132" t="s">
        <v>3699</v>
      </c>
      <c r="L1132">
        <v>4</v>
      </c>
      <c r="M1132">
        <v>1800</v>
      </c>
      <c r="N1132" t="s">
        <v>3703</v>
      </c>
      <c r="O1132" t="s">
        <v>3706</v>
      </c>
      <c r="P1132" s="2">
        <f t="shared" si="85"/>
        <v>45721</v>
      </c>
      <c r="Q1132" t="str">
        <f t="shared" si="86"/>
        <v>Tushar Agarwal</v>
      </c>
      <c r="R1132" t="str">
        <f t="shared" si="87"/>
        <v>Mumbai</v>
      </c>
      <c r="S1132" t="str">
        <f t="shared" si="88"/>
        <v>Maharashtra</v>
      </c>
      <c r="T1132">
        <f t="shared" si="89"/>
        <v>7200</v>
      </c>
    </row>
    <row r="1133" spans="1:20" x14ac:dyDescent="0.35">
      <c r="A1133" t="s">
        <v>1146</v>
      </c>
      <c r="B1133" t="s">
        <v>1612</v>
      </c>
      <c r="C1133" t="s">
        <v>2420</v>
      </c>
      <c r="D1133" t="s">
        <v>3602</v>
      </c>
      <c r="E1133" t="s">
        <v>3672</v>
      </c>
      <c r="F1133">
        <v>25</v>
      </c>
      <c r="G1133" t="s">
        <v>3678</v>
      </c>
      <c r="H1133" t="s">
        <v>3683</v>
      </c>
      <c r="I1133" t="s">
        <v>3690</v>
      </c>
      <c r="J1133" t="s">
        <v>3693</v>
      </c>
      <c r="K1133" t="s">
        <v>3700</v>
      </c>
      <c r="L1133">
        <v>3</v>
      </c>
      <c r="M1133">
        <v>72000</v>
      </c>
      <c r="N1133" t="s">
        <v>3702</v>
      </c>
      <c r="O1133" t="s">
        <v>3706</v>
      </c>
      <c r="P1133" s="2">
        <f t="shared" si="85"/>
        <v>45781</v>
      </c>
      <c r="Q1133" t="str">
        <f t="shared" si="86"/>
        <v>Charvi Kala</v>
      </c>
      <c r="R1133" t="str">
        <f t="shared" si="87"/>
        <v>Hyderabad</v>
      </c>
      <c r="S1133" t="str">
        <f t="shared" si="88"/>
        <v>Telangana</v>
      </c>
      <c r="T1133">
        <f t="shared" si="89"/>
        <v>216000</v>
      </c>
    </row>
    <row r="1134" spans="1:20" x14ac:dyDescent="0.35">
      <c r="A1134" t="s">
        <v>1147</v>
      </c>
      <c r="B1134" t="s">
        <v>1769</v>
      </c>
      <c r="C1134" t="s">
        <v>2462</v>
      </c>
      <c r="D1134" t="s">
        <v>3603</v>
      </c>
      <c r="E1134" t="s">
        <v>3672</v>
      </c>
      <c r="F1134">
        <v>34</v>
      </c>
      <c r="G1134" t="s">
        <v>3675</v>
      </c>
      <c r="H1134" t="s">
        <v>3681</v>
      </c>
      <c r="I1134" t="s">
        <v>3685</v>
      </c>
      <c r="J1134" t="s">
        <v>3692</v>
      </c>
      <c r="K1134" t="s">
        <v>3695</v>
      </c>
      <c r="L1134">
        <v>2</v>
      </c>
      <c r="M1134">
        <v>12000</v>
      </c>
      <c r="N1134" t="s">
        <v>3702</v>
      </c>
      <c r="O1134" t="s">
        <v>3705</v>
      </c>
      <c r="P1134" s="2">
        <f t="shared" si="85"/>
        <v>45816</v>
      </c>
      <c r="Q1134" t="str">
        <f t="shared" si="86"/>
        <v>Divit Iyer</v>
      </c>
      <c r="R1134" t="str">
        <f t="shared" si="87"/>
        <v>Kolkata</v>
      </c>
      <c r="S1134" t="str">
        <f t="shared" si="88"/>
        <v>West Bengal</v>
      </c>
      <c r="T1134">
        <f t="shared" si="89"/>
        <v>24000</v>
      </c>
    </row>
    <row r="1135" spans="1:20" x14ac:dyDescent="0.35">
      <c r="A1135" t="s">
        <v>1148</v>
      </c>
      <c r="B1135" t="s">
        <v>1523</v>
      </c>
      <c r="C1135" t="s">
        <v>2093</v>
      </c>
      <c r="D1135" t="s">
        <v>3604</v>
      </c>
      <c r="E1135" t="s">
        <v>3671</v>
      </c>
      <c r="F1135">
        <v>48</v>
      </c>
      <c r="G1135" t="s">
        <v>3676</v>
      </c>
      <c r="H1135" t="s">
        <v>3682</v>
      </c>
      <c r="I1135" t="s">
        <v>3691</v>
      </c>
      <c r="J1135" t="s">
        <v>3693</v>
      </c>
      <c r="K1135" t="s">
        <v>3696</v>
      </c>
      <c r="L1135">
        <v>1</v>
      </c>
      <c r="M1135">
        <v>58000</v>
      </c>
      <c r="N1135" t="s">
        <v>3701</v>
      </c>
      <c r="O1135" t="s">
        <v>3707</v>
      </c>
      <c r="P1135" s="2">
        <f t="shared" si="85"/>
        <v>45910</v>
      </c>
      <c r="Q1135" t="str">
        <f t="shared" si="86"/>
        <v>Kiaan Bajaj</v>
      </c>
      <c r="R1135" t="str">
        <f t="shared" si="87"/>
        <v>Chennai</v>
      </c>
      <c r="S1135" t="str">
        <f t="shared" si="88"/>
        <v>Tamil Nadu</v>
      </c>
      <c r="T1135">
        <f t="shared" si="89"/>
        <v>58000</v>
      </c>
    </row>
    <row r="1136" spans="1:20" x14ac:dyDescent="0.35">
      <c r="A1136" t="s">
        <v>1149</v>
      </c>
      <c r="B1136" t="s">
        <v>1525</v>
      </c>
      <c r="C1136" t="s">
        <v>2463</v>
      </c>
      <c r="D1136" t="s">
        <v>3605</v>
      </c>
      <c r="E1136" t="s">
        <v>3671</v>
      </c>
      <c r="F1136">
        <v>38</v>
      </c>
      <c r="G1136" t="s">
        <v>3674</v>
      </c>
      <c r="H1136" t="s">
        <v>3680</v>
      </c>
      <c r="I1136" t="s">
        <v>3687</v>
      </c>
      <c r="J1136" t="s">
        <v>3693</v>
      </c>
      <c r="K1136" t="s">
        <v>3697</v>
      </c>
      <c r="L1136">
        <v>1</v>
      </c>
      <c r="M1136">
        <v>5000</v>
      </c>
      <c r="N1136" t="s">
        <v>3704</v>
      </c>
      <c r="O1136" t="s">
        <v>3707</v>
      </c>
      <c r="P1136" s="2">
        <f t="shared" si="85"/>
        <v>45803</v>
      </c>
      <c r="Q1136" t="str">
        <f t="shared" si="86"/>
        <v>Mehul Divan</v>
      </c>
      <c r="R1136" t="str">
        <f t="shared" si="87"/>
        <v>Pune</v>
      </c>
      <c r="S1136" t="str">
        <f t="shared" si="88"/>
        <v>Maharashtra</v>
      </c>
      <c r="T1136">
        <f t="shared" si="89"/>
        <v>5000</v>
      </c>
    </row>
    <row r="1137" spans="1:20" x14ac:dyDescent="0.35">
      <c r="A1137" t="s">
        <v>1150</v>
      </c>
      <c r="B1137" t="s">
        <v>1717</v>
      </c>
      <c r="C1137" t="s">
        <v>2245</v>
      </c>
      <c r="D1137" t="s">
        <v>3606</v>
      </c>
      <c r="E1137" t="s">
        <v>3672</v>
      </c>
      <c r="F1137">
        <v>37</v>
      </c>
      <c r="G1137" t="s">
        <v>3673</v>
      </c>
      <c r="H1137" t="s">
        <v>3673</v>
      </c>
      <c r="I1137" t="s">
        <v>3688</v>
      </c>
      <c r="J1137" t="s">
        <v>3694</v>
      </c>
      <c r="K1137" t="s">
        <v>3698</v>
      </c>
      <c r="L1137">
        <v>2</v>
      </c>
      <c r="M1137">
        <v>4500</v>
      </c>
      <c r="N1137" t="s">
        <v>3701</v>
      </c>
      <c r="O1137" t="s">
        <v>3707</v>
      </c>
      <c r="P1137" s="2">
        <f t="shared" si="85"/>
        <v>45836</v>
      </c>
      <c r="Q1137" t="str">
        <f t="shared" si="86"/>
        <v>Piya Johal</v>
      </c>
      <c r="R1137" t="str">
        <f t="shared" si="87"/>
        <v>Delhi</v>
      </c>
      <c r="S1137" t="str">
        <f t="shared" si="88"/>
        <v>Delhi</v>
      </c>
      <c r="T1137">
        <f t="shared" si="89"/>
        <v>9000</v>
      </c>
    </row>
    <row r="1138" spans="1:20" x14ac:dyDescent="0.35">
      <c r="A1138" t="s">
        <v>1151</v>
      </c>
      <c r="B1138" t="s">
        <v>1770</v>
      </c>
      <c r="C1138" t="s">
        <v>1972</v>
      </c>
      <c r="D1138" t="s">
        <v>3607</v>
      </c>
      <c r="E1138" t="s">
        <v>3672</v>
      </c>
      <c r="F1138">
        <v>43</v>
      </c>
      <c r="G1138" t="s">
        <v>3675</v>
      </c>
      <c r="H1138" t="s">
        <v>3681</v>
      </c>
      <c r="I1138" t="s">
        <v>3689</v>
      </c>
      <c r="J1138" t="s">
        <v>3694</v>
      </c>
      <c r="K1138" t="s">
        <v>3699</v>
      </c>
      <c r="L1138">
        <v>3</v>
      </c>
      <c r="M1138">
        <v>1800</v>
      </c>
      <c r="N1138" t="s">
        <v>3701</v>
      </c>
      <c r="O1138" t="s">
        <v>3705</v>
      </c>
      <c r="P1138" s="2">
        <f t="shared" si="85"/>
        <v>46001</v>
      </c>
      <c r="Q1138" t="str">
        <f t="shared" si="86"/>
        <v>Sumer Lall</v>
      </c>
      <c r="R1138" t="str">
        <f t="shared" si="87"/>
        <v>Kolkata</v>
      </c>
      <c r="S1138" t="str">
        <f t="shared" si="88"/>
        <v>West Bengal</v>
      </c>
      <c r="T1138">
        <f t="shared" si="89"/>
        <v>5400</v>
      </c>
    </row>
    <row r="1139" spans="1:20" x14ac:dyDescent="0.35">
      <c r="A1139" t="s">
        <v>1152</v>
      </c>
      <c r="B1139" t="s">
        <v>1771</v>
      </c>
      <c r="C1139" t="s">
        <v>2441</v>
      </c>
      <c r="D1139" t="s">
        <v>3608</v>
      </c>
      <c r="E1139" t="s">
        <v>3671</v>
      </c>
      <c r="F1139">
        <v>47</v>
      </c>
      <c r="G1139" t="s">
        <v>3679</v>
      </c>
      <c r="H1139" t="s">
        <v>3684</v>
      </c>
      <c r="I1139" t="s">
        <v>3687</v>
      </c>
      <c r="J1139" t="s">
        <v>3693</v>
      </c>
      <c r="K1139" t="s">
        <v>3697</v>
      </c>
      <c r="L1139">
        <v>5</v>
      </c>
      <c r="M1139">
        <v>5000</v>
      </c>
      <c r="N1139" t="s">
        <v>3704</v>
      </c>
      <c r="O1139" t="s">
        <v>3705</v>
      </c>
      <c r="P1139" s="2">
        <f t="shared" si="85"/>
        <v>45862</v>
      </c>
      <c r="Q1139" t="str">
        <f t="shared" si="86"/>
        <v>Lagan Reddy</v>
      </c>
      <c r="R1139" t="str">
        <f t="shared" si="87"/>
        <v>Bengaluru</v>
      </c>
      <c r="S1139" t="str">
        <f t="shared" si="88"/>
        <v>Karnataka</v>
      </c>
      <c r="T1139">
        <f t="shared" si="89"/>
        <v>25000</v>
      </c>
    </row>
    <row r="1140" spans="1:20" x14ac:dyDescent="0.35">
      <c r="A1140" t="s">
        <v>1153</v>
      </c>
      <c r="B1140" t="s">
        <v>1410</v>
      </c>
      <c r="C1140" t="s">
        <v>1956</v>
      </c>
      <c r="D1140" t="s">
        <v>3609</v>
      </c>
      <c r="E1140" t="s">
        <v>3672</v>
      </c>
      <c r="F1140">
        <v>21</v>
      </c>
      <c r="G1140" t="s">
        <v>3674</v>
      </c>
      <c r="H1140" t="s">
        <v>3680</v>
      </c>
      <c r="I1140" t="s">
        <v>3688</v>
      </c>
      <c r="J1140" t="s">
        <v>3694</v>
      </c>
      <c r="K1140" t="s">
        <v>3698</v>
      </c>
      <c r="L1140">
        <v>3</v>
      </c>
      <c r="M1140">
        <v>4500</v>
      </c>
      <c r="N1140" t="s">
        <v>3701</v>
      </c>
      <c r="O1140" t="s">
        <v>3706</v>
      </c>
      <c r="P1140" s="2">
        <f t="shared" si="85"/>
        <v>45765</v>
      </c>
      <c r="Q1140" t="str">
        <f t="shared" si="86"/>
        <v>Bhavin Thaman</v>
      </c>
      <c r="R1140" t="str">
        <f t="shared" si="87"/>
        <v>Pune</v>
      </c>
      <c r="S1140" t="str">
        <f t="shared" si="88"/>
        <v>Maharashtra</v>
      </c>
      <c r="T1140">
        <f t="shared" si="89"/>
        <v>13500</v>
      </c>
    </row>
    <row r="1141" spans="1:20" x14ac:dyDescent="0.35">
      <c r="A1141" t="s">
        <v>1154</v>
      </c>
      <c r="B1141" t="s">
        <v>1542</v>
      </c>
      <c r="C1141" t="s">
        <v>2189</v>
      </c>
      <c r="D1141" t="s">
        <v>3610</v>
      </c>
      <c r="E1141" t="s">
        <v>3671</v>
      </c>
      <c r="F1141">
        <v>57</v>
      </c>
      <c r="G1141" t="s">
        <v>3675</v>
      </c>
      <c r="H1141" t="s">
        <v>3681</v>
      </c>
      <c r="I1141" t="s">
        <v>3691</v>
      </c>
      <c r="J1141" t="s">
        <v>3693</v>
      </c>
      <c r="K1141" t="s">
        <v>3696</v>
      </c>
      <c r="L1141">
        <v>5</v>
      </c>
      <c r="M1141">
        <v>58000</v>
      </c>
      <c r="N1141" t="s">
        <v>3701</v>
      </c>
      <c r="O1141" t="s">
        <v>3707</v>
      </c>
      <c r="P1141" s="2">
        <f t="shared" si="85"/>
        <v>45998</v>
      </c>
      <c r="Q1141" t="str">
        <f t="shared" si="86"/>
        <v>Badal Joshi</v>
      </c>
      <c r="R1141" t="str">
        <f t="shared" si="87"/>
        <v>Kolkata</v>
      </c>
      <c r="S1141" t="str">
        <f t="shared" si="88"/>
        <v>West Bengal</v>
      </c>
      <c r="T1141">
        <f t="shared" si="89"/>
        <v>290000</v>
      </c>
    </row>
    <row r="1142" spans="1:20" x14ac:dyDescent="0.35">
      <c r="A1142" t="s">
        <v>1155</v>
      </c>
      <c r="B1142" t="s">
        <v>1253</v>
      </c>
      <c r="C1142" t="s">
        <v>1809</v>
      </c>
      <c r="D1142" t="s">
        <v>3611</v>
      </c>
      <c r="E1142" t="s">
        <v>3672</v>
      </c>
      <c r="F1142">
        <v>46</v>
      </c>
      <c r="G1142" t="s">
        <v>3678</v>
      </c>
      <c r="H1142" t="s">
        <v>3683</v>
      </c>
      <c r="I1142" t="s">
        <v>3688</v>
      </c>
      <c r="J1142" t="s">
        <v>3694</v>
      </c>
      <c r="K1142" t="s">
        <v>3698</v>
      </c>
      <c r="L1142">
        <v>3</v>
      </c>
      <c r="M1142">
        <v>4500</v>
      </c>
      <c r="N1142" t="s">
        <v>3703</v>
      </c>
      <c r="O1142" t="s">
        <v>3706</v>
      </c>
      <c r="P1142" s="2">
        <f t="shared" si="85"/>
        <v>45806</v>
      </c>
      <c r="Q1142" t="str">
        <f t="shared" si="86"/>
        <v>Eshani Rau</v>
      </c>
      <c r="R1142" t="str">
        <f t="shared" si="87"/>
        <v>Hyderabad</v>
      </c>
      <c r="S1142" t="str">
        <f t="shared" si="88"/>
        <v>Telangana</v>
      </c>
      <c r="T1142">
        <f t="shared" si="89"/>
        <v>13500</v>
      </c>
    </row>
    <row r="1143" spans="1:20" x14ac:dyDescent="0.35">
      <c r="A1143" t="s">
        <v>1156</v>
      </c>
      <c r="B1143" t="s">
        <v>1772</v>
      </c>
      <c r="C1143" t="s">
        <v>1854</v>
      </c>
      <c r="D1143" t="s">
        <v>3612</v>
      </c>
      <c r="E1143" t="s">
        <v>3671</v>
      </c>
      <c r="F1143">
        <v>39</v>
      </c>
      <c r="G1143" t="s">
        <v>3679</v>
      </c>
      <c r="H1143" t="s">
        <v>3684</v>
      </c>
      <c r="I1143" t="s">
        <v>3691</v>
      </c>
      <c r="J1143" t="s">
        <v>3693</v>
      </c>
      <c r="K1143" t="s">
        <v>3696</v>
      </c>
      <c r="L1143">
        <v>1</v>
      </c>
      <c r="M1143">
        <v>58000</v>
      </c>
      <c r="N1143" t="s">
        <v>3703</v>
      </c>
      <c r="O1143" t="s">
        <v>3707</v>
      </c>
      <c r="P1143" s="2">
        <f t="shared" si="85"/>
        <v>45916</v>
      </c>
      <c r="Q1143" t="str">
        <f t="shared" si="86"/>
        <v>Shayak Thaker</v>
      </c>
      <c r="R1143" t="str">
        <f t="shared" si="87"/>
        <v>Bengaluru</v>
      </c>
      <c r="S1143" t="str">
        <f t="shared" si="88"/>
        <v>Karnataka</v>
      </c>
      <c r="T1143">
        <f t="shared" si="89"/>
        <v>58000</v>
      </c>
    </row>
    <row r="1144" spans="1:20" x14ac:dyDescent="0.35">
      <c r="A1144" t="s">
        <v>1157</v>
      </c>
      <c r="B1144" t="s">
        <v>1773</v>
      </c>
      <c r="C1144" t="s">
        <v>2186</v>
      </c>
      <c r="D1144" t="s">
        <v>3613</v>
      </c>
      <c r="E1144" t="s">
        <v>3672</v>
      </c>
      <c r="F1144">
        <v>58</v>
      </c>
      <c r="G1144" t="s">
        <v>3673</v>
      </c>
      <c r="H1144" t="s">
        <v>3673</v>
      </c>
      <c r="I1144" t="s">
        <v>3688</v>
      </c>
      <c r="J1144" t="s">
        <v>3694</v>
      </c>
      <c r="K1144" t="s">
        <v>3698</v>
      </c>
      <c r="L1144">
        <v>5</v>
      </c>
      <c r="M1144">
        <v>4500</v>
      </c>
      <c r="N1144" t="s">
        <v>3703</v>
      </c>
      <c r="O1144" t="s">
        <v>3707</v>
      </c>
      <c r="P1144" s="2">
        <f t="shared" si="85"/>
        <v>45817</v>
      </c>
      <c r="Q1144" t="str">
        <f t="shared" si="86"/>
        <v>Zeeshan Jani</v>
      </c>
      <c r="R1144" t="str">
        <f t="shared" si="87"/>
        <v>Delhi</v>
      </c>
      <c r="S1144" t="str">
        <f t="shared" si="88"/>
        <v>Delhi</v>
      </c>
      <c r="T1144">
        <f t="shared" si="89"/>
        <v>22500</v>
      </c>
    </row>
    <row r="1145" spans="1:20" x14ac:dyDescent="0.35">
      <c r="A1145" t="s">
        <v>1158</v>
      </c>
      <c r="B1145" t="s">
        <v>1509</v>
      </c>
      <c r="C1145" t="s">
        <v>1909</v>
      </c>
      <c r="D1145" t="s">
        <v>3614</v>
      </c>
      <c r="E1145" t="s">
        <v>3671</v>
      </c>
      <c r="F1145">
        <v>31</v>
      </c>
      <c r="G1145" t="s">
        <v>3677</v>
      </c>
      <c r="H1145" t="s">
        <v>3680</v>
      </c>
      <c r="I1145" t="s">
        <v>3688</v>
      </c>
      <c r="J1145" t="s">
        <v>3694</v>
      </c>
      <c r="K1145" t="s">
        <v>3698</v>
      </c>
      <c r="L1145">
        <v>5</v>
      </c>
      <c r="M1145">
        <v>4500</v>
      </c>
      <c r="N1145" t="s">
        <v>3701</v>
      </c>
      <c r="O1145" t="s">
        <v>3707</v>
      </c>
      <c r="P1145" s="2">
        <f t="shared" si="85"/>
        <v>45976</v>
      </c>
      <c r="Q1145" t="str">
        <f t="shared" si="86"/>
        <v>Himmat Lala</v>
      </c>
      <c r="R1145" t="str">
        <f t="shared" si="87"/>
        <v>Mumbai</v>
      </c>
      <c r="S1145" t="str">
        <f t="shared" si="88"/>
        <v>Maharashtra</v>
      </c>
      <c r="T1145">
        <f t="shared" si="89"/>
        <v>22500</v>
      </c>
    </row>
    <row r="1146" spans="1:20" x14ac:dyDescent="0.35">
      <c r="A1146" t="s">
        <v>1159</v>
      </c>
      <c r="B1146" t="s">
        <v>1545</v>
      </c>
      <c r="C1146" t="s">
        <v>1937</v>
      </c>
      <c r="D1146" t="s">
        <v>3615</v>
      </c>
      <c r="E1146" t="s">
        <v>3671</v>
      </c>
      <c r="F1146">
        <v>24</v>
      </c>
      <c r="G1146" t="s">
        <v>3674</v>
      </c>
      <c r="H1146" t="s">
        <v>3680</v>
      </c>
      <c r="I1146" t="s">
        <v>3688</v>
      </c>
      <c r="J1146" t="s">
        <v>3694</v>
      </c>
      <c r="K1146" t="s">
        <v>3698</v>
      </c>
      <c r="L1146">
        <v>1</v>
      </c>
      <c r="M1146">
        <v>4500</v>
      </c>
      <c r="N1146" t="s">
        <v>3703</v>
      </c>
      <c r="O1146" t="s">
        <v>3707</v>
      </c>
      <c r="P1146" s="2">
        <f t="shared" si="85"/>
        <v>45689</v>
      </c>
      <c r="Q1146" t="str">
        <f t="shared" si="86"/>
        <v>Madhav Buch</v>
      </c>
      <c r="R1146" t="str">
        <f t="shared" si="87"/>
        <v>Pune</v>
      </c>
      <c r="S1146" t="str">
        <f t="shared" si="88"/>
        <v>Maharashtra</v>
      </c>
      <c r="T1146">
        <f t="shared" si="89"/>
        <v>4500</v>
      </c>
    </row>
    <row r="1147" spans="1:20" x14ac:dyDescent="0.35">
      <c r="A1147" t="s">
        <v>1160</v>
      </c>
      <c r="B1147" t="s">
        <v>1774</v>
      </c>
      <c r="C1147" t="s">
        <v>2464</v>
      </c>
      <c r="D1147" t="s">
        <v>3616</v>
      </c>
      <c r="E1147" t="s">
        <v>3672</v>
      </c>
      <c r="F1147">
        <v>33</v>
      </c>
      <c r="G1147" t="s">
        <v>3676</v>
      </c>
      <c r="H1147" t="s">
        <v>3682</v>
      </c>
      <c r="I1147" t="s">
        <v>3687</v>
      </c>
      <c r="J1147" t="s">
        <v>3693</v>
      </c>
      <c r="K1147" t="s">
        <v>3697</v>
      </c>
      <c r="L1147">
        <v>4</v>
      </c>
      <c r="M1147">
        <v>5000</v>
      </c>
      <c r="N1147" t="s">
        <v>3704</v>
      </c>
      <c r="O1147" t="s">
        <v>3707</v>
      </c>
      <c r="P1147" s="2">
        <f t="shared" si="85"/>
        <v>45963</v>
      </c>
      <c r="Q1147" t="str">
        <f t="shared" si="86"/>
        <v>Misha Bakshi</v>
      </c>
      <c r="R1147" t="str">
        <f t="shared" si="87"/>
        <v>Chennai</v>
      </c>
      <c r="S1147" t="str">
        <f t="shared" si="88"/>
        <v>Tamil Nadu</v>
      </c>
      <c r="T1147">
        <f t="shared" si="89"/>
        <v>20000</v>
      </c>
    </row>
    <row r="1148" spans="1:20" x14ac:dyDescent="0.35">
      <c r="A1148" t="s">
        <v>1161</v>
      </c>
      <c r="B1148" t="s">
        <v>1307</v>
      </c>
      <c r="C1148" t="s">
        <v>2242</v>
      </c>
      <c r="D1148" t="s">
        <v>3617</v>
      </c>
      <c r="E1148" t="s">
        <v>3671</v>
      </c>
      <c r="F1148">
        <v>32</v>
      </c>
      <c r="G1148" t="s">
        <v>3676</v>
      </c>
      <c r="H1148" t="s">
        <v>3682</v>
      </c>
      <c r="I1148" t="s">
        <v>3689</v>
      </c>
      <c r="J1148" t="s">
        <v>3694</v>
      </c>
      <c r="K1148" t="s">
        <v>3699</v>
      </c>
      <c r="L1148">
        <v>5</v>
      </c>
      <c r="M1148">
        <v>1800</v>
      </c>
      <c r="N1148" t="s">
        <v>3702</v>
      </c>
      <c r="O1148" t="s">
        <v>3705</v>
      </c>
      <c r="P1148" s="2">
        <f t="shared" si="85"/>
        <v>45965</v>
      </c>
      <c r="Q1148" t="str">
        <f t="shared" si="86"/>
        <v>Samar Ahluwalia</v>
      </c>
      <c r="R1148" t="str">
        <f t="shared" si="87"/>
        <v>Chennai</v>
      </c>
      <c r="S1148" t="str">
        <f t="shared" si="88"/>
        <v>Tamil Nadu</v>
      </c>
      <c r="T1148">
        <f t="shared" si="89"/>
        <v>9000</v>
      </c>
    </row>
    <row r="1149" spans="1:20" x14ac:dyDescent="0.35">
      <c r="A1149" t="s">
        <v>1162</v>
      </c>
      <c r="B1149" t="s">
        <v>1315</v>
      </c>
      <c r="C1149" t="s">
        <v>1922</v>
      </c>
      <c r="D1149" t="s">
        <v>3618</v>
      </c>
      <c r="E1149" t="s">
        <v>3672</v>
      </c>
      <c r="F1149">
        <v>51</v>
      </c>
      <c r="G1149" t="s">
        <v>3676</v>
      </c>
      <c r="H1149" t="s">
        <v>3682</v>
      </c>
      <c r="I1149" t="s">
        <v>3686</v>
      </c>
      <c r="J1149" t="s">
        <v>3693</v>
      </c>
      <c r="K1149" t="s">
        <v>3696</v>
      </c>
      <c r="L1149">
        <v>4</v>
      </c>
      <c r="M1149">
        <v>65000</v>
      </c>
      <c r="N1149" t="s">
        <v>3703</v>
      </c>
      <c r="O1149" t="s">
        <v>3705</v>
      </c>
      <c r="P1149" s="2">
        <f t="shared" si="85"/>
        <v>46004</v>
      </c>
      <c r="Q1149" t="str">
        <f t="shared" si="86"/>
        <v>Zain Kohli</v>
      </c>
      <c r="R1149" t="str">
        <f t="shared" si="87"/>
        <v>Chennai</v>
      </c>
      <c r="S1149" t="str">
        <f t="shared" si="88"/>
        <v>Tamil Nadu</v>
      </c>
      <c r="T1149">
        <f t="shared" si="89"/>
        <v>260000</v>
      </c>
    </row>
    <row r="1150" spans="1:20" x14ac:dyDescent="0.35">
      <c r="A1150" t="s">
        <v>1163</v>
      </c>
      <c r="B1150" t="s">
        <v>1489</v>
      </c>
      <c r="C1150" t="s">
        <v>1976</v>
      </c>
      <c r="D1150" t="s">
        <v>3619</v>
      </c>
      <c r="E1150" t="s">
        <v>3671</v>
      </c>
      <c r="F1150">
        <v>26</v>
      </c>
      <c r="G1150" t="s">
        <v>3674</v>
      </c>
      <c r="H1150" t="s">
        <v>3680</v>
      </c>
      <c r="I1150" t="s">
        <v>3685</v>
      </c>
      <c r="J1150" t="s">
        <v>3692</v>
      </c>
      <c r="K1150" t="s">
        <v>3695</v>
      </c>
      <c r="L1150">
        <v>5</v>
      </c>
      <c r="M1150">
        <v>12000</v>
      </c>
      <c r="N1150" t="s">
        <v>3704</v>
      </c>
      <c r="O1150" t="s">
        <v>3705</v>
      </c>
      <c r="P1150" s="2">
        <f t="shared" si="85"/>
        <v>45815</v>
      </c>
      <c r="Q1150" t="str">
        <f t="shared" si="86"/>
        <v>Hazel Kalita</v>
      </c>
      <c r="R1150" t="str">
        <f t="shared" si="87"/>
        <v>Pune</v>
      </c>
      <c r="S1150" t="str">
        <f t="shared" si="88"/>
        <v>Maharashtra</v>
      </c>
      <c r="T1150">
        <f t="shared" si="89"/>
        <v>60000</v>
      </c>
    </row>
    <row r="1151" spans="1:20" x14ac:dyDescent="0.35">
      <c r="A1151" t="s">
        <v>1164</v>
      </c>
      <c r="B1151" t="s">
        <v>1310</v>
      </c>
      <c r="C1151" t="s">
        <v>2465</v>
      </c>
      <c r="D1151" t="s">
        <v>3620</v>
      </c>
      <c r="E1151" t="s">
        <v>3672</v>
      </c>
      <c r="F1151">
        <v>19</v>
      </c>
      <c r="G1151" t="s">
        <v>3677</v>
      </c>
      <c r="H1151" t="s">
        <v>3680</v>
      </c>
      <c r="I1151" t="s">
        <v>3686</v>
      </c>
      <c r="J1151" t="s">
        <v>3693</v>
      </c>
      <c r="K1151" t="s">
        <v>3696</v>
      </c>
      <c r="L1151">
        <v>2</v>
      </c>
      <c r="M1151">
        <v>65000</v>
      </c>
      <c r="N1151" t="s">
        <v>3704</v>
      </c>
      <c r="O1151" t="s">
        <v>3706</v>
      </c>
      <c r="P1151" s="2">
        <f t="shared" si="85"/>
        <v>45958</v>
      </c>
      <c r="Q1151" t="str">
        <f t="shared" si="86"/>
        <v>Khushi Ravi</v>
      </c>
      <c r="R1151" t="str">
        <f t="shared" si="87"/>
        <v>Mumbai</v>
      </c>
      <c r="S1151" t="str">
        <f t="shared" si="88"/>
        <v>Maharashtra</v>
      </c>
      <c r="T1151">
        <f t="shared" si="89"/>
        <v>130000</v>
      </c>
    </row>
    <row r="1152" spans="1:20" x14ac:dyDescent="0.35">
      <c r="A1152" t="s">
        <v>1165</v>
      </c>
      <c r="B1152" t="s">
        <v>1518</v>
      </c>
      <c r="C1152" t="s">
        <v>2213</v>
      </c>
      <c r="D1152" t="s">
        <v>3621</v>
      </c>
      <c r="E1152" t="s">
        <v>3671</v>
      </c>
      <c r="F1152">
        <v>35</v>
      </c>
      <c r="G1152" t="s">
        <v>3678</v>
      </c>
      <c r="H1152" t="s">
        <v>3683</v>
      </c>
      <c r="I1152" t="s">
        <v>3685</v>
      </c>
      <c r="J1152" t="s">
        <v>3692</v>
      </c>
      <c r="K1152" t="s">
        <v>3695</v>
      </c>
      <c r="L1152">
        <v>1</v>
      </c>
      <c r="M1152">
        <v>12000</v>
      </c>
      <c r="N1152" t="s">
        <v>3701</v>
      </c>
      <c r="O1152" t="s">
        <v>3706</v>
      </c>
      <c r="P1152" s="2">
        <f t="shared" si="85"/>
        <v>45961</v>
      </c>
      <c r="Q1152" t="str">
        <f t="shared" si="86"/>
        <v>Nitya Guha</v>
      </c>
      <c r="R1152" t="str">
        <f t="shared" si="87"/>
        <v>Hyderabad</v>
      </c>
      <c r="S1152" t="str">
        <f t="shared" si="88"/>
        <v>Telangana</v>
      </c>
      <c r="T1152">
        <f t="shared" si="89"/>
        <v>12000</v>
      </c>
    </row>
    <row r="1153" spans="1:20" x14ac:dyDescent="0.35">
      <c r="A1153" t="s">
        <v>1166</v>
      </c>
      <c r="B1153" t="s">
        <v>1398</v>
      </c>
      <c r="C1153" t="s">
        <v>2466</v>
      </c>
      <c r="D1153" t="s">
        <v>3622</v>
      </c>
      <c r="E1153" t="s">
        <v>3671</v>
      </c>
      <c r="F1153">
        <v>41</v>
      </c>
      <c r="G1153" t="s">
        <v>3678</v>
      </c>
      <c r="H1153" t="s">
        <v>3683</v>
      </c>
      <c r="I1153" t="s">
        <v>3691</v>
      </c>
      <c r="J1153" t="s">
        <v>3693</v>
      </c>
      <c r="K1153" t="s">
        <v>3696</v>
      </c>
      <c r="L1153">
        <v>2</v>
      </c>
      <c r="M1153">
        <v>58000</v>
      </c>
      <c r="N1153" t="s">
        <v>3703</v>
      </c>
      <c r="O1153" t="s">
        <v>3706</v>
      </c>
      <c r="P1153" s="2">
        <f t="shared" si="85"/>
        <v>45668</v>
      </c>
      <c r="Q1153" t="str">
        <f t="shared" si="86"/>
        <v>Kiara Guha</v>
      </c>
      <c r="R1153" t="str">
        <f t="shared" si="87"/>
        <v>Hyderabad</v>
      </c>
      <c r="S1153" t="str">
        <f t="shared" si="88"/>
        <v>Telangana</v>
      </c>
      <c r="T1153">
        <f t="shared" si="89"/>
        <v>116000</v>
      </c>
    </row>
    <row r="1154" spans="1:20" x14ac:dyDescent="0.35">
      <c r="A1154" t="s">
        <v>1167</v>
      </c>
      <c r="B1154" t="s">
        <v>1775</v>
      </c>
      <c r="C1154" t="s">
        <v>1824</v>
      </c>
      <c r="D1154" t="s">
        <v>3623</v>
      </c>
      <c r="E1154" t="s">
        <v>3672</v>
      </c>
      <c r="F1154">
        <v>53</v>
      </c>
      <c r="G1154" t="s">
        <v>3679</v>
      </c>
      <c r="H1154" t="s">
        <v>3684</v>
      </c>
      <c r="I1154" t="s">
        <v>3685</v>
      </c>
      <c r="J1154" t="s">
        <v>3692</v>
      </c>
      <c r="K1154" t="s">
        <v>3695</v>
      </c>
      <c r="L1154">
        <v>1</v>
      </c>
      <c r="M1154">
        <v>12000</v>
      </c>
      <c r="N1154" t="s">
        <v>3701</v>
      </c>
      <c r="O1154" t="s">
        <v>3707</v>
      </c>
      <c r="P1154" s="2">
        <f t="shared" si="85"/>
        <v>45731</v>
      </c>
      <c r="Q1154" t="str">
        <f t="shared" si="86"/>
        <v>Neelofar Barad</v>
      </c>
      <c r="R1154" t="str">
        <f t="shared" si="87"/>
        <v>Bengaluru</v>
      </c>
      <c r="S1154" t="str">
        <f t="shared" si="88"/>
        <v>Karnataka</v>
      </c>
      <c r="T1154">
        <f t="shared" si="89"/>
        <v>12000</v>
      </c>
    </row>
    <row r="1155" spans="1:20" x14ac:dyDescent="0.35">
      <c r="A1155" t="s">
        <v>1168</v>
      </c>
      <c r="B1155" t="s">
        <v>1776</v>
      </c>
      <c r="C1155" t="s">
        <v>2033</v>
      </c>
      <c r="D1155" t="s">
        <v>3624</v>
      </c>
      <c r="E1155" t="s">
        <v>3672</v>
      </c>
      <c r="F1155">
        <v>55</v>
      </c>
      <c r="G1155" t="s">
        <v>3673</v>
      </c>
      <c r="H1155" t="s">
        <v>3673</v>
      </c>
      <c r="I1155" t="s">
        <v>3689</v>
      </c>
      <c r="J1155" t="s">
        <v>3694</v>
      </c>
      <c r="K1155" t="s">
        <v>3699</v>
      </c>
      <c r="L1155">
        <v>3</v>
      </c>
      <c r="M1155">
        <v>1800</v>
      </c>
      <c r="N1155" t="s">
        <v>3704</v>
      </c>
      <c r="O1155" t="s">
        <v>3705</v>
      </c>
      <c r="P1155" s="2">
        <f t="shared" ref="P1155:P1201" si="90">DATEVALUE(SUBSTITUTE(B1155,"/","-"))</f>
        <v>45718</v>
      </c>
      <c r="Q1155" t="str">
        <f t="shared" ref="Q1155:Q1201" si="91">TRIM(CLEAN(D1155))</f>
        <v>Shaan Dhawan</v>
      </c>
      <c r="R1155" t="str">
        <f t="shared" ref="R1155:R1201" si="92">IF(G1155="","Unknown",G1155)</f>
        <v>Delhi</v>
      </c>
      <c r="S1155" t="str">
        <f t="shared" ref="S1155:S1201" si="93">IF(H1155="","Unknown",H1155)</f>
        <v>Delhi</v>
      </c>
      <c r="T1155">
        <f t="shared" ref="T1155:T1201" si="94">L1155*M1155</f>
        <v>5400</v>
      </c>
    </row>
    <row r="1156" spans="1:20" x14ac:dyDescent="0.35">
      <c r="A1156" t="s">
        <v>1169</v>
      </c>
      <c r="B1156" t="s">
        <v>1777</v>
      </c>
      <c r="C1156" t="s">
        <v>2111</v>
      </c>
      <c r="D1156" t="s">
        <v>3625</v>
      </c>
      <c r="E1156" t="s">
        <v>3672</v>
      </c>
      <c r="F1156">
        <v>35</v>
      </c>
      <c r="G1156" t="s">
        <v>3674</v>
      </c>
      <c r="H1156" t="s">
        <v>3680</v>
      </c>
      <c r="I1156" t="s">
        <v>3689</v>
      </c>
      <c r="J1156" t="s">
        <v>3694</v>
      </c>
      <c r="K1156" t="s">
        <v>3699</v>
      </c>
      <c r="L1156">
        <v>5</v>
      </c>
      <c r="M1156">
        <v>1800</v>
      </c>
      <c r="N1156" t="s">
        <v>3703</v>
      </c>
      <c r="O1156" t="s">
        <v>3706</v>
      </c>
      <c r="P1156" s="2">
        <f t="shared" si="90"/>
        <v>45776</v>
      </c>
      <c r="Q1156" t="str">
        <f t="shared" si="91"/>
        <v>Kanav Samra</v>
      </c>
      <c r="R1156" t="str">
        <f t="shared" si="92"/>
        <v>Pune</v>
      </c>
      <c r="S1156" t="str">
        <f t="shared" si="93"/>
        <v>Maharashtra</v>
      </c>
      <c r="T1156">
        <f t="shared" si="94"/>
        <v>9000</v>
      </c>
    </row>
    <row r="1157" spans="1:20" x14ac:dyDescent="0.35">
      <c r="A1157" t="s">
        <v>1170</v>
      </c>
      <c r="B1157" t="s">
        <v>1663</v>
      </c>
      <c r="C1157" t="s">
        <v>2025</v>
      </c>
      <c r="D1157" t="s">
        <v>3626</v>
      </c>
      <c r="E1157" t="s">
        <v>3672</v>
      </c>
      <c r="F1157">
        <v>33</v>
      </c>
      <c r="G1157" t="s">
        <v>3673</v>
      </c>
      <c r="H1157" t="s">
        <v>3673</v>
      </c>
      <c r="I1157" t="s">
        <v>3687</v>
      </c>
      <c r="J1157" t="s">
        <v>3693</v>
      </c>
      <c r="K1157" t="s">
        <v>3697</v>
      </c>
      <c r="L1157">
        <v>4</v>
      </c>
      <c r="M1157">
        <v>5000</v>
      </c>
      <c r="N1157" t="s">
        <v>3703</v>
      </c>
      <c r="O1157" t="s">
        <v>3706</v>
      </c>
      <c r="P1157" s="2">
        <f t="shared" si="90"/>
        <v>45985</v>
      </c>
      <c r="Q1157" t="str">
        <f t="shared" si="91"/>
        <v>Kanav Tella</v>
      </c>
      <c r="R1157" t="str">
        <f t="shared" si="92"/>
        <v>Delhi</v>
      </c>
      <c r="S1157" t="str">
        <f t="shared" si="93"/>
        <v>Delhi</v>
      </c>
      <c r="T1157">
        <f t="shared" si="94"/>
        <v>20000</v>
      </c>
    </row>
    <row r="1158" spans="1:20" x14ac:dyDescent="0.35">
      <c r="A1158" t="s">
        <v>1171</v>
      </c>
      <c r="B1158" t="s">
        <v>1263</v>
      </c>
      <c r="C1158" t="s">
        <v>1988</v>
      </c>
      <c r="D1158" t="s">
        <v>3627</v>
      </c>
      <c r="E1158" t="s">
        <v>3671</v>
      </c>
      <c r="F1158">
        <v>52</v>
      </c>
      <c r="G1158" t="s">
        <v>3674</v>
      </c>
      <c r="H1158" t="s">
        <v>3680</v>
      </c>
      <c r="I1158" t="s">
        <v>3691</v>
      </c>
      <c r="J1158" t="s">
        <v>3693</v>
      </c>
      <c r="K1158" t="s">
        <v>3696</v>
      </c>
      <c r="L1158">
        <v>3</v>
      </c>
      <c r="M1158">
        <v>58000</v>
      </c>
      <c r="N1158" t="s">
        <v>3701</v>
      </c>
      <c r="O1158" t="s">
        <v>3705</v>
      </c>
      <c r="P1158" s="2">
        <f t="shared" si="90"/>
        <v>45757</v>
      </c>
      <c r="Q1158" t="str">
        <f t="shared" si="91"/>
        <v>Jayesh Dhar</v>
      </c>
      <c r="R1158" t="str">
        <f t="shared" si="92"/>
        <v>Pune</v>
      </c>
      <c r="S1158" t="str">
        <f t="shared" si="93"/>
        <v>Maharashtra</v>
      </c>
      <c r="T1158">
        <f t="shared" si="94"/>
        <v>174000</v>
      </c>
    </row>
    <row r="1159" spans="1:20" x14ac:dyDescent="0.35">
      <c r="A1159" t="s">
        <v>1172</v>
      </c>
      <c r="B1159" t="s">
        <v>1630</v>
      </c>
      <c r="C1159" t="s">
        <v>2270</v>
      </c>
      <c r="D1159" t="s">
        <v>3628</v>
      </c>
      <c r="E1159" t="s">
        <v>3671</v>
      </c>
      <c r="F1159">
        <v>54</v>
      </c>
      <c r="G1159" t="s">
        <v>3673</v>
      </c>
      <c r="H1159" t="s">
        <v>3673</v>
      </c>
      <c r="I1159" t="s">
        <v>3688</v>
      </c>
      <c r="J1159" t="s">
        <v>3694</v>
      </c>
      <c r="K1159" t="s">
        <v>3698</v>
      </c>
      <c r="L1159">
        <v>5</v>
      </c>
      <c r="M1159">
        <v>4500</v>
      </c>
      <c r="N1159" t="s">
        <v>3701</v>
      </c>
      <c r="O1159" t="s">
        <v>3706</v>
      </c>
      <c r="P1159" s="2">
        <f t="shared" si="90"/>
        <v>45897</v>
      </c>
      <c r="Q1159" t="str">
        <f t="shared" si="91"/>
        <v>Advika Balay</v>
      </c>
      <c r="R1159" t="str">
        <f t="shared" si="92"/>
        <v>Delhi</v>
      </c>
      <c r="S1159" t="str">
        <f t="shared" si="93"/>
        <v>Delhi</v>
      </c>
      <c r="T1159">
        <f t="shared" si="94"/>
        <v>22500</v>
      </c>
    </row>
    <row r="1160" spans="1:20" x14ac:dyDescent="0.35">
      <c r="A1160" t="s">
        <v>1173</v>
      </c>
      <c r="B1160" t="s">
        <v>1760</v>
      </c>
      <c r="C1160" t="s">
        <v>2325</v>
      </c>
      <c r="D1160" t="s">
        <v>3629</v>
      </c>
      <c r="E1160" t="s">
        <v>3671</v>
      </c>
      <c r="F1160">
        <v>35</v>
      </c>
      <c r="G1160" t="s">
        <v>3675</v>
      </c>
      <c r="H1160" t="s">
        <v>3681</v>
      </c>
      <c r="I1160" t="s">
        <v>3688</v>
      </c>
      <c r="J1160" t="s">
        <v>3694</v>
      </c>
      <c r="K1160" t="s">
        <v>3698</v>
      </c>
      <c r="L1160">
        <v>3</v>
      </c>
      <c r="M1160">
        <v>4500</v>
      </c>
      <c r="N1160" t="s">
        <v>3703</v>
      </c>
      <c r="O1160" t="s">
        <v>3707</v>
      </c>
      <c r="P1160" s="2">
        <f t="shared" si="90"/>
        <v>45915</v>
      </c>
      <c r="Q1160" t="str">
        <f t="shared" si="91"/>
        <v>Siya Jain</v>
      </c>
      <c r="R1160" t="str">
        <f t="shared" si="92"/>
        <v>Kolkata</v>
      </c>
      <c r="S1160" t="str">
        <f t="shared" si="93"/>
        <v>West Bengal</v>
      </c>
      <c r="T1160">
        <f t="shared" si="94"/>
        <v>13500</v>
      </c>
    </row>
    <row r="1161" spans="1:20" x14ac:dyDescent="0.35">
      <c r="A1161" t="s">
        <v>1174</v>
      </c>
      <c r="B1161" t="s">
        <v>1519</v>
      </c>
      <c r="C1161" t="s">
        <v>1983</v>
      </c>
      <c r="D1161" t="s">
        <v>3630</v>
      </c>
      <c r="E1161" t="s">
        <v>3671</v>
      </c>
      <c r="F1161">
        <v>59</v>
      </c>
      <c r="G1161" t="s">
        <v>3676</v>
      </c>
      <c r="H1161" t="s">
        <v>3682</v>
      </c>
      <c r="I1161" t="s">
        <v>3687</v>
      </c>
      <c r="J1161" t="s">
        <v>3693</v>
      </c>
      <c r="K1161" t="s">
        <v>3697</v>
      </c>
      <c r="L1161">
        <v>1</v>
      </c>
      <c r="M1161">
        <v>5000</v>
      </c>
      <c r="N1161" t="s">
        <v>3704</v>
      </c>
      <c r="O1161" t="s">
        <v>3706</v>
      </c>
      <c r="P1161" s="2">
        <f t="shared" si="90"/>
        <v>45914</v>
      </c>
      <c r="Q1161" t="str">
        <f t="shared" si="91"/>
        <v>Adah Verma</v>
      </c>
      <c r="R1161" t="str">
        <f t="shared" si="92"/>
        <v>Chennai</v>
      </c>
      <c r="S1161" t="str">
        <f t="shared" si="93"/>
        <v>Tamil Nadu</v>
      </c>
      <c r="T1161">
        <f t="shared" si="94"/>
        <v>5000</v>
      </c>
    </row>
    <row r="1162" spans="1:20" x14ac:dyDescent="0.35">
      <c r="A1162" t="s">
        <v>1175</v>
      </c>
      <c r="B1162" t="s">
        <v>1374</v>
      </c>
      <c r="C1162" t="s">
        <v>2467</v>
      </c>
      <c r="D1162" t="s">
        <v>3631</v>
      </c>
      <c r="E1162" t="s">
        <v>3671</v>
      </c>
      <c r="F1162">
        <v>31</v>
      </c>
      <c r="G1162" t="s">
        <v>3678</v>
      </c>
      <c r="H1162" t="s">
        <v>3683</v>
      </c>
      <c r="I1162" t="s">
        <v>3691</v>
      </c>
      <c r="J1162" t="s">
        <v>3693</v>
      </c>
      <c r="K1162" t="s">
        <v>3696</v>
      </c>
      <c r="L1162">
        <v>5</v>
      </c>
      <c r="M1162">
        <v>58000</v>
      </c>
      <c r="N1162" t="s">
        <v>3702</v>
      </c>
      <c r="O1162" t="s">
        <v>3707</v>
      </c>
      <c r="P1162" s="2">
        <f t="shared" si="90"/>
        <v>45836</v>
      </c>
      <c r="Q1162" t="str">
        <f t="shared" si="91"/>
        <v>Dhruv Ravel</v>
      </c>
      <c r="R1162" t="str">
        <f t="shared" si="92"/>
        <v>Hyderabad</v>
      </c>
      <c r="S1162" t="str">
        <f t="shared" si="93"/>
        <v>Telangana</v>
      </c>
      <c r="T1162">
        <f t="shared" si="94"/>
        <v>290000</v>
      </c>
    </row>
    <row r="1163" spans="1:20" x14ac:dyDescent="0.35">
      <c r="A1163" t="s">
        <v>1176</v>
      </c>
      <c r="B1163" t="s">
        <v>1433</v>
      </c>
      <c r="C1163" t="s">
        <v>2345</v>
      </c>
      <c r="D1163" t="s">
        <v>3632</v>
      </c>
      <c r="E1163" t="s">
        <v>3671</v>
      </c>
      <c r="F1163">
        <v>30</v>
      </c>
      <c r="G1163" t="s">
        <v>3676</v>
      </c>
      <c r="H1163" t="s">
        <v>3682</v>
      </c>
      <c r="I1163" t="s">
        <v>3686</v>
      </c>
      <c r="J1163" t="s">
        <v>3693</v>
      </c>
      <c r="K1163" t="s">
        <v>3696</v>
      </c>
      <c r="L1163">
        <v>5</v>
      </c>
      <c r="M1163">
        <v>65000</v>
      </c>
      <c r="N1163" t="s">
        <v>3701</v>
      </c>
      <c r="O1163" t="s">
        <v>3707</v>
      </c>
      <c r="P1163" s="2">
        <f t="shared" si="90"/>
        <v>45784</v>
      </c>
      <c r="Q1163" t="str">
        <f t="shared" si="91"/>
        <v>Himmat Dutt</v>
      </c>
      <c r="R1163" t="str">
        <f t="shared" si="92"/>
        <v>Chennai</v>
      </c>
      <c r="S1163" t="str">
        <f t="shared" si="93"/>
        <v>Tamil Nadu</v>
      </c>
      <c r="T1163">
        <f t="shared" si="94"/>
        <v>325000</v>
      </c>
    </row>
    <row r="1164" spans="1:20" x14ac:dyDescent="0.35">
      <c r="A1164" t="s">
        <v>1177</v>
      </c>
      <c r="B1164" t="s">
        <v>1705</v>
      </c>
      <c r="C1164" t="s">
        <v>2206</v>
      </c>
      <c r="D1164" t="s">
        <v>3633</v>
      </c>
      <c r="E1164" t="s">
        <v>3672</v>
      </c>
      <c r="F1164">
        <v>28</v>
      </c>
      <c r="G1164" t="s">
        <v>3676</v>
      </c>
      <c r="H1164" t="s">
        <v>3682</v>
      </c>
      <c r="I1164" t="s">
        <v>3689</v>
      </c>
      <c r="J1164" t="s">
        <v>3694</v>
      </c>
      <c r="K1164" t="s">
        <v>3699</v>
      </c>
      <c r="L1164">
        <v>3</v>
      </c>
      <c r="M1164">
        <v>1800</v>
      </c>
      <c r="N1164" t="s">
        <v>3702</v>
      </c>
      <c r="O1164" t="s">
        <v>3707</v>
      </c>
      <c r="P1164" s="2">
        <f t="shared" si="90"/>
        <v>45964</v>
      </c>
      <c r="Q1164" t="str">
        <f t="shared" si="91"/>
        <v>Tara Das</v>
      </c>
      <c r="R1164" t="str">
        <f t="shared" si="92"/>
        <v>Chennai</v>
      </c>
      <c r="S1164" t="str">
        <f t="shared" si="93"/>
        <v>Tamil Nadu</v>
      </c>
      <c r="T1164">
        <f t="shared" si="94"/>
        <v>5400</v>
      </c>
    </row>
    <row r="1165" spans="1:20" x14ac:dyDescent="0.35">
      <c r="A1165" t="s">
        <v>1178</v>
      </c>
      <c r="B1165" t="s">
        <v>1460</v>
      </c>
      <c r="C1165" t="s">
        <v>2468</v>
      </c>
      <c r="D1165" t="s">
        <v>3634</v>
      </c>
      <c r="E1165" t="s">
        <v>3672</v>
      </c>
      <c r="F1165">
        <v>27</v>
      </c>
      <c r="G1165" t="s">
        <v>3673</v>
      </c>
      <c r="H1165" t="s">
        <v>3673</v>
      </c>
      <c r="I1165" t="s">
        <v>3685</v>
      </c>
      <c r="J1165" t="s">
        <v>3692</v>
      </c>
      <c r="K1165" t="s">
        <v>3695</v>
      </c>
      <c r="L1165">
        <v>5</v>
      </c>
      <c r="M1165">
        <v>12000</v>
      </c>
      <c r="N1165" t="s">
        <v>3702</v>
      </c>
      <c r="O1165" t="s">
        <v>3707</v>
      </c>
      <c r="P1165" s="2">
        <f t="shared" si="90"/>
        <v>45898</v>
      </c>
      <c r="Q1165" t="str">
        <f t="shared" si="91"/>
        <v>Priyansh Sani</v>
      </c>
      <c r="R1165" t="str">
        <f t="shared" si="92"/>
        <v>Delhi</v>
      </c>
      <c r="S1165" t="str">
        <f t="shared" si="93"/>
        <v>Delhi</v>
      </c>
      <c r="T1165">
        <f t="shared" si="94"/>
        <v>60000</v>
      </c>
    </row>
    <row r="1166" spans="1:20" x14ac:dyDescent="0.35">
      <c r="A1166" t="s">
        <v>1179</v>
      </c>
      <c r="B1166" t="s">
        <v>1775</v>
      </c>
      <c r="C1166" t="s">
        <v>1818</v>
      </c>
      <c r="D1166" t="s">
        <v>3635</v>
      </c>
      <c r="E1166" t="s">
        <v>3672</v>
      </c>
      <c r="F1166">
        <v>60</v>
      </c>
      <c r="G1166" t="s">
        <v>3679</v>
      </c>
      <c r="H1166" t="s">
        <v>3684</v>
      </c>
      <c r="I1166" t="s">
        <v>3685</v>
      </c>
      <c r="J1166" t="s">
        <v>3692</v>
      </c>
      <c r="K1166" t="s">
        <v>3695</v>
      </c>
      <c r="L1166">
        <v>4</v>
      </c>
      <c r="M1166">
        <v>12000</v>
      </c>
      <c r="N1166" t="s">
        <v>3702</v>
      </c>
      <c r="O1166" t="s">
        <v>3706</v>
      </c>
      <c r="P1166" s="2">
        <f t="shared" si="90"/>
        <v>45731</v>
      </c>
      <c r="Q1166" t="str">
        <f t="shared" si="91"/>
        <v>Khushi Kohli</v>
      </c>
      <c r="R1166" t="str">
        <f t="shared" si="92"/>
        <v>Bengaluru</v>
      </c>
      <c r="S1166" t="str">
        <f t="shared" si="93"/>
        <v>Karnataka</v>
      </c>
      <c r="T1166">
        <f t="shared" si="94"/>
        <v>48000</v>
      </c>
    </row>
    <row r="1167" spans="1:20" x14ac:dyDescent="0.35">
      <c r="A1167" t="s">
        <v>1180</v>
      </c>
      <c r="B1167" t="s">
        <v>1235</v>
      </c>
      <c r="C1167" t="s">
        <v>2469</v>
      </c>
      <c r="D1167" t="s">
        <v>3636</v>
      </c>
      <c r="E1167" t="s">
        <v>3671</v>
      </c>
      <c r="F1167">
        <v>40</v>
      </c>
      <c r="G1167" t="s">
        <v>3679</v>
      </c>
      <c r="H1167" t="s">
        <v>3684</v>
      </c>
      <c r="I1167" t="s">
        <v>3689</v>
      </c>
      <c r="J1167" t="s">
        <v>3694</v>
      </c>
      <c r="K1167" t="s">
        <v>3699</v>
      </c>
      <c r="L1167">
        <v>3</v>
      </c>
      <c r="M1167">
        <v>1800</v>
      </c>
      <c r="N1167" t="s">
        <v>3703</v>
      </c>
      <c r="O1167" t="s">
        <v>3707</v>
      </c>
      <c r="P1167" s="2">
        <f t="shared" si="90"/>
        <v>45846</v>
      </c>
      <c r="Q1167" t="str">
        <f t="shared" si="91"/>
        <v>Taimur Vig</v>
      </c>
      <c r="R1167" t="str">
        <f t="shared" si="92"/>
        <v>Bengaluru</v>
      </c>
      <c r="S1167" t="str">
        <f t="shared" si="93"/>
        <v>Karnataka</v>
      </c>
      <c r="T1167">
        <f t="shared" si="94"/>
        <v>5400</v>
      </c>
    </row>
    <row r="1168" spans="1:20" x14ac:dyDescent="0.35">
      <c r="A1168" t="s">
        <v>1181</v>
      </c>
      <c r="B1168" t="s">
        <v>1778</v>
      </c>
      <c r="C1168" t="s">
        <v>2162</v>
      </c>
      <c r="D1168" t="s">
        <v>3637</v>
      </c>
      <c r="E1168" t="s">
        <v>3671</v>
      </c>
      <c r="F1168">
        <v>24</v>
      </c>
      <c r="G1168" t="s">
        <v>3674</v>
      </c>
      <c r="H1168" t="s">
        <v>3680</v>
      </c>
      <c r="I1168" t="s">
        <v>3686</v>
      </c>
      <c r="J1168" t="s">
        <v>3693</v>
      </c>
      <c r="K1168" t="s">
        <v>3696</v>
      </c>
      <c r="L1168">
        <v>5</v>
      </c>
      <c r="M1168">
        <v>65000</v>
      </c>
      <c r="N1168" t="s">
        <v>3701</v>
      </c>
      <c r="O1168" t="s">
        <v>3707</v>
      </c>
      <c r="P1168" s="2">
        <f t="shared" si="90"/>
        <v>45703</v>
      </c>
      <c r="Q1168" t="str">
        <f t="shared" si="91"/>
        <v>Suhana Dey</v>
      </c>
      <c r="R1168" t="str">
        <f t="shared" si="92"/>
        <v>Pune</v>
      </c>
      <c r="S1168" t="str">
        <f t="shared" si="93"/>
        <v>Maharashtra</v>
      </c>
      <c r="T1168">
        <f t="shared" si="94"/>
        <v>325000</v>
      </c>
    </row>
    <row r="1169" spans="1:20" x14ac:dyDescent="0.35">
      <c r="A1169" t="s">
        <v>1182</v>
      </c>
      <c r="B1169" t="s">
        <v>1725</v>
      </c>
      <c r="C1169" t="s">
        <v>2071</v>
      </c>
      <c r="D1169" t="s">
        <v>3638</v>
      </c>
      <c r="E1169" t="s">
        <v>3671</v>
      </c>
      <c r="F1169">
        <v>39</v>
      </c>
      <c r="G1169" t="s">
        <v>3679</v>
      </c>
      <c r="H1169" t="s">
        <v>3684</v>
      </c>
      <c r="I1169" t="s">
        <v>3690</v>
      </c>
      <c r="J1169" t="s">
        <v>3693</v>
      </c>
      <c r="K1169" t="s">
        <v>3700</v>
      </c>
      <c r="L1169">
        <v>3</v>
      </c>
      <c r="M1169">
        <v>72000</v>
      </c>
      <c r="N1169" t="s">
        <v>3702</v>
      </c>
      <c r="O1169" t="s">
        <v>3705</v>
      </c>
      <c r="P1169" s="2">
        <f t="shared" si="90"/>
        <v>45813</v>
      </c>
      <c r="Q1169" t="str">
        <f t="shared" si="91"/>
        <v>Keya Malhotra</v>
      </c>
      <c r="R1169" t="str">
        <f t="shared" si="92"/>
        <v>Bengaluru</v>
      </c>
      <c r="S1169" t="str">
        <f t="shared" si="93"/>
        <v>Karnataka</v>
      </c>
      <c r="T1169">
        <f t="shared" si="94"/>
        <v>216000</v>
      </c>
    </row>
    <row r="1170" spans="1:20" x14ac:dyDescent="0.35">
      <c r="A1170" t="s">
        <v>1183</v>
      </c>
      <c r="B1170" t="s">
        <v>1520</v>
      </c>
      <c r="C1170" t="s">
        <v>2470</v>
      </c>
      <c r="D1170" t="s">
        <v>3639</v>
      </c>
      <c r="E1170" t="s">
        <v>3671</v>
      </c>
      <c r="F1170">
        <v>44</v>
      </c>
      <c r="G1170" t="s">
        <v>3677</v>
      </c>
      <c r="H1170" t="s">
        <v>3680</v>
      </c>
      <c r="I1170" t="s">
        <v>3685</v>
      </c>
      <c r="J1170" t="s">
        <v>3692</v>
      </c>
      <c r="K1170" t="s">
        <v>3695</v>
      </c>
      <c r="L1170">
        <v>2</v>
      </c>
      <c r="M1170">
        <v>12000</v>
      </c>
      <c r="N1170" t="s">
        <v>3701</v>
      </c>
      <c r="O1170" t="s">
        <v>3706</v>
      </c>
      <c r="P1170" s="2">
        <f t="shared" si="90"/>
        <v>45812</v>
      </c>
      <c r="Q1170" t="str">
        <f t="shared" si="91"/>
        <v>Zoya Ganesan</v>
      </c>
      <c r="R1170" t="str">
        <f t="shared" si="92"/>
        <v>Mumbai</v>
      </c>
      <c r="S1170" t="str">
        <f t="shared" si="93"/>
        <v>Maharashtra</v>
      </c>
      <c r="T1170">
        <f t="shared" si="94"/>
        <v>24000</v>
      </c>
    </row>
    <row r="1171" spans="1:20" x14ac:dyDescent="0.35">
      <c r="A1171" t="s">
        <v>1184</v>
      </c>
      <c r="B1171" t="s">
        <v>1505</v>
      </c>
      <c r="C1171" t="s">
        <v>2471</v>
      </c>
      <c r="D1171" t="s">
        <v>3640</v>
      </c>
      <c r="E1171" t="s">
        <v>3672</v>
      </c>
      <c r="F1171">
        <v>22</v>
      </c>
      <c r="G1171" t="s">
        <v>3677</v>
      </c>
      <c r="H1171" t="s">
        <v>3680</v>
      </c>
      <c r="I1171" t="s">
        <v>3691</v>
      </c>
      <c r="J1171" t="s">
        <v>3693</v>
      </c>
      <c r="K1171" t="s">
        <v>3696</v>
      </c>
      <c r="L1171">
        <v>2</v>
      </c>
      <c r="M1171">
        <v>58000</v>
      </c>
      <c r="N1171" t="s">
        <v>3701</v>
      </c>
      <c r="O1171" t="s">
        <v>3707</v>
      </c>
      <c r="P1171" s="2">
        <f t="shared" si="90"/>
        <v>45764</v>
      </c>
      <c r="Q1171" t="str">
        <f t="shared" si="91"/>
        <v>Nitya Tara</v>
      </c>
      <c r="R1171" t="str">
        <f t="shared" si="92"/>
        <v>Mumbai</v>
      </c>
      <c r="S1171" t="str">
        <f t="shared" si="93"/>
        <v>Maharashtra</v>
      </c>
      <c r="T1171">
        <f t="shared" si="94"/>
        <v>116000</v>
      </c>
    </row>
    <row r="1172" spans="1:20" x14ac:dyDescent="0.35">
      <c r="A1172" t="s">
        <v>1185</v>
      </c>
      <c r="B1172" t="s">
        <v>1779</v>
      </c>
      <c r="C1172" t="s">
        <v>1873</v>
      </c>
      <c r="D1172" t="s">
        <v>3641</v>
      </c>
      <c r="E1172" t="s">
        <v>3671</v>
      </c>
      <c r="F1172">
        <v>38</v>
      </c>
      <c r="G1172" t="s">
        <v>3677</v>
      </c>
      <c r="H1172" t="s">
        <v>3680</v>
      </c>
      <c r="I1172" t="s">
        <v>3685</v>
      </c>
      <c r="J1172" t="s">
        <v>3692</v>
      </c>
      <c r="K1172" t="s">
        <v>3695</v>
      </c>
      <c r="L1172">
        <v>3</v>
      </c>
      <c r="M1172">
        <v>12000</v>
      </c>
      <c r="N1172" t="s">
        <v>3702</v>
      </c>
      <c r="O1172" t="s">
        <v>3706</v>
      </c>
      <c r="P1172" s="2">
        <f t="shared" si="90"/>
        <v>45750</v>
      </c>
      <c r="Q1172" t="str">
        <f t="shared" si="91"/>
        <v>Aarush Barman</v>
      </c>
      <c r="R1172" t="str">
        <f t="shared" si="92"/>
        <v>Mumbai</v>
      </c>
      <c r="S1172" t="str">
        <f t="shared" si="93"/>
        <v>Maharashtra</v>
      </c>
      <c r="T1172">
        <f t="shared" si="94"/>
        <v>36000</v>
      </c>
    </row>
    <row r="1173" spans="1:20" x14ac:dyDescent="0.35">
      <c r="A1173" t="s">
        <v>1186</v>
      </c>
      <c r="B1173" t="s">
        <v>1337</v>
      </c>
      <c r="C1173" t="s">
        <v>2472</v>
      </c>
      <c r="D1173" t="s">
        <v>3642</v>
      </c>
      <c r="E1173" t="s">
        <v>3671</v>
      </c>
      <c r="F1173">
        <v>49</v>
      </c>
      <c r="G1173" t="s">
        <v>3677</v>
      </c>
      <c r="H1173" t="s">
        <v>3680</v>
      </c>
      <c r="I1173" t="s">
        <v>3686</v>
      </c>
      <c r="J1173" t="s">
        <v>3693</v>
      </c>
      <c r="K1173" t="s">
        <v>3696</v>
      </c>
      <c r="L1173">
        <v>1</v>
      </c>
      <c r="M1173">
        <v>65000</v>
      </c>
      <c r="N1173" t="s">
        <v>3702</v>
      </c>
      <c r="O1173" t="s">
        <v>3706</v>
      </c>
      <c r="P1173" s="2">
        <f t="shared" si="90"/>
        <v>45880</v>
      </c>
      <c r="Q1173" t="str">
        <f t="shared" si="91"/>
        <v>Ivana Sen</v>
      </c>
      <c r="R1173" t="str">
        <f t="shared" si="92"/>
        <v>Mumbai</v>
      </c>
      <c r="S1173" t="str">
        <f t="shared" si="93"/>
        <v>Maharashtra</v>
      </c>
      <c r="T1173">
        <f t="shared" si="94"/>
        <v>65000</v>
      </c>
    </row>
    <row r="1174" spans="1:20" x14ac:dyDescent="0.35">
      <c r="A1174" t="s">
        <v>1187</v>
      </c>
      <c r="B1174" t="s">
        <v>1780</v>
      </c>
      <c r="C1174" t="s">
        <v>2140</v>
      </c>
      <c r="D1174" t="s">
        <v>3643</v>
      </c>
      <c r="E1174" t="s">
        <v>3671</v>
      </c>
      <c r="F1174">
        <v>20</v>
      </c>
      <c r="G1174" t="s">
        <v>3673</v>
      </c>
      <c r="H1174" t="s">
        <v>3673</v>
      </c>
      <c r="I1174" t="s">
        <v>3691</v>
      </c>
      <c r="J1174" t="s">
        <v>3693</v>
      </c>
      <c r="K1174" t="s">
        <v>3696</v>
      </c>
      <c r="L1174">
        <v>4</v>
      </c>
      <c r="M1174">
        <v>58000</v>
      </c>
      <c r="N1174" t="s">
        <v>3704</v>
      </c>
      <c r="O1174" t="s">
        <v>3705</v>
      </c>
      <c r="P1174" s="2">
        <f t="shared" si="90"/>
        <v>45978</v>
      </c>
      <c r="Q1174" t="str">
        <f t="shared" si="91"/>
        <v>Oorja Jayaraman</v>
      </c>
      <c r="R1174" t="str">
        <f t="shared" si="92"/>
        <v>Delhi</v>
      </c>
      <c r="S1174" t="str">
        <f t="shared" si="93"/>
        <v>Delhi</v>
      </c>
      <c r="T1174">
        <f t="shared" si="94"/>
        <v>232000</v>
      </c>
    </row>
    <row r="1175" spans="1:20" x14ac:dyDescent="0.35">
      <c r="A1175" t="s">
        <v>1188</v>
      </c>
      <c r="B1175" t="s">
        <v>1254</v>
      </c>
      <c r="C1175" t="s">
        <v>1891</v>
      </c>
      <c r="D1175" t="s">
        <v>3644</v>
      </c>
      <c r="E1175" t="s">
        <v>3672</v>
      </c>
      <c r="F1175">
        <v>45</v>
      </c>
      <c r="G1175" t="s">
        <v>3674</v>
      </c>
      <c r="H1175" t="s">
        <v>3680</v>
      </c>
      <c r="I1175" t="s">
        <v>3686</v>
      </c>
      <c r="J1175" t="s">
        <v>3693</v>
      </c>
      <c r="K1175" t="s">
        <v>3696</v>
      </c>
      <c r="L1175">
        <v>3</v>
      </c>
      <c r="M1175">
        <v>65000</v>
      </c>
      <c r="N1175" t="s">
        <v>3703</v>
      </c>
      <c r="O1175" t="s">
        <v>3707</v>
      </c>
      <c r="P1175" s="2">
        <f t="shared" si="90"/>
        <v>45994</v>
      </c>
      <c r="Q1175" t="str">
        <f t="shared" si="91"/>
        <v>Myra Shenoy</v>
      </c>
      <c r="R1175" t="str">
        <f t="shared" si="92"/>
        <v>Pune</v>
      </c>
      <c r="S1175" t="str">
        <f t="shared" si="93"/>
        <v>Maharashtra</v>
      </c>
      <c r="T1175">
        <f t="shared" si="94"/>
        <v>195000</v>
      </c>
    </row>
    <row r="1176" spans="1:20" x14ac:dyDescent="0.35">
      <c r="A1176" t="s">
        <v>1189</v>
      </c>
      <c r="B1176" t="s">
        <v>1510</v>
      </c>
      <c r="C1176" t="s">
        <v>2473</v>
      </c>
      <c r="D1176" t="s">
        <v>3645</v>
      </c>
      <c r="E1176" t="s">
        <v>3672</v>
      </c>
      <c r="F1176">
        <v>20</v>
      </c>
      <c r="G1176" t="s">
        <v>3673</v>
      </c>
      <c r="H1176" t="s">
        <v>3673</v>
      </c>
      <c r="I1176" t="s">
        <v>3691</v>
      </c>
      <c r="J1176" t="s">
        <v>3693</v>
      </c>
      <c r="K1176" t="s">
        <v>3696</v>
      </c>
      <c r="L1176">
        <v>1</v>
      </c>
      <c r="M1176">
        <v>58000</v>
      </c>
      <c r="N1176" t="s">
        <v>3703</v>
      </c>
      <c r="O1176" t="s">
        <v>3707</v>
      </c>
      <c r="P1176" s="2">
        <f t="shared" si="90"/>
        <v>45837</v>
      </c>
      <c r="Q1176" t="str">
        <f t="shared" si="91"/>
        <v>Baiju Karpe</v>
      </c>
      <c r="R1176" t="str">
        <f t="shared" si="92"/>
        <v>Delhi</v>
      </c>
      <c r="S1176" t="str">
        <f t="shared" si="93"/>
        <v>Delhi</v>
      </c>
      <c r="T1176">
        <f t="shared" si="94"/>
        <v>58000</v>
      </c>
    </row>
    <row r="1177" spans="1:20" x14ac:dyDescent="0.35">
      <c r="A1177" t="s">
        <v>1190</v>
      </c>
      <c r="B1177" t="s">
        <v>1323</v>
      </c>
      <c r="C1177" t="s">
        <v>2474</v>
      </c>
      <c r="D1177" t="s">
        <v>3646</v>
      </c>
      <c r="E1177" t="s">
        <v>3672</v>
      </c>
      <c r="F1177">
        <v>48</v>
      </c>
      <c r="G1177" t="s">
        <v>3676</v>
      </c>
      <c r="H1177" t="s">
        <v>3682</v>
      </c>
      <c r="I1177" t="s">
        <v>3687</v>
      </c>
      <c r="J1177" t="s">
        <v>3693</v>
      </c>
      <c r="K1177" t="s">
        <v>3697</v>
      </c>
      <c r="L1177">
        <v>2</v>
      </c>
      <c r="M1177">
        <v>5000</v>
      </c>
      <c r="N1177" t="s">
        <v>3703</v>
      </c>
      <c r="O1177" t="s">
        <v>3706</v>
      </c>
      <c r="P1177" s="2">
        <f t="shared" si="90"/>
        <v>45714</v>
      </c>
      <c r="Q1177" t="str">
        <f t="shared" si="91"/>
        <v>Mishti Halder</v>
      </c>
      <c r="R1177" t="str">
        <f t="shared" si="92"/>
        <v>Chennai</v>
      </c>
      <c r="S1177" t="str">
        <f t="shared" si="93"/>
        <v>Tamil Nadu</v>
      </c>
      <c r="T1177">
        <f t="shared" si="94"/>
        <v>10000</v>
      </c>
    </row>
    <row r="1178" spans="1:20" x14ac:dyDescent="0.35">
      <c r="A1178" t="s">
        <v>1191</v>
      </c>
      <c r="B1178" t="s">
        <v>1358</v>
      </c>
      <c r="C1178" t="s">
        <v>2191</v>
      </c>
      <c r="D1178" t="s">
        <v>3647</v>
      </c>
      <c r="E1178" t="s">
        <v>3671</v>
      </c>
      <c r="F1178">
        <v>40</v>
      </c>
      <c r="G1178" t="s">
        <v>3675</v>
      </c>
      <c r="H1178" t="s">
        <v>3681</v>
      </c>
      <c r="I1178" t="s">
        <v>3690</v>
      </c>
      <c r="J1178" t="s">
        <v>3693</v>
      </c>
      <c r="K1178" t="s">
        <v>3700</v>
      </c>
      <c r="L1178">
        <v>2</v>
      </c>
      <c r="M1178">
        <v>72000</v>
      </c>
      <c r="N1178" t="s">
        <v>3703</v>
      </c>
      <c r="O1178" t="s">
        <v>3706</v>
      </c>
      <c r="P1178" s="2">
        <f t="shared" si="90"/>
        <v>45824</v>
      </c>
      <c r="Q1178" t="str">
        <f t="shared" si="91"/>
        <v>Yuvraj Raval</v>
      </c>
      <c r="R1178" t="str">
        <f t="shared" si="92"/>
        <v>Kolkata</v>
      </c>
      <c r="S1178" t="str">
        <f t="shared" si="93"/>
        <v>West Bengal</v>
      </c>
      <c r="T1178">
        <f t="shared" si="94"/>
        <v>144000</v>
      </c>
    </row>
    <row r="1179" spans="1:20" x14ac:dyDescent="0.35">
      <c r="A1179" t="s">
        <v>1192</v>
      </c>
      <c r="B1179" t="s">
        <v>1350</v>
      </c>
      <c r="C1179" t="s">
        <v>2475</v>
      </c>
      <c r="D1179" t="s">
        <v>3648</v>
      </c>
      <c r="E1179" t="s">
        <v>3672</v>
      </c>
      <c r="F1179">
        <v>27</v>
      </c>
      <c r="G1179" t="s">
        <v>3676</v>
      </c>
      <c r="H1179" t="s">
        <v>3682</v>
      </c>
      <c r="I1179" t="s">
        <v>3687</v>
      </c>
      <c r="J1179" t="s">
        <v>3693</v>
      </c>
      <c r="K1179" t="s">
        <v>3697</v>
      </c>
      <c r="L1179">
        <v>3</v>
      </c>
      <c r="M1179">
        <v>5000</v>
      </c>
      <c r="N1179" t="s">
        <v>3701</v>
      </c>
      <c r="O1179" t="s">
        <v>3706</v>
      </c>
      <c r="P1179" s="2">
        <f t="shared" si="90"/>
        <v>45951</v>
      </c>
      <c r="Q1179" t="str">
        <f t="shared" si="91"/>
        <v>Ishaan Ramachandran</v>
      </c>
      <c r="R1179" t="str">
        <f t="shared" si="92"/>
        <v>Chennai</v>
      </c>
      <c r="S1179" t="str">
        <f t="shared" si="93"/>
        <v>Tamil Nadu</v>
      </c>
      <c r="T1179">
        <f t="shared" si="94"/>
        <v>15000</v>
      </c>
    </row>
    <row r="1180" spans="1:20" x14ac:dyDescent="0.35">
      <c r="A1180" t="s">
        <v>1193</v>
      </c>
      <c r="B1180" t="s">
        <v>1329</v>
      </c>
      <c r="C1180" t="s">
        <v>2065</v>
      </c>
      <c r="D1180" t="s">
        <v>3649</v>
      </c>
      <c r="E1180" t="s">
        <v>3671</v>
      </c>
      <c r="F1180">
        <v>54</v>
      </c>
      <c r="G1180" t="s">
        <v>3678</v>
      </c>
      <c r="H1180" t="s">
        <v>3683</v>
      </c>
      <c r="I1180" t="s">
        <v>3685</v>
      </c>
      <c r="J1180" t="s">
        <v>3692</v>
      </c>
      <c r="K1180" t="s">
        <v>3695</v>
      </c>
      <c r="L1180">
        <v>4</v>
      </c>
      <c r="M1180">
        <v>12000</v>
      </c>
      <c r="N1180" t="s">
        <v>3703</v>
      </c>
      <c r="O1180" t="s">
        <v>3707</v>
      </c>
      <c r="P1180" s="2">
        <f t="shared" si="90"/>
        <v>46023</v>
      </c>
      <c r="Q1180" t="str">
        <f t="shared" si="91"/>
        <v>Parinaaz Setty</v>
      </c>
      <c r="R1180" t="str">
        <f t="shared" si="92"/>
        <v>Hyderabad</v>
      </c>
      <c r="S1180" t="str">
        <f t="shared" si="93"/>
        <v>Telangana</v>
      </c>
      <c r="T1180">
        <f t="shared" si="94"/>
        <v>48000</v>
      </c>
    </row>
    <row r="1181" spans="1:20" x14ac:dyDescent="0.35">
      <c r="A1181" t="s">
        <v>1194</v>
      </c>
      <c r="B1181" t="s">
        <v>1349</v>
      </c>
      <c r="C1181" t="s">
        <v>2139</v>
      </c>
      <c r="D1181" t="s">
        <v>3650</v>
      </c>
      <c r="E1181" t="s">
        <v>3672</v>
      </c>
      <c r="F1181">
        <v>54</v>
      </c>
      <c r="G1181" t="s">
        <v>3679</v>
      </c>
      <c r="H1181" t="s">
        <v>3684</v>
      </c>
      <c r="I1181" t="s">
        <v>3690</v>
      </c>
      <c r="J1181" t="s">
        <v>3693</v>
      </c>
      <c r="K1181" t="s">
        <v>3700</v>
      </c>
      <c r="L1181">
        <v>5</v>
      </c>
      <c r="M1181">
        <v>72000</v>
      </c>
      <c r="N1181" t="s">
        <v>3702</v>
      </c>
      <c r="O1181" t="s">
        <v>3706</v>
      </c>
      <c r="P1181" s="2">
        <f t="shared" si="90"/>
        <v>45758</v>
      </c>
      <c r="Q1181" t="str">
        <f t="shared" si="91"/>
        <v>Urvi Kothari</v>
      </c>
      <c r="R1181" t="str">
        <f t="shared" si="92"/>
        <v>Bengaluru</v>
      </c>
      <c r="S1181" t="str">
        <f t="shared" si="93"/>
        <v>Karnataka</v>
      </c>
      <c r="T1181">
        <f t="shared" si="94"/>
        <v>360000</v>
      </c>
    </row>
    <row r="1182" spans="1:20" x14ac:dyDescent="0.35">
      <c r="A1182" t="s">
        <v>1195</v>
      </c>
      <c r="B1182" t="s">
        <v>1781</v>
      </c>
      <c r="C1182" t="s">
        <v>2021</v>
      </c>
      <c r="D1182" t="s">
        <v>3651</v>
      </c>
      <c r="E1182" t="s">
        <v>3671</v>
      </c>
      <c r="F1182">
        <v>50</v>
      </c>
      <c r="G1182" t="s">
        <v>3678</v>
      </c>
      <c r="H1182" t="s">
        <v>3683</v>
      </c>
      <c r="I1182" t="s">
        <v>3686</v>
      </c>
      <c r="J1182" t="s">
        <v>3693</v>
      </c>
      <c r="K1182" t="s">
        <v>3696</v>
      </c>
      <c r="L1182">
        <v>2</v>
      </c>
      <c r="M1182">
        <v>65000</v>
      </c>
      <c r="N1182" t="s">
        <v>3702</v>
      </c>
      <c r="O1182" t="s">
        <v>3707</v>
      </c>
      <c r="P1182" s="2">
        <f t="shared" si="90"/>
        <v>45748</v>
      </c>
      <c r="Q1182" t="str">
        <f t="shared" si="91"/>
        <v>Gokul Bhagat</v>
      </c>
      <c r="R1182" t="str">
        <f t="shared" si="92"/>
        <v>Hyderabad</v>
      </c>
      <c r="S1182" t="str">
        <f t="shared" si="93"/>
        <v>Telangana</v>
      </c>
      <c r="T1182">
        <f t="shared" si="94"/>
        <v>130000</v>
      </c>
    </row>
    <row r="1183" spans="1:20" x14ac:dyDescent="0.35">
      <c r="A1183" t="s">
        <v>1196</v>
      </c>
      <c r="B1183" t="s">
        <v>1541</v>
      </c>
      <c r="C1183" t="s">
        <v>2476</v>
      </c>
      <c r="D1183" t="s">
        <v>3652</v>
      </c>
      <c r="E1183" t="s">
        <v>3671</v>
      </c>
      <c r="F1183">
        <v>48</v>
      </c>
      <c r="G1183" t="s">
        <v>3675</v>
      </c>
      <c r="H1183" t="s">
        <v>3681</v>
      </c>
      <c r="I1183" t="s">
        <v>3690</v>
      </c>
      <c r="J1183" t="s">
        <v>3693</v>
      </c>
      <c r="K1183" t="s">
        <v>3700</v>
      </c>
      <c r="L1183">
        <v>3</v>
      </c>
      <c r="M1183">
        <v>72000</v>
      </c>
      <c r="N1183" t="s">
        <v>3701</v>
      </c>
      <c r="O1183" t="s">
        <v>3705</v>
      </c>
      <c r="P1183" s="2">
        <f t="shared" si="90"/>
        <v>45990</v>
      </c>
      <c r="Q1183" t="str">
        <f t="shared" si="91"/>
        <v>Kimaya Sharma</v>
      </c>
      <c r="R1183" t="str">
        <f t="shared" si="92"/>
        <v>Kolkata</v>
      </c>
      <c r="S1183" t="str">
        <f t="shared" si="93"/>
        <v>West Bengal</v>
      </c>
      <c r="T1183">
        <f t="shared" si="94"/>
        <v>216000</v>
      </c>
    </row>
    <row r="1184" spans="1:20" x14ac:dyDescent="0.35">
      <c r="A1184" t="s">
        <v>1197</v>
      </c>
      <c r="B1184" t="s">
        <v>1623</v>
      </c>
      <c r="C1184" t="s">
        <v>2477</v>
      </c>
      <c r="D1184" t="s">
        <v>3653</v>
      </c>
      <c r="E1184" t="s">
        <v>3671</v>
      </c>
      <c r="F1184">
        <v>57</v>
      </c>
      <c r="G1184" t="s">
        <v>3676</v>
      </c>
      <c r="H1184" t="s">
        <v>3682</v>
      </c>
      <c r="I1184" t="s">
        <v>3685</v>
      </c>
      <c r="J1184" t="s">
        <v>3692</v>
      </c>
      <c r="K1184" t="s">
        <v>3695</v>
      </c>
      <c r="L1184">
        <v>3</v>
      </c>
      <c r="M1184">
        <v>12000</v>
      </c>
      <c r="N1184" t="s">
        <v>3704</v>
      </c>
      <c r="O1184" t="s">
        <v>3707</v>
      </c>
      <c r="P1184" s="2">
        <f t="shared" si="90"/>
        <v>45668</v>
      </c>
      <c r="Q1184" t="str">
        <f t="shared" si="91"/>
        <v>Nehmat Vig</v>
      </c>
      <c r="R1184" t="str">
        <f t="shared" si="92"/>
        <v>Chennai</v>
      </c>
      <c r="S1184" t="str">
        <f t="shared" si="93"/>
        <v>Tamil Nadu</v>
      </c>
      <c r="T1184">
        <f t="shared" si="94"/>
        <v>36000</v>
      </c>
    </row>
    <row r="1185" spans="1:20" x14ac:dyDescent="0.35">
      <c r="A1185" t="s">
        <v>1198</v>
      </c>
      <c r="B1185" t="s">
        <v>1363</v>
      </c>
      <c r="C1185" t="s">
        <v>2046</v>
      </c>
      <c r="D1185" t="s">
        <v>3654</v>
      </c>
      <c r="E1185" t="s">
        <v>3672</v>
      </c>
      <c r="F1185">
        <v>48</v>
      </c>
      <c r="G1185" t="s">
        <v>3673</v>
      </c>
      <c r="H1185" t="s">
        <v>3673</v>
      </c>
      <c r="I1185" t="s">
        <v>3688</v>
      </c>
      <c r="J1185" t="s">
        <v>3694</v>
      </c>
      <c r="K1185" t="s">
        <v>3698</v>
      </c>
      <c r="L1185">
        <v>3</v>
      </c>
      <c r="M1185">
        <v>4500</v>
      </c>
      <c r="N1185" t="s">
        <v>3704</v>
      </c>
      <c r="O1185" t="s">
        <v>3705</v>
      </c>
      <c r="P1185" s="2">
        <f t="shared" si="90"/>
        <v>45830</v>
      </c>
      <c r="Q1185" t="str">
        <f t="shared" si="91"/>
        <v>Miraya Bawa</v>
      </c>
      <c r="R1185" t="str">
        <f t="shared" si="92"/>
        <v>Delhi</v>
      </c>
      <c r="S1185" t="str">
        <f t="shared" si="93"/>
        <v>Delhi</v>
      </c>
      <c r="T1185">
        <f t="shared" si="94"/>
        <v>13500</v>
      </c>
    </row>
    <row r="1186" spans="1:20" x14ac:dyDescent="0.35">
      <c r="A1186" t="s">
        <v>1199</v>
      </c>
      <c r="B1186" t="s">
        <v>1258</v>
      </c>
      <c r="C1186" t="s">
        <v>1798</v>
      </c>
      <c r="D1186" t="s">
        <v>3655</v>
      </c>
      <c r="E1186" t="s">
        <v>3671</v>
      </c>
      <c r="F1186">
        <v>46</v>
      </c>
      <c r="G1186" t="s">
        <v>3679</v>
      </c>
      <c r="H1186" t="s">
        <v>3684</v>
      </c>
      <c r="I1186" t="s">
        <v>3691</v>
      </c>
      <c r="J1186" t="s">
        <v>3693</v>
      </c>
      <c r="K1186" t="s">
        <v>3696</v>
      </c>
      <c r="L1186">
        <v>2</v>
      </c>
      <c r="M1186">
        <v>58000</v>
      </c>
      <c r="N1186" t="s">
        <v>3704</v>
      </c>
      <c r="O1186" t="s">
        <v>3707</v>
      </c>
      <c r="P1186" s="2">
        <f t="shared" si="90"/>
        <v>45818</v>
      </c>
      <c r="Q1186" t="str">
        <f t="shared" si="91"/>
        <v>Seher Sathe</v>
      </c>
      <c r="R1186" t="str">
        <f t="shared" si="92"/>
        <v>Bengaluru</v>
      </c>
      <c r="S1186" t="str">
        <f t="shared" si="93"/>
        <v>Karnataka</v>
      </c>
      <c r="T1186">
        <f t="shared" si="94"/>
        <v>116000</v>
      </c>
    </row>
    <row r="1187" spans="1:20" x14ac:dyDescent="0.35">
      <c r="A1187" t="s">
        <v>1200</v>
      </c>
      <c r="B1187" t="s">
        <v>1782</v>
      </c>
      <c r="C1187" t="s">
        <v>2288</v>
      </c>
      <c r="D1187" t="s">
        <v>3656</v>
      </c>
      <c r="E1187" t="s">
        <v>3672</v>
      </c>
      <c r="F1187">
        <v>29</v>
      </c>
      <c r="G1187" t="s">
        <v>3675</v>
      </c>
      <c r="H1187" t="s">
        <v>3681</v>
      </c>
      <c r="I1187" t="s">
        <v>3685</v>
      </c>
      <c r="J1187" t="s">
        <v>3692</v>
      </c>
      <c r="K1187" t="s">
        <v>3695</v>
      </c>
      <c r="L1187">
        <v>4</v>
      </c>
      <c r="M1187">
        <v>12000</v>
      </c>
      <c r="N1187" t="s">
        <v>3704</v>
      </c>
      <c r="O1187" t="s">
        <v>3706</v>
      </c>
      <c r="P1187" s="2">
        <f t="shared" si="90"/>
        <v>45810</v>
      </c>
      <c r="Q1187" t="str">
        <f t="shared" si="91"/>
        <v>Tiya Goswami</v>
      </c>
      <c r="R1187" t="str">
        <f t="shared" si="92"/>
        <v>Kolkata</v>
      </c>
      <c r="S1187" t="str">
        <f t="shared" si="93"/>
        <v>West Bengal</v>
      </c>
      <c r="T1187">
        <f t="shared" si="94"/>
        <v>48000</v>
      </c>
    </row>
    <row r="1188" spans="1:20" x14ac:dyDescent="0.35">
      <c r="A1188" t="s">
        <v>1201</v>
      </c>
      <c r="B1188" t="s">
        <v>1783</v>
      </c>
      <c r="C1188" t="s">
        <v>2478</v>
      </c>
      <c r="D1188" t="s">
        <v>3657</v>
      </c>
      <c r="E1188" t="s">
        <v>3672</v>
      </c>
      <c r="F1188">
        <v>47</v>
      </c>
      <c r="G1188" t="s">
        <v>3676</v>
      </c>
      <c r="H1188" t="s">
        <v>3682</v>
      </c>
      <c r="I1188" t="s">
        <v>3689</v>
      </c>
      <c r="J1188" t="s">
        <v>3694</v>
      </c>
      <c r="K1188" t="s">
        <v>3699</v>
      </c>
      <c r="L1188">
        <v>5</v>
      </c>
      <c r="M1188">
        <v>1800</v>
      </c>
      <c r="N1188" t="s">
        <v>3702</v>
      </c>
      <c r="O1188" t="s">
        <v>3705</v>
      </c>
      <c r="P1188" s="2">
        <f t="shared" si="90"/>
        <v>45937</v>
      </c>
      <c r="Q1188" t="str">
        <f t="shared" si="91"/>
        <v>Krish Chaudhry</v>
      </c>
      <c r="R1188" t="str">
        <f t="shared" si="92"/>
        <v>Chennai</v>
      </c>
      <c r="S1188" t="str">
        <f t="shared" si="93"/>
        <v>Tamil Nadu</v>
      </c>
      <c r="T1188">
        <f t="shared" si="94"/>
        <v>9000</v>
      </c>
    </row>
    <row r="1189" spans="1:20" x14ac:dyDescent="0.35">
      <c r="A1189" t="s">
        <v>1202</v>
      </c>
      <c r="B1189" t="s">
        <v>1784</v>
      </c>
      <c r="C1189" t="s">
        <v>2479</v>
      </c>
      <c r="D1189" t="s">
        <v>3658</v>
      </c>
      <c r="E1189" t="s">
        <v>3671</v>
      </c>
      <c r="F1189">
        <v>48</v>
      </c>
      <c r="G1189" t="s">
        <v>3673</v>
      </c>
      <c r="H1189" t="s">
        <v>3673</v>
      </c>
      <c r="I1189" t="s">
        <v>3686</v>
      </c>
      <c r="J1189" t="s">
        <v>3693</v>
      </c>
      <c r="K1189" t="s">
        <v>3696</v>
      </c>
      <c r="L1189">
        <v>3</v>
      </c>
      <c r="M1189">
        <v>65000</v>
      </c>
      <c r="N1189" t="s">
        <v>3704</v>
      </c>
      <c r="O1189" t="s">
        <v>3706</v>
      </c>
      <c r="P1189" s="2">
        <f t="shared" si="90"/>
        <v>45844</v>
      </c>
      <c r="Q1189" t="str">
        <f t="shared" si="91"/>
        <v>Sara Dhingra</v>
      </c>
      <c r="R1189" t="str">
        <f t="shared" si="92"/>
        <v>Delhi</v>
      </c>
      <c r="S1189" t="str">
        <f t="shared" si="93"/>
        <v>Delhi</v>
      </c>
      <c r="T1189">
        <f t="shared" si="94"/>
        <v>195000</v>
      </c>
    </row>
    <row r="1190" spans="1:20" x14ac:dyDescent="0.35">
      <c r="A1190" t="s">
        <v>1203</v>
      </c>
      <c r="B1190" t="s">
        <v>1747</v>
      </c>
      <c r="C1190" t="s">
        <v>2480</v>
      </c>
      <c r="D1190" t="s">
        <v>3659</v>
      </c>
      <c r="E1190" t="s">
        <v>3672</v>
      </c>
      <c r="F1190">
        <v>30</v>
      </c>
      <c r="G1190" t="s">
        <v>3676</v>
      </c>
      <c r="H1190" t="s">
        <v>3682</v>
      </c>
      <c r="I1190" t="s">
        <v>3690</v>
      </c>
      <c r="J1190" t="s">
        <v>3693</v>
      </c>
      <c r="K1190" t="s">
        <v>3700</v>
      </c>
      <c r="L1190">
        <v>3</v>
      </c>
      <c r="M1190">
        <v>72000</v>
      </c>
      <c r="N1190" t="s">
        <v>3703</v>
      </c>
      <c r="O1190" t="s">
        <v>3706</v>
      </c>
      <c r="P1190" s="2">
        <f t="shared" si="90"/>
        <v>45715</v>
      </c>
      <c r="Q1190" t="str">
        <f t="shared" si="91"/>
        <v>Lagan Lata</v>
      </c>
      <c r="R1190" t="str">
        <f t="shared" si="92"/>
        <v>Chennai</v>
      </c>
      <c r="S1190" t="str">
        <f t="shared" si="93"/>
        <v>Tamil Nadu</v>
      </c>
      <c r="T1190">
        <f t="shared" si="94"/>
        <v>216000</v>
      </c>
    </row>
    <row r="1191" spans="1:20" x14ac:dyDescent="0.35">
      <c r="A1191" t="s">
        <v>1204</v>
      </c>
      <c r="B1191" t="s">
        <v>1785</v>
      </c>
      <c r="C1191" t="s">
        <v>1895</v>
      </c>
      <c r="D1191" t="s">
        <v>3660</v>
      </c>
      <c r="E1191" t="s">
        <v>3671</v>
      </c>
      <c r="F1191">
        <v>57</v>
      </c>
      <c r="G1191" t="s">
        <v>3678</v>
      </c>
      <c r="H1191" t="s">
        <v>3683</v>
      </c>
      <c r="I1191" t="s">
        <v>3686</v>
      </c>
      <c r="J1191" t="s">
        <v>3693</v>
      </c>
      <c r="K1191" t="s">
        <v>3696</v>
      </c>
      <c r="L1191">
        <v>1</v>
      </c>
      <c r="M1191">
        <v>65000</v>
      </c>
      <c r="N1191" t="s">
        <v>3703</v>
      </c>
      <c r="O1191" t="s">
        <v>3707</v>
      </c>
      <c r="P1191" s="2">
        <f t="shared" si="90"/>
        <v>45762</v>
      </c>
      <c r="Q1191" t="str">
        <f t="shared" si="91"/>
        <v>Abram Shroff</v>
      </c>
      <c r="R1191" t="str">
        <f t="shared" si="92"/>
        <v>Hyderabad</v>
      </c>
      <c r="S1191" t="str">
        <f t="shared" si="93"/>
        <v>Telangana</v>
      </c>
      <c r="T1191">
        <f t="shared" si="94"/>
        <v>65000</v>
      </c>
    </row>
    <row r="1192" spans="1:20" x14ac:dyDescent="0.35">
      <c r="A1192" t="s">
        <v>1205</v>
      </c>
      <c r="B1192" t="s">
        <v>1786</v>
      </c>
      <c r="C1192" t="s">
        <v>2026</v>
      </c>
      <c r="D1192" t="s">
        <v>3661</v>
      </c>
      <c r="E1192" t="s">
        <v>3672</v>
      </c>
      <c r="F1192">
        <v>46</v>
      </c>
      <c r="G1192" t="s">
        <v>3679</v>
      </c>
      <c r="H1192" t="s">
        <v>3684</v>
      </c>
      <c r="I1192" t="s">
        <v>3687</v>
      </c>
      <c r="J1192" t="s">
        <v>3693</v>
      </c>
      <c r="K1192" t="s">
        <v>3697</v>
      </c>
      <c r="L1192">
        <v>3</v>
      </c>
      <c r="M1192">
        <v>5000</v>
      </c>
      <c r="N1192" t="s">
        <v>3704</v>
      </c>
      <c r="O1192" t="s">
        <v>3707</v>
      </c>
      <c r="P1192" s="2">
        <f t="shared" si="90"/>
        <v>45672</v>
      </c>
      <c r="Q1192" t="str">
        <f t="shared" si="91"/>
        <v>Saira Kaul</v>
      </c>
      <c r="R1192" t="str">
        <f t="shared" si="92"/>
        <v>Bengaluru</v>
      </c>
      <c r="S1192" t="str">
        <f t="shared" si="93"/>
        <v>Karnataka</v>
      </c>
      <c r="T1192">
        <f t="shared" si="94"/>
        <v>15000</v>
      </c>
    </row>
    <row r="1193" spans="1:20" x14ac:dyDescent="0.35">
      <c r="A1193" t="s">
        <v>1206</v>
      </c>
      <c r="B1193" t="s">
        <v>1219</v>
      </c>
      <c r="C1193" t="s">
        <v>2316</v>
      </c>
      <c r="D1193" t="s">
        <v>3662</v>
      </c>
      <c r="E1193" t="s">
        <v>3672</v>
      </c>
      <c r="F1193">
        <v>58</v>
      </c>
      <c r="G1193" t="s">
        <v>3678</v>
      </c>
      <c r="H1193" t="s">
        <v>3683</v>
      </c>
      <c r="I1193" t="s">
        <v>3685</v>
      </c>
      <c r="J1193" t="s">
        <v>3692</v>
      </c>
      <c r="K1193" t="s">
        <v>3695</v>
      </c>
      <c r="L1193">
        <v>1</v>
      </c>
      <c r="M1193">
        <v>12000</v>
      </c>
      <c r="N1193" t="s">
        <v>3701</v>
      </c>
      <c r="O1193" t="s">
        <v>3707</v>
      </c>
      <c r="P1193" s="2">
        <f t="shared" si="90"/>
        <v>45778</v>
      </c>
      <c r="Q1193" t="str">
        <f t="shared" si="91"/>
        <v>Ahana Shukla</v>
      </c>
      <c r="R1193" t="str">
        <f t="shared" si="92"/>
        <v>Hyderabad</v>
      </c>
      <c r="S1193" t="str">
        <f t="shared" si="93"/>
        <v>Telangana</v>
      </c>
      <c r="T1193">
        <f t="shared" si="94"/>
        <v>12000</v>
      </c>
    </row>
    <row r="1194" spans="1:20" x14ac:dyDescent="0.35">
      <c r="A1194" t="s">
        <v>1207</v>
      </c>
      <c r="B1194" t="s">
        <v>1758</v>
      </c>
      <c r="C1194" t="s">
        <v>2258</v>
      </c>
      <c r="D1194" t="s">
        <v>3663</v>
      </c>
      <c r="E1194" t="s">
        <v>3671</v>
      </c>
      <c r="F1194">
        <v>33</v>
      </c>
      <c r="G1194" t="s">
        <v>3675</v>
      </c>
      <c r="H1194" t="s">
        <v>3681</v>
      </c>
      <c r="I1194" t="s">
        <v>3688</v>
      </c>
      <c r="J1194" t="s">
        <v>3694</v>
      </c>
      <c r="K1194" t="s">
        <v>3698</v>
      </c>
      <c r="L1194">
        <v>3</v>
      </c>
      <c r="M1194">
        <v>4500</v>
      </c>
      <c r="N1194" t="s">
        <v>3701</v>
      </c>
      <c r="O1194" t="s">
        <v>3705</v>
      </c>
      <c r="P1194" s="2">
        <f t="shared" si="90"/>
        <v>45680</v>
      </c>
      <c r="Q1194" t="str">
        <f t="shared" si="91"/>
        <v>Mamooty Kata</v>
      </c>
      <c r="R1194" t="str">
        <f t="shared" si="92"/>
        <v>Kolkata</v>
      </c>
      <c r="S1194" t="str">
        <f t="shared" si="93"/>
        <v>West Bengal</v>
      </c>
      <c r="T1194">
        <f t="shared" si="94"/>
        <v>13500</v>
      </c>
    </row>
    <row r="1195" spans="1:20" x14ac:dyDescent="0.35">
      <c r="A1195" t="s">
        <v>1208</v>
      </c>
      <c r="B1195" t="s">
        <v>1564</v>
      </c>
      <c r="C1195" t="s">
        <v>2269</v>
      </c>
      <c r="D1195" t="s">
        <v>3664</v>
      </c>
      <c r="E1195" t="s">
        <v>3671</v>
      </c>
      <c r="F1195">
        <v>32</v>
      </c>
      <c r="G1195" t="s">
        <v>3678</v>
      </c>
      <c r="H1195" t="s">
        <v>3683</v>
      </c>
      <c r="I1195" t="s">
        <v>3691</v>
      </c>
      <c r="J1195" t="s">
        <v>3693</v>
      </c>
      <c r="K1195" t="s">
        <v>3696</v>
      </c>
      <c r="L1195">
        <v>1</v>
      </c>
      <c r="M1195">
        <v>58000</v>
      </c>
      <c r="N1195" t="s">
        <v>3702</v>
      </c>
      <c r="O1195" t="s">
        <v>3705</v>
      </c>
      <c r="P1195" s="2">
        <f t="shared" si="90"/>
        <v>45670</v>
      </c>
      <c r="Q1195" t="str">
        <f t="shared" si="91"/>
        <v>Shaan Saini</v>
      </c>
      <c r="R1195" t="str">
        <f t="shared" si="92"/>
        <v>Hyderabad</v>
      </c>
      <c r="S1195" t="str">
        <f t="shared" si="93"/>
        <v>Telangana</v>
      </c>
      <c r="T1195">
        <f t="shared" si="94"/>
        <v>58000</v>
      </c>
    </row>
    <row r="1196" spans="1:20" x14ac:dyDescent="0.35">
      <c r="A1196" t="s">
        <v>1209</v>
      </c>
      <c r="B1196" t="s">
        <v>1783</v>
      </c>
      <c r="C1196" t="s">
        <v>2374</v>
      </c>
      <c r="D1196" t="s">
        <v>3665</v>
      </c>
      <c r="E1196" t="s">
        <v>3672</v>
      </c>
      <c r="F1196">
        <v>59</v>
      </c>
      <c r="G1196" t="s">
        <v>3676</v>
      </c>
      <c r="H1196" t="s">
        <v>3682</v>
      </c>
      <c r="I1196" t="s">
        <v>3686</v>
      </c>
      <c r="J1196" t="s">
        <v>3693</v>
      </c>
      <c r="K1196" t="s">
        <v>3696</v>
      </c>
      <c r="L1196">
        <v>2</v>
      </c>
      <c r="M1196">
        <v>65000</v>
      </c>
      <c r="N1196" t="s">
        <v>3703</v>
      </c>
      <c r="O1196" t="s">
        <v>3707</v>
      </c>
      <c r="P1196" s="2">
        <f t="shared" si="90"/>
        <v>45937</v>
      </c>
      <c r="Q1196" t="str">
        <f t="shared" si="91"/>
        <v>Mehul Chana</v>
      </c>
      <c r="R1196" t="str">
        <f t="shared" si="92"/>
        <v>Chennai</v>
      </c>
      <c r="S1196" t="str">
        <f t="shared" si="93"/>
        <v>Tamil Nadu</v>
      </c>
      <c r="T1196">
        <f t="shared" si="94"/>
        <v>130000</v>
      </c>
    </row>
    <row r="1197" spans="1:20" x14ac:dyDescent="0.35">
      <c r="A1197" t="s">
        <v>1210</v>
      </c>
      <c r="B1197" t="s">
        <v>1491</v>
      </c>
      <c r="C1197" t="s">
        <v>1887</v>
      </c>
      <c r="D1197" t="s">
        <v>3666</v>
      </c>
      <c r="E1197" t="s">
        <v>3672</v>
      </c>
      <c r="F1197">
        <v>49</v>
      </c>
      <c r="G1197" t="s">
        <v>3673</v>
      </c>
      <c r="H1197" t="s">
        <v>3673</v>
      </c>
      <c r="I1197" t="s">
        <v>3686</v>
      </c>
      <c r="J1197" t="s">
        <v>3693</v>
      </c>
      <c r="K1197" t="s">
        <v>3696</v>
      </c>
      <c r="L1197">
        <v>3</v>
      </c>
      <c r="M1197">
        <v>65000</v>
      </c>
      <c r="N1197" t="s">
        <v>3703</v>
      </c>
      <c r="O1197" t="s">
        <v>3705</v>
      </c>
      <c r="P1197" s="2">
        <f t="shared" si="90"/>
        <v>45794</v>
      </c>
      <c r="Q1197" t="str">
        <f t="shared" si="91"/>
        <v>Myra Wagle</v>
      </c>
      <c r="R1197" t="str">
        <f t="shared" si="92"/>
        <v>Delhi</v>
      </c>
      <c r="S1197" t="str">
        <f t="shared" si="93"/>
        <v>Delhi</v>
      </c>
      <c r="T1197">
        <f t="shared" si="94"/>
        <v>195000</v>
      </c>
    </row>
    <row r="1198" spans="1:20" x14ac:dyDescent="0.35">
      <c r="A1198" t="s">
        <v>1211</v>
      </c>
      <c r="B1198" t="s">
        <v>1787</v>
      </c>
      <c r="C1198" t="s">
        <v>2481</v>
      </c>
      <c r="D1198" t="s">
        <v>3667</v>
      </c>
      <c r="E1198" t="s">
        <v>3672</v>
      </c>
      <c r="F1198">
        <v>59</v>
      </c>
      <c r="G1198" t="s">
        <v>3676</v>
      </c>
      <c r="H1198" t="s">
        <v>3682</v>
      </c>
      <c r="I1198" t="s">
        <v>3689</v>
      </c>
      <c r="J1198" t="s">
        <v>3694</v>
      </c>
      <c r="K1198" t="s">
        <v>3699</v>
      </c>
      <c r="L1198">
        <v>2</v>
      </c>
      <c r="M1198">
        <v>1800</v>
      </c>
      <c r="N1198" t="s">
        <v>3704</v>
      </c>
      <c r="O1198" t="s">
        <v>3706</v>
      </c>
      <c r="P1198" s="2">
        <f t="shared" si="90"/>
        <v>45982</v>
      </c>
      <c r="Q1198" t="str">
        <f t="shared" si="91"/>
        <v>Divit Tiwari</v>
      </c>
      <c r="R1198" t="str">
        <f t="shared" si="92"/>
        <v>Chennai</v>
      </c>
      <c r="S1198" t="str">
        <f t="shared" si="93"/>
        <v>Tamil Nadu</v>
      </c>
      <c r="T1198">
        <f t="shared" si="94"/>
        <v>3600</v>
      </c>
    </row>
    <row r="1199" spans="1:20" x14ac:dyDescent="0.35">
      <c r="A1199" t="s">
        <v>1212</v>
      </c>
      <c r="B1199" t="s">
        <v>1729</v>
      </c>
      <c r="C1199" t="s">
        <v>1957</v>
      </c>
      <c r="D1199" t="s">
        <v>3668</v>
      </c>
      <c r="E1199" t="s">
        <v>3671</v>
      </c>
      <c r="F1199">
        <v>32</v>
      </c>
      <c r="G1199" t="s">
        <v>3675</v>
      </c>
      <c r="H1199" t="s">
        <v>3681</v>
      </c>
      <c r="I1199" t="s">
        <v>3690</v>
      </c>
      <c r="J1199" t="s">
        <v>3693</v>
      </c>
      <c r="K1199" t="s">
        <v>3700</v>
      </c>
      <c r="L1199">
        <v>4</v>
      </c>
      <c r="M1199">
        <v>72000</v>
      </c>
      <c r="N1199" t="s">
        <v>3702</v>
      </c>
      <c r="O1199" t="s">
        <v>3707</v>
      </c>
      <c r="P1199" s="2">
        <f t="shared" si="90"/>
        <v>45678</v>
      </c>
      <c r="Q1199" t="str">
        <f t="shared" si="91"/>
        <v>Ehsaan Ganguly</v>
      </c>
      <c r="R1199" t="str">
        <f t="shared" si="92"/>
        <v>Kolkata</v>
      </c>
      <c r="S1199" t="str">
        <f t="shared" si="93"/>
        <v>West Bengal</v>
      </c>
      <c r="T1199">
        <f t="shared" si="94"/>
        <v>288000</v>
      </c>
    </row>
    <row r="1200" spans="1:20" x14ac:dyDescent="0.35">
      <c r="A1200" t="s">
        <v>1213</v>
      </c>
      <c r="B1200" t="s">
        <v>1322</v>
      </c>
      <c r="C1200" t="s">
        <v>2482</v>
      </c>
      <c r="D1200" t="s">
        <v>3669</v>
      </c>
      <c r="E1200" t="s">
        <v>3671</v>
      </c>
      <c r="F1200">
        <v>51</v>
      </c>
      <c r="G1200" t="s">
        <v>3678</v>
      </c>
      <c r="H1200" t="s">
        <v>3683</v>
      </c>
      <c r="I1200" t="s">
        <v>3685</v>
      </c>
      <c r="J1200" t="s">
        <v>3692</v>
      </c>
      <c r="K1200" t="s">
        <v>3695</v>
      </c>
      <c r="L1200">
        <v>1</v>
      </c>
      <c r="M1200">
        <v>12000</v>
      </c>
      <c r="N1200" t="s">
        <v>3703</v>
      </c>
      <c r="O1200" t="s">
        <v>3706</v>
      </c>
      <c r="P1200" s="2">
        <f t="shared" si="90"/>
        <v>45819</v>
      </c>
      <c r="Q1200" t="str">
        <f t="shared" si="91"/>
        <v>Saksham Dave</v>
      </c>
      <c r="R1200" t="str">
        <f t="shared" si="92"/>
        <v>Hyderabad</v>
      </c>
      <c r="S1200" t="str">
        <f t="shared" si="93"/>
        <v>Telangana</v>
      </c>
      <c r="T1200">
        <f t="shared" si="94"/>
        <v>12000</v>
      </c>
    </row>
    <row r="1201" spans="1:20" x14ac:dyDescent="0.35">
      <c r="A1201" t="s">
        <v>1214</v>
      </c>
      <c r="B1201" t="s">
        <v>1368</v>
      </c>
      <c r="C1201" t="s">
        <v>2151</v>
      </c>
      <c r="D1201" t="s">
        <v>3670</v>
      </c>
      <c r="E1201" t="s">
        <v>3671</v>
      </c>
      <c r="F1201">
        <v>55</v>
      </c>
      <c r="G1201" t="s">
        <v>3673</v>
      </c>
      <c r="H1201" t="s">
        <v>3673</v>
      </c>
      <c r="I1201" t="s">
        <v>3688</v>
      </c>
      <c r="J1201" t="s">
        <v>3694</v>
      </c>
      <c r="K1201" t="s">
        <v>3698</v>
      </c>
      <c r="L1201">
        <v>5</v>
      </c>
      <c r="M1201">
        <v>4500</v>
      </c>
      <c r="N1201" t="s">
        <v>3703</v>
      </c>
      <c r="O1201" t="s">
        <v>3707</v>
      </c>
      <c r="P1201" s="2">
        <f t="shared" si="90"/>
        <v>45803</v>
      </c>
      <c r="Q1201" t="str">
        <f t="shared" si="91"/>
        <v>Amani Krishnamurthy</v>
      </c>
      <c r="R1201" t="str">
        <f t="shared" si="92"/>
        <v>Delhi</v>
      </c>
      <c r="S1201" t="str">
        <f t="shared" si="93"/>
        <v>Delhi</v>
      </c>
      <c r="T1201">
        <f t="shared" si="94"/>
        <v>22500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B75A-63A8-43F8-9438-1FF6ECF19D6C}">
  <dimension ref="A1:E696"/>
  <sheetViews>
    <sheetView workbookViewId="0">
      <selection activeCell="B1" sqref="B1:B1048576"/>
    </sheetView>
  </sheetViews>
  <sheetFormatPr defaultRowHeight="14.5" x14ac:dyDescent="0.35"/>
  <cols>
    <col min="1" max="1" width="11.81640625" bestFit="1" customWidth="1"/>
    <col min="2" max="2" width="10.81640625" bestFit="1" customWidth="1"/>
    <col min="3" max="3" width="13.90625" bestFit="1" customWidth="1"/>
    <col min="5" max="5" width="11.6328125" bestFit="1" customWidth="1"/>
  </cols>
  <sheetData>
    <row r="1" spans="1:5" x14ac:dyDescent="0.35">
      <c r="A1" s="5" t="s">
        <v>3713</v>
      </c>
      <c r="B1" s="1" t="s">
        <v>2</v>
      </c>
      <c r="C1" s="5" t="s">
        <v>3</v>
      </c>
      <c r="D1" s="5" t="s">
        <v>6</v>
      </c>
      <c r="E1" s="5" t="s">
        <v>7</v>
      </c>
    </row>
    <row r="2" spans="1:5" x14ac:dyDescent="0.35">
      <c r="A2">
        <f>ROW()-1</f>
        <v>1</v>
      </c>
      <c r="B2" t="s">
        <v>1788</v>
      </c>
      <c r="C2" t="str">
        <f>_xlfn.XLOOKUP(B2,clean_sales!C:C,clean_sales!Q:Q)</f>
        <v>Samaira Subramanian</v>
      </c>
      <c r="D2" t="str">
        <f>_xlfn.XLOOKUP(B2,clean_sales!C:C,clean_sales!R:R)</f>
        <v>Delhi</v>
      </c>
      <c r="E2" t="str">
        <f>_xlfn.XLOOKUP(B2,clean_sales!C:C,clean_sales!S:S)</f>
        <v>Delhi</v>
      </c>
    </row>
    <row r="3" spans="1:5" x14ac:dyDescent="0.35">
      <c r="A3">
        <f t="shared" ref="A3:A66" si="0">ROW()-1</f>
        <v>2</v>
      </c>
      <c r="B3" t="s">
        <v>1789</v>
      </c>
      <c r="C3" t="str">
        <f>_xlfn.XLOOKUP(B3,clean_sales!C:C,clean_sales!Q:Q)</f>
        <v>Siya Andra</v>
      </c>
      <c r="D3" t="str">
        <f>_xlfn.XLOOKUP(B3,clean_sales!C:C,clean_sales!R:R)</f>
        <v>Delhi</v>
      </c>
      <c r="E3" t="str">
        <f>_xlfn.XLOOKUP(B3,clean_sales!C:C,clean_sales!S:S)</f>
        <v>Delhi</v>
      </c>
    </row>
    <row r="4" spans="1:5" x14ac:dyDescent="0.35">
      <c r="A4">
        <f t="shared" si="0"/>
        <v>3</v>
      </c>
      <c r="B4" t="s">
        <v>1790</v>
      </c>
      <c r="C4" t="str">
        <f>_xlfn.XLOOKUP(B4,clean_sales!C:C,clean_sales!Q:Q)</f>
        <v>Ishaan Lala</v>
      </c>
      <c r="D4" t="str">
        <f>_xlfn.XLOOKUP(B4,clean_sales!C:C,clean_sales!R:R)</f>
        <v>Pune</v>
      </c>
      <c r="E4" t="str">
        <f>_xlfn.XLOOKUP(B4,clean_sales!C:C,clean_sales!S:S)</f>
        <v>Maharashtra</v>
      </c>
    </row>
    <row r="5" spans="1:5" x14ac:dyDescent="0.35">
      <c r="A5">
        <f t="shared" si="0"/>
        <v>4</v>
      </c>
      <c r="B5" t="s">
        <v>1791</v>
      </c>
      <c r="C5" t="str">
        <f>_xlfn.XLOOKUP(B5,clean_sales!C:C,clean_sales!Q:Q)</f>
        <v>Seher Raman</v>
      </c>
      <c r="D5" t="str">
        <f>_xlfn.XLOOKUP(B5,clean_sales!C:C,clean_sales!R:R)</f>
        <v>Kolkata</v>
      </c>
      <c r="E5" t="str">
        <f>_xlfn.XLOOKUP(B5,clean_sales!C:C,clean_sales!S:S)</f>
        <v>West Bengal</v>
      </c>
    </row>
    <row r="6" spans="1:5" x14ac:dyDescent="0.35">
      <c r="A6">
        <f t="shared" si="0"/>
        <v>5</v>
      </c>
      <c r="B6" t="s">
        <v>1792</v>
      </c>
      <c r="C6" t="str">
        <f>_xlfn.XLOOKUP(B6,clean_sales!C:C,clean_sales!Q:Q)</f>
        <v>Trisha Buch</v>
      </c>
      <c r="D6" t="str">
        <f>_xlfn.XLOOKUP(B6,clean_sales!C:C,clean_sales!R:R)</f>
        <v>Chennai</v>
      </c>
      <c r="E6" t="str">
        <f>_xlfn.XLOOKUP(B6,clean_sales!C:C,clean_sales!S:S)</f>
        <v>Tamil Nadu</v>
      </c>
    </row>
    <row r="7" spans="1:5" x14ac:dyDescent="0.35">
      <c r="A7">
        <f t="shared" si="0"/>
        <v>6</v>
      </c>
      <c r="B7" t="s">
        <v>1793</v>
      </c>
      <c r="C7" t="str">
        <f>_xlfn.XLOOKUP(B7,clean_sales!C:C,clean_sales!Q:Q)</f>
        <v>Shalv Boase</v>
      </c>
      <c r="D7" t="str">
        <f>_xlfn.XLOOKUP(B7,clean_sales!C:C,clean_sales!R:R)</f>
        <v>Mumbai</v>
      </c>
      <c r="E7" t="str">
        <f>_xlfn.XLOOKUP(B7,clean_sales!C:C,clean_sales!S:S)</f>
        <v>Maharashtra</v>
      </c>
    </row>
    <row r="8" spans="1:5" x14ac:dyDescent="0.35">
      <c r="A8">
        <f t="shared" si="0"/>
        <v>7</v>
      </c>
      <c r="B8" t="s">
        <v>1794</v>
      </c>
      <c r="C8" t="str">
        <f>_xlfn.XLOOKUP(B8,clean_sales!C:C,clean_sales!Q:Q)</f>
        <v>Samar Karnik</v>
      </c>
      <c r="D8" t="str">
        <f>_xlfn.XLOOKUP(B8,clean_sales!C:C,clean_sales!R:R)</f>
        <v>Mumbai</v>
      </c>
      <c r="E8" t="str">
        <f>_xlfn.XLOOKUP(B8,clean_sales!C:C,clean_sales!S:S)</f>
        <v>Maharashtra</v>
      </c>
    </row>
    <row r="9" spans="1:5" x14ac:dyDescent="0.35">
      <c r="A9">
        <f t="shared" si="0"/>
        <v>8</v>
      </c>
      <c r="B9" t="s">
        <v>1795</v>
      </c>
      <c r="C9" t="str">
        <f>_xlfn.XLOOKUP(B9,clean_sales!C:C,clean_sales!Q:Q)</f>
        <v>Hansh Chaudhuri</v>
      </c>
      <c r="D9" t="str">
        <f>_xlfn.XLOOKUP(B9,clean_sales!C:C,clean_sales!R:R)</f>
        <v>Delhi</v>
      </c>
      <c r="E9" t="str">
        <f>_xlfn.XLOOKUP(B9,clean_sales!C:C,clean_sales!S:S)</f>
        <v>Delhi</v>
      </c>
    </row>
    <row r="10" spans="1:5" x14ac:dyDescent="0.35">
      <c r="A10">
        <f t="shared" si="0"/>
        <v>9</v>
      </c>
      <c r="B10" t="s">
        <v>1796</v>
      </c>
      <c r="C10" t="str">
        <f>_xlfn.XLOOKUP(B10,clean_sales!C:C,clean_sales!Q:Q)</f>
        <v>Pihu Bawa</v>
      </c>
      <c r="D10" t="str">
        <f>_xlfn.XLOOKUP(B10,clean_sales!C:C,clean_sales!R:R)</f>
        <v>Hyderabad</v>
      </c>
      <c r="E10" t="str">
        <f>_xlfn.XLOOKUP(B10,clean_sales!C:C,clean_sales!S:S)</f>
        <v>Telangana</v>
      </c>
    </row>
    <row r="11" spans="1:5" x14ac:dyDescent="0.35">
      <c r="A11">
        <f t="shared" si="0"/>
        <v>10</v>
      </c>
      <c r="B11" t="s">
        <v>1797</v>
      </c>
      <c r="C11" t="str">
        <f>_xlfn.XLOOKUP(B11,clean_sales!C:C,clean_sales!Q:Q)</f>
        <v>Chirag Banik</v>
      </c>
      <c r="D11" t="str">
        <f>_xlfn.XLOOKUP(B11,clean_sales!C:C,clean_sales!R:R)</f>
        <v>Kolkata</v>
      </c>
      <c r="E11" t="str">
        <f>_xlfn.XLOOKUP(B11,clean_sales!C:C,clean_sales!S:S)</f>
        <v>West Bengal</v>
      </c>
    </row>
    <row r="12" spans="1:5" x14ac:dyDescent="0.35">
      <c r="A12">
        <f t="shared" si="0"/>
        <v>11</v>
      </c>
      <c r="B12" t="s">
        <v>1798</v>
      </c>
      <c r="C12" t="str">
        <f>_xlfn.XLOOKUP(B12,clean_sales!C:C,clean_sales!Q:Q)</f>
        <v>Advik Khalsa</v>
      </c>
      <c r="D12" t="str">
        <f>_xlfn.XLOOKUP(B12,clean_sales!C:C,clean_sales!R:R)</f>
        <v>Bengaluru</v>
      </c>
      <c r="E12" t="str">
        <f>_xlfn.XLOOKUP(B12,clean_sales!C:C,clean_sales!S:S)</f>
        <v>Karnataka</v>
      </c>
    </row>
    <row r="13" spans="1:5" x14ac:dyDescent="0.35">
      <c r="A13">
        <f t="shared" si="0"/>
        <v>12</v>
      </c>
      <c r="B13" t="s">
        <v>1799</v>
      </c>
      <c r="C13" t="str">
        <f>_xlfn.XLOOKUP(B13,clean_sales!C:C,clean_sales!Q:Q)</f>
        <v>Eshani Divan</v>
      </c>
      <c r="D13" t="str">
        <f>_xlfn.XLOOKUP(B13,clean_sales!C:C,clean_sales!R:R)</f>
        <v>Kolkata</v>
      </c>
      <c r="E13" t="str">
        <f>_xlfn.XLOOKUP(B13,clean_sales!C:C,clean_sales!S:S)</f>
        <v>West Bengal</v>
      </c>
    </row>
    <row r="14" spans="1:5" x14ac:dyDescent="0.35">
      <c r="A14">
        <f t="shared" si="0"/>
        <v>13</v>
      </c>
      <c r="B14" t="s">
        <v>1800</v>
      </c>
      <c r="C14" t="str">
        <f>_xlfn.XLOOKUP(B14,clean_sales!C:C,clean_sales!Q:Q)</f>
        <v>Hrishita Yadav</v>
      </c>
      <c r="D14" t="str">
        <f>_xlfn.XLOOKUP(B14,clean_sales!C:C,clean_sales!R:R)</f>
        <v>Pune</v>
      </c>
      <c r="E14" t="str">
        <f>_xlfn.XLOOKUP(B14,clean_sales!C:C,clean_sales!S:S)</f>
        <v>Maharashtra</v>
      </c>
    </row>
    <row r="15" spans="1:5" x14ac:dyDescent="0.35">
      <c r="A15">
        <f t="shared" si="0"/>
        <v>14</v>
      </c>
      <c r="B15" t="s">
        <v>1801</v>
      </c>
      <c r="C15" t="str">
        <f>_xlfn.XLOOKUP(B15,clean_sales!C:C,clean_sales!Q:Q)</f>
        <v>Umang Rajan</v>
      </c>
      <c r="D15" t="str">
        <f>_xlfn.XLOOKUP(B15,clean_sales!C:C,clean_sales!R:R)</f>
        <v>Hyderabad</v>
      </c>
      <c r="E15" t="str">
        <f>_xlfn.XLOOKUP(B15,clean_sales!C:C,clean_sales!S:S)</f>
        <v>Telangana</v>
      </c>
    </row>
    <row r="16" spans="1:5" x14ac:dyDescent="0.35">
      <c r="A16">
        <f t="shared" si="0"/>
        <v>15</v>
      </c>
      <c r="B16" t="s">
        <v>1802</v>
      </c>
      <c r="C16" t="str">
        <f>_xlfn.XLOOKUP(B16,clean_sales!C:C,clean_sales!Q:Q)</f>
        <v>Navya Kapadia</v>
      </c>
      <c r="D16" t="str">
        <f>_xlfn.XLOOKUP(B16,clean_sales!C:C,clean_sales!R:R)</f>
        <v>Pune</v>
      </c>
      <c r="E16" t="str">
        <f>_xlfn.XLOOKUP(B16,clean_sales!C:C,clean_sales!S:S)</f>
        <v>Maharashtra</v>
      </c>
    </row>
    <row r="17" spans="1:5" x14ac:dyDescent="0.35">
      <c r="A17">
        <f t="shared" si="0"/>
        <v>16</v>
      </c>
      <c r="B17" t="s">
        <v>1803</v>
      </c>
      <c r="C17" t="str">
        <f>_xlfn.XLOOKUP(B17,clean_sales!C:C,clean_sales!Q:Q)</f>
        <v>Kaira Bumb</v>
      </c>
      <c r="D17" t="str">
        <f>_xlfn.XLOOKUP(B17,clean_sales!C:C,clean_sales!R:R)</f>
        <v>Mumbai</v>
      </c>
      <c r="E17" t="str">
        <f>_xlfn.XLOOKUP(B17,clean_sales!C:C,clean_sales!S:S)</f>
        <v>Maharashtra</v>
      </c>
    </row>
    <row r="18" spans="1:5" x14ac:dyDescent="0.35">
      <c r="A18">
        <f t="shared" si="0"/>
        <v>17</v>
      </c>
      <c r="B18" t="s">
        <v>1804</v>
      </c>
      <c r="C18" t="str">
        <f>_xlfn.XLOOKUP(B18,clean_sales!C:C,clean_sales!Q:Q)</f>
        <v>Suhana Arora</v>
      </c>
      <c r="D18" t="str">
        <f>_xlfn.XLOOKUP(B18,clean_sales!C:C,clean_sales!R:R)</f>
        <v>Delhi</v>
      </c>
      <c r="E18" t="str">
        <f>_xlfn.XLOOKUP(B18,clean_sales!C:C,clean_sales!S:S)</f>
        <v>Delhi</v>
      </c>
    </row>
    <row r="19" spans="1:5" x14ac:dyDescent="0.35">
      <c r="A19">
        <f t="shared" si="0"/>
        <v>18</v>
      </c>
      <c r="B19" t="s">
        <v>1805</v>
      </c>
      <c r="C19" t="str">
        <f>_xlfn.XLOOKUP(B19,clean_sales!C:C,clean_sales!Q:Q)</f>
        <v>Advika Khanna</v>
      </c>
      <c r="D19" t="str">
        <f>_xlfn.XLOOKUP(B19,clean_sales!C:C,clean_sales!R:R)</f>
        <v>Kolkata</v>
      </c>
      <c r="E19" t="str">
        <f>_xlfn.XLOOKUP(B19,clean_sales!C:C,clean_sales!S:S)</f>
        <v>West Bengal</v>
      </c>
    </row>
    <row r="20" spans="1:5" x14ac:dyDescent="0.35">
      <c r="A20">
        <f t="shared" si="0"/>
        <v>19</v>
      </c>
      <c r="B20" t="s">
        <v>1806</v>
      </c>
      <c r="C20" t="str">
        <f>_xlfn.XLOOKUP(B20,clean_sales!C:C,clean_sales!Q:Q)</f>
        <v>Badal Bhatti</v>
      </c>
      <c r="D20" t="str">
        <f>_xlfn.XLOOKUP(B20,clean_sales!C:C,clean_sales!R:R)</f>
        <v>Delhi</v>
      </c>
      <c r="E20" t="str">
        <f>_xlfn.XLOOKUP(B20,clean_sales!C:C,clean_sales!S:S)</f>
        <v>Delhi</v>
      </c>
    </row>
    <row r="21" spans="1:5" x14ac:dyDescent="0.35">
      <c r="A21">
        <f t="shared" si="0"/>
        <v>20</v>
      </c>
      <c r="B21" t="s">
        <v>1807</v>
      </c>
      <c r="C21" t="str">
        <f>_xlfn.XLOOKUP(B21,clean_sales!C:C,clean_sales!Q:Q)</f>
        <v>Nishith Gill</v>
      </c>
      <c r="D21" t="str">
        <f>_xlfn.XLOOKUP(B21,clean_sales!C:C,clean_sales!R:R)</f>
        <v>Mumbai</v>
      </c>
      <c r="E21" t="str">
        <f>_xlfn.XLOOKUP(B21,clean_sales!C:C,clean_sales!S:S)</f>
        <v>Maharashtra</v>
      </c>
    </row>
    <row r="22" spans="1:5" x14ac:dyDescent="0.35">
      <c r="A22">
        <f t="shared" si="0"/>
        <v>21</v>
      </c>
      <c r="B22" t="s">
        <v>1808</v>
      </c>
      <c r="C22" t="str">
        <f>_xlfn.XLOOKUP(B22,clean_sales!C:C,clean_sales!Q:Q)</f>
        <v>Miraya Jain</v>
      </c>
      <c r="D22" t="str">
        <f>_xlfn.XLOOKUP(B22,clean_sales!C:C,clean_sales!R:R)</f>
        <v>Hyderabad</v>
      </c>
      <c r="E22" t="str">
        <f>_xlfn.XLOOKUP(B22,clean_sales!C:C,clean_sales!S:S)</f>
        <v>Telangana</v>
      </c>
    </row>
    <row r="23" spans="1:5" x14ac:dyDescent="0.35">
      <c r="A23">
        <f t="shared" si="0"/>
        <v>22</v>
      </c>
      <c r="B23" t="s">
        <v>1809</v>
      </c>
      <c r="C23" t="str">
        <f>_xlfn.XLOOKUP(B23,clean_sales!C:C,clean_sales!Q:Q)</f>
        <v>Anya Mall</v>
      </c>
      <c r="D23" t="str">
        <f>_xlfn.XLOOKUP(B23,clean_sales!C:C,clean_sales!R:R)</f>
        <v>Kolkata</v>
      </c>
      <c r="E23" t="str">
        <f>_xlfn.XLOOKUP(B23,clean_sales!C:C,clean_sales!S:S)</f>
        <v>West Bengal</v>
      </c>
    </row>
    <row r="24" spans="1:5" x14ac:dyDescent="0.35">
      <c r="A24">
        <f t="shared" si="0"/>
        <v>23</v>
      </c>
      <c r="B24" t="s">
        <v>1810</v>
      </c>
      <c r="C24" t="str">
        <f>_xlfn.XLOOKUP(B24,clean_sales!C:C,clean_sales!Q:Q)</f>
        <v>Miraya Kaul</v>
      </c>
      <c r="D24" t="str">
        <f>_xlfn.XLOOKUP(B24,clean_sales!C:C,clean_sales!R:R)</f>
        <v>Kolkata</v>
      </c>
      <c r="E24" t="str">
        <f>_xlfn.XLOOKUP(B24,clean_sales!C:C,clean_sales!S:S)</f>
        <v>West Bengal</v>
      </c>
    </row>
    <row r="25" spans="1:5" x14ac:dyDescent="0.35">
      <c r="A25">
        <f t="shared" si="0"/>
        <v>24</v>
      </c>
      <c r="B25" t="s">
        <v>1811</v>
      </c>
      <c r="C25" t="str">
        <f>_xlfn.XLOOKUP(B25,clean_sales!C:C,clean_sales!Q:Q)</f>
        <v>Ayesha Iyer</v>
      </c>
      <c r="D25" t="str">
        <f>_xlfn.XLOOKUP(B25,clean_sales!C:C,clean_sales!R:R)</f>
        <v>Delhi</v>
      </c>
      <c r="E25" t="str">
        <f>_xlfn.XLOOKUP(B25,clean_sales!C:C,clean_sales!S:S)</f>
        <v>Delhi</v>
      </c>
    </row>
    <row r="26" spans="1:5" x14ac:dyDescent="0.35">
      <c r="A26">
        <f t="shared" si="0"/>
        <v>25</v>
      </c>
      <c r="B26" t="s">
        <v>1812</v>
      </c>
      <c r="C26" t="str">
        <f>_xlfn.XLOOKUP(B26,clean_sales!C:C,clean_sales!Q:Q)</f>
        <v>Taimur Sama</v>
      </c>
      <c r="D26" t="str">
        <f>_xlfn.XLOOKUP(B26,clean_sales!C:C,clean_sales!R:R)</f>
        <v>Hyderabad</v>
      </c>
      <c r="E26" t="str">
        <f>_xlfn.XLOOKUP(B26,clean_sales!C:C,clean_sales!S:S)</f>
        <v>Telangana</v>
      </c>
    </row>
    <row r="27" spans="1:5" x14ac:dyDescent="0.35">
      <c r="A27">
        <f t="shared" si="0"/>
        <v>26</v>
      </c>
      <c r="B27" t="s">
        <v>1813</v>
      </c>
      <c r="C27" t="str">
        <f>_xlfn.XLOOKUP(B27,clean_sales!C:C,clean_sales!Q:Q)</f>
        <v>Renee Ratti</v>
      </c>
      <c r="D27" t="str">
        <f>_xlfn.XLOOKUP(B27,clean_sales!C:C,clean_sales!R:R)</f>
        <v>Hyderabad</v>
      </c>
      <c r="E27" t="str">
        <f>_xlfn.XLOOKUP(B27,clean_sales!C:C,clean_sales!S:S)</f>
        <v>Telangana</v>
      </c>
    </row>
    <row r="28" spans="1:5" x14ac:dyDescent="0.35">
      <c r="A28">
        <f t="shared" si="0"/>
        <v>27</v>
      </c>
      <c r="B28" t="s">
        <v>1814</v>
      </c>
      <c r="C28" t="str">
        <f>_xlfn.XLOOKUP(B28,clean_sales!C:C,clean_sales!Q:Q)</f>
        <v>Vedika Raja</v>
      </c>
      <c r="D28" t="str">
        <f>_xlfn.XLOOKUP(B28,clean_sales!C:C,clean_sales!R:R)</f>
        <v>Delhi</v>
      </c>
      <c r="E28" t="str">
        <f>_xlfn.XLOOKUP(B28,clean_sales!C:C,clean_sales!S:S)</f>
        <v>Delhi</v>
      </c>
    </row>
    <row r="29" spans="1:5" x14ac:dyDescent="0.35">
      <c r="A29">
        <f t="shared" si="0"/>
        <v>28</v>
      </c>
      <c r="B29" t="s">
        <v>1815</v>
      </c>
      <c r="C29" t="str">
        <f>_xlfn.XLOOKUP(B29,clean_sales!C:C,clean_sales!Q:Q)</f>
        <v>Reyansh Vyas</v>
      </c>
      <c r="D29" t="str">
        <f>_xlfn.XLOOKUP(B29,clean_sales!C:C,clean_sales!R:R)</f>
        <v>Chennai</v>
      </c>
      <c r="E29" t="str">
        <f>_xlfn.XLOOKUP(B29,clean_sales!C:C,clean_sales!S:S)</f>
        <v>Tamil Nadu</v>
      </c>
    </row>
    <row r="30" spans="1:5" x14ac:dyDescent="0.35">
      <c r="A30">
        <f t="shared" si="0"/>
        <v>29</v>
      </c>
      <c r="B30" t="s">
        <v>1816</v>
      </c>
      <c r="C30" t="str">
        <f>_xlfn.XLOOKUP(B30,clean_sales!C:C,clean_sales!Q:Q)</f>
        <v>Amani Sen</v>
      </c>
      <c r="D30" t="str">
        <f>_xlfn.XLOOKUP(B30,clean_sales!C:C,clean_sales!R:R)</f>
        <v>Chennai</v>
      </c>
      <c r="E30" t="str">
        <f>_xlfn.XLOOKUP(B30,clean_sales!C:C,clean_sales!S:S)</f>
        <v>Tamil Nadu</v>
      </c>
    </row>
    <row r="31" spans="1:5" x14ac:dyDescent="0.35">
      <c r="A31">
        <f t="shared" si="0"/>
        <v>30</v>
      </c>
      <c r="B31" t="s">
        <v>1817</v>
      </c>
      <c r="C31" t="str">
        <f>_xlfn.XLOOKUP(B31,clean_sales!C:C,clean_sales!Q:Q)</f>
        <v>Kartik Bala</v>
      </c>
      <c r="D31" t="str">
        <f>_xlfn.XLOOKUP(B31,clean_sales!C:C,clean_sales!R:R)</f>
        <v>Kolkata</v>
      </c>
      <c r="E31" t="str">
        <f>_xlfn.XLOOKUP(B31,clean_sales!C:C,clean_sales!S:S)</f>
        <v>West Bengal</v>
      </c>
    </row>
    <row r="32" spans="1:5" x14ac:dyDescent="0.35">
      <c r="A32">
        <f t="shared" si="0"/>
        <v>31</v>
      </c>
      <c r="B32" t="s">
        <v>1818</v>
      </c>
      <c r="C32" t="str">
        <f>_xlfn.XLOOKUP(B32,clean_sales!C:C,clean_sales!Q:Q)</f>
        <v>Badal Kade</v>
      </c>
      <c r="D32" t="str">
        <f>_xlfn.XLOOKUP(B32,clean_sales!C:C,clean_sales!R:R)</f>
        <v>Pune</v>
      </c>
      <c r="E32" t="str">
        <f>_xlfn.XLOOKUP(B32,clean_sales!C:C,clean_sales!S:S)</f>
        <v>Maharashtra</v>
      </c>
    </row>
    <row r="33" spans="1:5" x14ac:dyDescent="0.35">
      <c r="A33">
        <f t="shared" si="0"/>
        <v>32</v>
      </c>
      <c r="B33" t="s">
        <v>1819</v>
      </c>
      <c r="C33" t="str">
        <f>_xlfn.XLOOKUP(B33,clean_sales!C:C,clean_sales!Q:Q)</f>
        <v>Sana Aurora</v>
      </c>
      <c r="D33" t="str">
        <f>_xlfn.XLOOKUP(B33,clean_sales!C:C,clean_sales!R:R)</f>
        <v>Bengaluru</v>
      </c>
      <c r="E33" t="str">
        <f>_xlfn.XLOOKUP(B33,clean_sales!C:C,clean_sales!S:S)</f>
        <v>Karnataka</v>
      </c>
    </row>
    <row r="34" spans="1:5" x14ac:dyDescent="0.35">
      <c r="A34">
        <f t="shared" si="0"/>
        <v>33</v>
      </c>
      <c r="B34" t="s">
        <v>1820</v>
      </c>
      <c r="C34" t="str">
        <f>_xlfn.XLOOKUP(B34,clean_sales!C:C,clean_sales!Q:Q)</f>
        <v>Rati Rana</v>
      </c>
      <c r="D34" t="str">
        <f>_xlfn.XLOOKUP(B34,clean_sales!C:C,clean_sales!R:R)</f>
        <v>Kolkata</v>
      </c>
      <c r="E34" t="str">
        <f>_xlfn.XLOOKUP(B34,clean_sales!C:C,clean_sales!S:S)</f>
        <v>West Bengal</v>
      </c>
    </row>
    <row r="35" spans="1:5" x14ac:dyDescent="0.35">
      <c r="A35">
        <f t="shared" si="0"/>
        <v>34</v>
      </c>
      <c r="B35" t="s">
        <v>1821</v>
      </c>
      <c r="C35" t="str">
        <f>_xlfn.XLOOKUP(B35,clean_sales!C:C,clean_sales!Q:Q)</f>
        <v>Jayesh Sant</v>
      </c>
      <c r="D35" t="str">
        <f>_xlfn.XLOOKUP(B35,clean_sales!C:C,clean_sales!R:R)</f>
        <v>Kolkata</v>
      </c>
      <c r="E35" t="str">
        <f>_xlfn.XLOOKUP(B35,clean_sales!C:C,clean_sales!S:S)</f>
        <v>West Bengal</v>
      </c>
    </row>
    <row r="36" spans="1:5" x14ac:dyDescent="0.35">
      <c r="A36">
        <f t="shared" si="0"/>
        <v>35</v>
      </c>
      <c r="B36" t="s">
        <v>1822</v>
      </c>
      <c r="C36" t="str">
        <f>_xlfn.XLOOKUP(B36,clean_sales!C:C,clean_sales!Q:Q)</f>
        <v>Vritika Ramachandran</v>
      </c>
      <c r="D36" t="str">
        <f>_xlfn.XLOOKUP(B36,clean_sales!C:C,clean_sales!R:R)</f>
        <v>Bengaluru</v>
      </c>
      <c r="E36" t="str">
        <f>_xlfn.XLOOKUP(B36,clean_sales!C:C,clean_sales!S:S)</f>
        <v>Karnataka</v>
      </c>
    </row>
    <row r="37" spans="1:5" x14ac:dyDescent="0.35">
      <c r="A37">
        <f t="shared" si="0"/>
        <v>36</v>
      </c>
      <c r="B37" t="s">
        <v>1823</v>
      </c>
      <c r="C37" t="str">
        <f>_xlfn.XLOOKUP(B37,clean_sales!C:C,clean_sales!Q:Q)</f>
        <v>Ayesha Tiwari</v>
      </c>
      <c r="D37" t="str">
        <f>_xlfn.XLOOKUP(B37,clean_sales!C:C,clean_sales!R:R)</f>
        <v>Pune</v>
      </c>
      <c r="E37" t="str">
        <f>_xlfn.XLOOKUP(B37,clean_sales!C:C,clean_sales!S:S)</f>
        <v>Maharashtra</v>
      </c>
    </row>
    <row r="38" spans="1:5" x14ac:dyDescent="0.35">
      <c r="A38">
        <f t="shared" si="0"/>
        <v>37</v>
      </c>
      <c r="B38" t="s">
        <v>1824</v>
      </c>
      <c r="C38" t="str">
        <f>_xlfn.XLOOKUP(B38,clean_sales!C:C,clean_sales!Q:Q)</f>
        <v>Yashvi Din</v>
      </c>
      <c r="D38" t="str">
        <f>_xlfn.XLOOKUP(B38,clean_sales!C:C,clean_sales!R:R)</f>
        <v>Pune</v>
      </c>
      <c r="E38" t="str">
        <f>_xlfn.XLOOKUP(B38,clean_sales!C:C,clean_sales!S:S)</f>
        <v>Maharashtra</v>
      </c>
    </row>
    <row r="39" spans="1:5" x14ac:dyDescent="0.35">
      <c r="A39">
        <f t="shared" si="0"/>
        <v>38</v>
      </c>
      <c r="B39" t="s">
        <v>1825</v>
      </c>
      <c r="C39" t="str">
        <f>_xlfn.XLOOKUP(B39,clean_sales!C:C,clean_sales!Q:Q)</f>
        <v>Zara Keer</v>
      </c>
      <c r="D39" t="str">
        <f>_xlfn.XLOOKUP(B39,clean_sales!C:C,clean_sales!R:R)</f>
        <v>Delhi</v>
      </c>
      <c r="E39" t="str">
        <f>_xlfn.XLOOKUP(B39,clean_sales!C:C,clean_sales!S:S)</f>
        <v>Delhi</v>
      </c>
    </row>
    <row r="40" spans="1:5" x14ac:dyDescent="0.35">
      <c r="A40">
        <f t="shared" si="0"/>
        <v>39</v>
      </c>
      <c r="B40" t="s">
        <v>1826</v>
      </c>
      <c r="C40" t="str">
        <f>_xlfn.XLOOKUP(B40,clean_sales!C:C,clean_sales!Q:Q)</f>
        <v>Arhaan Gade</v>
      </c>
      <c r="D40" t="str">
        <f>_xlfn.XLOOKUP(B40,clean_sales!C:C,clean_sales!R:R)</f>
        <v>Bengaluru</v>
      </c>
      <c r="E40" t="str">
        <f>_xlfn.XLOOKUP(B40,clean_sales!C:C,clean_sales!S:S)</f>
        <v>Karnataka</v>
      </c>
    </row>
    <row r="41" spans="1:5" x14ac:dyDescent="0.35">
      <c r="A41">
        <f t="shared" si="0"/>
        <v>40</v>
      </c>
      <c r="B41" t="s">
        <v>1827</v>
      </c>
      <c r="C41" t="str">
        <f>_xlfn.XLOOKUP(B41,clean_sales!C:C,clean_sales!Q:Q)</f>
        <v>Anahita D’Alia</v>
      </c>
      <c r="D41" t="str">
        <f>_xlfn.XLOOKUP(B41,clean_sales!C:C,clean_sales!R:R)</f>
        <v>Pune</v>
      </c>
      <c r="E41" t="str">
        <f>_xlfn.XLOOKUP(B41,clean_sales!C:C,clean_sales!S:S)</f>
        <v>Maharashtra</v>
      </c>
    </row>
    <row r="42" spans="1:5" x14ac:dyDescent="0.35">
      <c r="A42">
        <f t="shared" si="0"/>
        <v>41</v>
      </c>
      <c r="B42" t="s">
        <v>1828</v>
      </c>
      <c r="C42" t="str">
        <f>_xlfn.XLOOKUP(B42,clean_sales!C:C,clean_sales!Q:Q)</f>
        <v>Prerak Sarin</v>
      </c>
      <c r="D42" t="str">
        <f>_xlfn.XLOOKUP(B42,clean_sales!C:C,clean_sales!R:R)</f>
        <v>Mumbai</v>
      </c>
      <c r="E42" t="str">
        <f>_xlfn.XLOOKUP(B42,clean_sales!C:C,clean_sales!S:S)</f>
        <v>Maharashtra</v>
      </c>
    </row>
    <row r="43" spans="1:5" x14ac:dyDescent="0.35">
      <c r="A43">
        <f t="shared" si="0"/>
        <v>42</v>
      </c>
      <c r="B43" t="s">
        <v>1829</v>
      </c>
      <c r="C43" t="str">
        <f>_xlfn.XLOOKUP(B43,clean_sales!C:C,clean_sales!Q:Q)</f>
        <v>Tushar Varkey</v>
      </c>
      <c r="D43" t="str">
        <f>_xlfn.XLOOKUP(B43,clean_sales!C:C,clean_sales!R:R)</f>
        <v>Pune</v>
      </c>
      <c r="E43" t="str">
        <f>_xlfn.XLOOKUP(B43,clean_sales!C:C,clean_sales!S:S)</f>
        <v>Maharashtra</v>
      </c>
    </row>
    <row r="44" spans="1:5" x14ac:dyDescent="0.35">
      <c r="A44">
        <f t="shared" si="0"/>
        <v>43</v>
      </c>
      <c r="B44" t="s">
        <v>1830</v>
      </c>
      <c r="C44" t="str">
        <f>_xlfn.XLOOKUP(B44,clean_sales!C:C,clean_sales!Q:Q)</f>
        <v>Mohanlal Sastry</v>
      </c>
      <c r="D44" t="str">
        <f>_xlfn.XLOOKUP(B44,clean_sales!C:C,clean_sales!R:R)</f>
        <v>Pune</v>
      </c>
      <c r="E44" t="str">
        <f>_xlfn.XLOOKUP(B44,clean_sales!C:C,clean_sales!S:S)</f>
        <v>Maharashtra</v>
      </c>
    </row>
    <row r="45" spans="1:5" x14ac:dyDescent="0.35">
      <c r="A45">
        <f t="shared" si="0"/>
        <v>44</v>
      </c>
      <c r="B45" t="s">
        <v>1831</v>
      </c>
      <c r="C45" t="str">
        <f>_xlfn.XLOOKUP(B45,clean_sales!C:C,clean_sales!Q:Q)</f>
        <v>Indranil Gulati</v>
      </c>
      <c r="D45" t="str">
        <f>_xlfn.XLOOKUP(B45,clean_sales!C:C,clean_sales!R:R)</f>
        <v>Chennai</v>
      </c>
      <c r="E45" t="str">
        <f>_xlfn.XLOOKUP(B45,clean_sales!C:C,clean_sales!S:S)</f>
        <v>Tamil Nadu</v>
      </c>
    </row>
    <row r="46" spans="1:5" x14ac:dyDescent="0.35">
      <c r="A46">
        <f t="shared" si="0"/>
        <v>45</v>
      </c>
      <c r="B46" t="s">
        <v>1832</v>
      </c>
      <c r="C46" t="str">
        <f>_xlfn.XLOOKUP(B46,clean_sales!C:C,clean_sales!Q:Q)</f>
        <v>Shray Shere</v>
      </c>
      <c r="D46" t="str">
        <f>_xlfn.XLOOKUP(B46,clean_sales!C:C,clean_sales!R:R)</f>
        <v>Mumbai</v>
      </c>
      <c r="E46" t="str">
        <f>_xlfn.XLOOKUP(B46,clean_sales!C:C,clean_sales!S:S)</f>
        <v>Maharashtra</v>
      </c>
    </row>
    <row r="47" spans="1:5" x14ac:dyDescent="0.35">
      <c r="A47">
        <f t="shared" si="0"/>
        <v>46</v>
      </c>
      <c r="B47" t="s">
        <v>1833</v>
      </c>
      <c r="C47" t="str">
        <f>_xlfn.XLOOKUP(B47,clean_sales!C:C,clean_sales!Q:Q)</f>
        <v>Mehul Ganesan</v>
      </c>
      <c r="D47" t="str">
        <f>_xlfn.XLOOKUP(B47,clean_sales!C:C,clean_sales!R:R)</f>
        <v>Mumbai</v>
      </c>
      <c r="E47" t="str">
        <f>_xlfn.XLOOKUP(B47,clean_sales!C:C,clean_sales!S:S)</f>
        <v>Maharashtra</v>
      </c>
    </row>
    <row r="48" spans="1:5" x14ac:dyDescent="0.35">
      <c r="A48">
        <f t="shared" si="0"/>
        <v>47</v>
      </c>
      <c r="B48" t="s">
        <v>1834</v>
      </c>
      <c r="C48" t="str">
        <f>_xlfn.XLOOKUP(B48,clean_sales!C:C,clean_sales!Q:Q)</f>
        <v>Rhea Kala</v>
      </c>
      <c r="D48" t="str">
        <f>_xlfn.XLOOKUP(B48,clean_sales!C:C,clean_sales!R:R)</f>
        <v>Pune</v>
      </c>
      <c r="E48" t="str">
        <f>_xlfn.XLOOKUP(B48,clean_sales!C:C,clean_sales!S:S)</f>
        <v>Maharashtra</v>
      </c>
    </row>
    <row r="49" spans="1:5" x14ac:dyDescent="0.35">
      <c r="A49">
        <f t="shared" si="0"/>
        <v>48</v>
      </c>
      <c r="B49" t="s">
        <v>1835</v>
      </c>
      <c r="C49" t="str">
        <f>_xlfn.XLOOKUP(B49,clean_sales!C:C,clean_sales!Q:Q)</f>
        <v>Nirvi Borde</v>
      </c>
      <c r="D49" t="str">
        <f>_xlfn.XLOOKUP(B49,clean_sales!C:C,clean_sales!R:R)</f>
        <v>Chennai</v>
      </c>
      <c r="E49" t="str">
        <f>_xlfn.XLOOKUP(B49,clean_sales!C:C,clean_sales!S:S)</f>
        <v>Tamil Nadu</v>
      </c>
    </row>
    <row r="50" spans="1:5" x14ac:dyDescent="0.35">
      <c r="A50">
        <f t="shared" si="0"/>
        <v>49</v>
      </c>
      <c r="B50" t="s">
        <v>1836</v>
      </c>
      <c r="C50" t="str">
        <f>_xlfn.XLOOKUP(B50,clean_sales!C:C,clean_sales!Q:Q)</f>
        <v>Misha Vora</v>
      </c>
      <c r="D50" t="str">
        <f>_xlfn.XLOOKUP(B50,clean_sales!C:C,clean_sales!R:R)</f>
        <v>Chennai</v>
      </c>
      <c r="E50" t="str">
        <f>_xlfn.XLOOKUP(B50,clean_sales!C:C,clean_sales!S:S)</f>
        <v>Tamil Nadu</v>
      </c>
    </row>
    <row r="51" spans="1:5" x14ac:dyDescent="0.35">
      <c r="A51">
        <f t="shared" si="0"/>
        <v>50</v>
      </c>
      <c r="B51" t="s">
        <v>1837</v>
      </c>
      <c r="C51" t="str">
        <f>_xlfn.XLOOKUP(B51,clean_sales!C:C,clean_sales!Q:Q)</f>
        <v>Krish Wason</v>
      </c>
      <c r="D51" t="str">
        <f>_xlfn.XLOOKUP(B51,clean_sales!C:C,clean_sales!R:R)</f>
        <v>Bengaluru</v>
      </c>
      <c r="E51" t="str">
        <f>_xlfn.XLOOKUP(B51,clean_sales!C:C,clean_sales!S:S)</f>
        <v>Karnataka</v>
      </c>
    </row>
    <row r="52" spans="1:5" x14ac:dyDescent="0.35">
      <c r="A52">
        <f t="shared" si="0"/>
        <v>51</v>
      </c>
      <c r="B52" t="s">
        <v>1838</v>
      </c>
      <c r="C52" t="str">
        <f>_xlfn.XLOOKUP(B52,clean_sales!C:C,clean_sales!Q:Q)</f>
        <v>Umang Hayer</v>
      </c>
      <c r="D52" t="str">
        <f>_xlfn.XLOOKUP(B52,clean_sales!C:C,clean_sales!R:R)</f>
        <v>Hyderabad</v>
      </c>
      <c r="E52" t="str">
        <f>_xlfn.XLOOKUP(B52,clean_sales!C:C,clean_sales!S:S)</f>
        <v>Telangana</v>
      </c>
    </row>
    <row r="53" spans="1:5" x14ac:dyDescent="0.35">
      <c r="A53">
        <f t="shared" si="0"/>
        <v>52</v>
      </c>
      <c r="B53" t="s">
        <v>1839</v>
      </c>
      <c r="C53" t="str">
        <f>_xlfn.XLOOKUP(B53,clean_sales!C:C,clean_sales!Q:Q)</f>
        <v>Kavya Chander</v>
      </c>
      <c r="D53" t="str">
        <f>_xlfn.XLOOKUP(B53,clean_sales!C:C,clean_sales!R:R)</f>
        <v>Chennai</v>
      </c>
      <c r="E53" t="str">
        <f>_xlfn.XLOOKUP(B53,clean_sales!C:C,clean_sales!S:S)</f>
        <v>Tamil Nadu</v>
      </c>
    </row>
    <row r="54" spans="1:5" x14ac:dyDescent="0.35">
      <c r="A54">
        <f t="shared" si="0"/>
        <v>53</v>
      </c>
      <c r="B54" t="s">
        <v>1840</v>
      </c>
      <c r="C54" t="str">
        <f>_xlfn.XLOOKUP(B54,clean_sales!C:C,clean_sales!Q:Q)</f>
        <v>Zaina Malhotra</v>
      </c>
      <c r="D54" t="str">
        <f>_xlfn.XLOOKUP(B54,clean_sales!C:C,clean_sales!R:R)</f>
        <v>Kolkata</v>
      </c>
      <c r="E54" t="str">
        <f>_xlfn.XLOOKUP(B54,clean_sales!C:C,clean_sales!S:S)</f>
        <v>West Bengal</v>
      </c>
    </row>
    <row r="55" spans="1:5" x14ac:dyDescent="0.35">
      <c r="A55">
        <f t="shared" si="0"/>
        <v>54</v>
      </c>
      <c r="B55" t="s">
        <v>1841</v>
      </c>
      <c r="C55" t="str">
        <f>_xlfn.XLOOKUP(B55,clean_sales!C:C,clean_sales!Q:Q)</f>
        <v>Sahil Karan</v>
      </c>
      <c r="D55" t="str">
        <f>_xlfn.XLOOKUP(B55,clean_sales!C:C,clean_sales!R:R)</f>
        <v>Bengaluru</v>
      </c>
      <c r="E55" t="str">
        <f>_xlfn.XLOOKUP(B55,clean_sales!C:C,clean_sales!S:S)</f>
        <v>Karnataka</v>
      </c>
    </row>
    <row r="56" spans="1:5" x14ac:dyDescent="0.35">
      <c r="A56">
        <f t="shared" si="0"/>
        <v>55</v>
      </c>
      <c r="B56" t="s">
        <v>1842</v>
      </c>
      <c r="C56" t="str">
        <f>_xlfn.XLOOKUP(B56,clean_sales!C:C,clean_sales!Q:Q)</f>
        <v>Shayak Kibe</v>
      </c>
      <c r="D56" t="str">
        <f>_xlfn.XLOOKUP(B56,clean_sales!C:C,clean_sales!R:R)</f>
        <v>Hyderabad</v>
      </c>
      <c r="E56" t="str">
        <f>_xlfn.XLOOKUP(B56,clean_sales!C:C,clean_sales!S:S)</f>
        <v>Telangana</v>
      </c>
    </row>
    <row r="57" spans="1:5" x14ac:dyDescent="0.35">
      <c r="A57">
        <f t="shared" si="0"/>
        <v>56</v>
      </c>
      <c r="B57" t="s">
        <v>1843</v>
      </c>
      <c r="C57" t="str">
        <f>_xlfn.XLOOKUP(B57,clean_sales!C:C,clean_sales!Q:Q)</f>
        <v>Abram Balakrishnan</v>
      </c>
      <c r="D57" t="str">
        <f>_xlfn.XLOOKUP(B57,clean_sales!C:C,clean_sales!R:R)</f>
        <v>Pune</v>
      </c>
      <c r="E57" t="str">
        <f>_xlfn.XLOOKUP(B57,clean_sales!C:C,clean_sales!S:S)</f>
        <v>Maharashtra</v>
      </c>
    </row>
    <row r="58" spans="1:5" x14ac:dyDescent="0.35">
      <c r="A58">
        <f t="shared" si="0"/>
        <v>57</v>
      </c>
      <c r="B58" t="s">
        <v>1844</v>
      </c>
      <c r="C58" t="str">
        <f>_xlfn.XLOOKUP(B58,clean_sales!C:C,clean_sales!Q:Q)</f>
        <v>Lakshay Bhasin</v>
      </c>
      <c r="D58" t="str">
        <f>_xlfn.XLOOKUP(B58,clean_sales!C:C,clean_sales!R:R)</f>
        <v>Mumbai</v>
      </c>
      <c r="E58" t="str">
        <f>_xlfn.XLOOKUP(B58,clean_sales!C:C,clean_sales!S:S)</f>
        <v>Maharashtra</v>
      </c>
    </row>
    <row r="59" spans="1:5" x14ac:dyDescent="0.35">
      <c r="A59">
        <f t="shared" si="0"/>
        <v>58</v>
      </c>
      <c r="B59" t="s">
        <v>1845</v>
      </c>
      <c r="C59" t="str">
        <f>_xlfn.XLOOKUP(B59,clean_sales!C:C,clean_sales!Q:Q)</f>
        <v>Yasmin Buch</v>
      </c>
      <c r="D59" t="str">
        <f>_xlfn.XLOOKUP(B59,clean_sales!C:C,clean_sales!R:R)</f>
        <v>Hyderabad</v>
      </c>
      <c r="E59" t="str">
        <f>_xlfn.XLOOKUP(B59,clean_sales!C:C,clean_sales!S:S)</f>
        <v>Telangana</v>
      </c>
    </row>
    <row r="60" spans="1:5" x14ac:dyDescent="0.35">
      <c r="A60">
        <f t="shared" si="0"/>
        <v>59</v>
      </c>
      <c r="B60" t="s">
        <v>1846</v>
      </c>
      <c r="C60" t="str">
        <f>_xlfn.XLOOKUP(B60,clean_sales!C:C,clean_sales!Q:Q)</f>
        <v>Priyansh Choudhury</v>
      </c>
      <c r="D60" t="str">
        <f>_xlfn.XLOOKUP(B60,clean_sales!C:C,clean_sales!R:R)</f>
        <v>Bengaluru</v>
      </c>
      <c r="E60" t="str">
        <f>_xlfn.XLOOKUP(B60,clean_sales!C:C,clean_sales!S:S)</f>
        <v>Karnataka</v>
      </c>
    </row>
    <row r="61" spans="1:5" x14ac:dyDescent="0.35">
      <c r="A61">
        <f t="shared" si="0"/>
        <v>60</v>
      </c>
      <c r="B61" t="s">
        <v>1847</v>
      </c>
      <c r="C61" t="str">
        <f>_xlfn.XLOOKUP(B61,clean_sales!C:C,clean_sales!Q:Q)</f>
        <v>Jayan Sabharwal</v>
      </c>
      <c r="D61" t="str">
        <f>_xlfn.XLOOKUP(B61,clean_sales!C:C,clean_sales!R:R)</f>
        <v>Bengaluru</v>
      </c>
      <c r="E61" t="str">
        <f>_xlfn.XLOOKUP(B61,clean_sales!C:C,clean_sales!S:S)</f>
        <v>Karnataka</v>
      </c>
    </row>
    <row r="62" spans="1:5" x14ac:dyDescent="0.35">
      <c r="A62">
        <f t="shared" si="0"/>
        <v>61</v>
      </c>
      <c r="B62" t="s">
        <v>1848</v>
      </c>
      <c r="C62" t="str">
        <f>_xlfn.XLOOKUP(B62,clean_sales!C:C,clean_sales!Q:Q)</f>
        <v>Charvi Toor</v>
      </c>
      <c r="D62" t="str">
        <f>_xlfn.XLOOKUP(B62,clean_sales!C:C,clean_sales!R:R)</f>
        <v>Pune</v>
      </c>
      <c r="E62" t="str">
        <f>_xlfn.XLOOKUP(B62,clean_sales!C:C,clean_sales!S:S)</f>
        <v>Maharashtra</v>
      </c>
    </row>
    <row r="63" spans="1:5" x14ac:dyDescent="0.35">
      <c r="A63">
        <f t="shared" si="0"/>
        <v>62</v>
      </c>
      <c r="B63" t="s">
        <v>1849</v>
      </c>
      <c r="C63" t="str">
        <f>_xlfn.XLOOKUP(B63,clean_sales!C:C,clean_sales!Q:Q)</f>
        <v>Hiran Borah</v>
      </c>
      <c r="D63" t="str">
        <f>_xlfn.XLOOKUP(B63,clean_sales!C:C,clean_sales!R:R)</f>
        <v>Pune</v>
      </c>
      <c r="E63" t="str">
        <f>_xlfn.XLOOKUP(B63,clean_sales!C:C,clean_sales!S:S)</f>
        <v>Maharashtra</v>
      </c>
    </row>
    <row r="64" spans="1:5" x14ac:dyDescent="0.35">
      <c r="A64">
        <f t="shared" si="0"/>
        <v>63</v>
      </c>
      <c r="B64" t="s">
        <v>1850</v>
      </c>
      <c r="C64" t="str">
        <f>_xlfn.XLOOKUP(B64,clean_sales!C:C,clean_sales!Q:Q)</f>
        <v>Ryan Gokhale</v>
      </c>
      <c r="D64" t="str">
        <f>_xlfn.XLOOKUP(B64,clean_sales!C:C,clean_sales!R:R)</f>
        <v>Hyderabad</v>
      </c>
      <c r="E64" t="str">
        <f>_xlfn.XLOOKUP(B64,clean_sales!C:C,clean_sales!S:S)</f>
        <v>Telangana</v>
      </c>
    </row>
    <row r="65" spans="1:5" x14ac:dyDescent="0.35">
      <c r="A65">
        <f t="shared" si="0"/>
        <v>64</v>
      </c>
      <c r="B65" t="s">
        <v>1851</v>
      </c>
      <c r="C65" t="str">
        <f>_xlfn.XLOOKUP(B65,clean_sales!C:C,clean_sales!Q:Q)</f>
        <v>Zain Korpal</v>
      </c>
      <c r="D65" t="str">
        <f>_xlfn.XLOOKUP(B65,clean_sales!C:C,clean_sales!R:R)</f>
        <v>Bengaluru</v>
      </c>
      <c r="E65" t="str">
        <f>_xlfn.XLOOKUP(B65,clean_sales!C:C,clean_sales!S:S)</f>
        <v>Karnataka</v>
      </c>
    </row>
    <row r="66" spans="1:5" x14ac:dyDescent="0.35">
      <c r="A66">
        <f t="shared" si="0"/>
        <v>65</v>
      </c>
      <c r="B66" t="s">
        <v>1852</v>
      </c>
      <c r="C66" t="str">
        <f>_xlfn.XLOOKUP(B66,clean_sales!C:C,clean_sales!Q:Q)</f>
        <v>Vanya Aurora</v>
      </c>
      <c r="D66" t="str">
        <f>_xlfn.XLOOKUP(B66,clean_sales!C:C,clean_sales!R:R)</f>
        <v>Bengaluru</v>
      </c>
      <c r="E66" t="str">
        <f>_xlfn.XLOOKUP(B66,clean_sales!C:C,clean_sales!S:S)</f>
        <v>Karnataka</v>
      </c>
    </row>
    <row r="67" spans="1:5" x14ac:dyDescent="0.35">
      <c r="A67">
        <f t="shared" ref="A67:A130" si="1">ROW()-1</f>
        <v>66</v>
      </c>
      <c r="B67" t="s">
        <v>1853</v>
      </c>
      <c r="C67" t="str">
        <f>_xlfn.XLOOKUP(B67,clean_sales!C:C,clean_sales!Q:Q)</f>
        <v>Anya Karnik</v>
      </c>
      <c r="D67" t="str">
        <f>_xlfn.XLOOKUP(B67,clean_sales!C:C,clean_sales!R:R)</f>
        <v>Delhi</v>
      </c>
      <c r="E67" t="str">
        <f>_xlfn.XLOOKUP(B67,clean_sales!C:C,clean_sales!S:S)</f>
        <v>Delhi</v>
      </c>
    </row>
    <row r="68" spans="1:5" x14ac:dyDescent="0.35">
      <c r="A68">
        <f t="shared" si="1"/>
        <v>67</v>
      </c>
      <c r="B68" t="s">
        <v>1854</v>
      </c>
      <c r="C68" t="str">
        <f>_xlfn.XLOOKUP(B68,clean_sales!C:C,clean_sales!Q:Q)</f>
        <v>Hiran Dara</v>
      </c>
      <c r="D68" t="str">
        <f>_xlfn.XLOOKUP(B68,clean_sales!C:C,clean_sales!R:R)</f>
        <v>Kolkata</v>
      </c>
      <c r="E68" t="str">
        <f>_xlfn.XLOOKUP(B68,clean_sales!C:C,clean_sales!S:S)</f>
        <v>West Bengal</v>
      </c>
    </row>
    <row r="69" spans="1:5" x14ac:dyDescent="0.35">
      <c r="A69">
        <f t="shared" si="1"/>
        <v>68</v>
      </c>
      <c r="B69" t="s">
        <v>1855</v>
      </c>
      <c r="C69" t="str">
        <f>_xlfn.XLOOKUP(B69,clean_sales!C:C,clean_sales!Q:Q)</f>
        <v>Ehsaan Tak</v>
      </c>
      <c r="D69" t="str">
        <f>_xlfn.XLOOKUP(B69,clean_sales!C:C,clean_sales!R:R)</f>
        <v>Kolkata</v>
      </c>
      <c r="E69" t="str">
        <f>_xlfn.XLOOKUP(B69,clean_sales!C:C,clean_sales!S:S)</f>
        <v>West Bengal</v>
      </c>
    </row>
    <row r="70" spans="1:5" x14ac:dyDescent="0.35">
      <c r="A70">
        <f t="shared" si="1"/>
        <v>69</v>
      </c>
      <c r="B70" t="s">
        <v>1856</v>
      </c>
      <c r="C70" t="str">
        <f>_xlfn.XLOOKUP(B70,clean_sales!C:C,clean_sales!Q:Q)</f>
        <v>Shaan Golla</v>
      </c>
      <c r="D70" t="str">
        <f>_xlfn.XLOOKUP(B70,clean_sales!C:C,clean_sales!R:R)</f>
        <v>Chennai</v>
      </c>
      <c r="E70" t="str">
        <f>_xlfn.XLOOKUP(B70,clean_sales!C:C,clean_sales!S:S)</f>
        <v>Tamil Nadu</v>
      </c>
    </row>
    <row r="71" spans="1:5" x14ac:dyDescent="0.35">
      <c r="A71">
        <f t="shared" si="1"/>
        <v>70</v>
      </c>
      <c r="B71" t="s">
        <v>1857</v>
      </c>
      <c r="C71" t="str">
        <f>_xlfn.XLOOKUP(B71,clean_sales!C:C,clean_sales!Q:Q)</f>
        <v>Sumer Sule</v>
      </c>
      <c r="D71" t="str">
        <f>_xlfn.XLOOKUP(B71,clean_sales!C:C,clean_sales!R:R)</f>
        <v>Pune</v>
      </c>
      <c r="E71" t="str">
        <f>_xlfn.XLOOKUP(B71,clean_sales!C:C,clean_sales!S:S)</f>
        <v>Maharashtra</v>
      </c>
    </row>
    <row r="72" spans="1:5" x14ac:dyDescent="0.35">
      <c r="A72">
        <f t="shared" si="1"/>
        <v>71</v>
      </c>
      <c r="B72" t="s">
        <v>1858</v>
      </c>
      <c r="C72" t="str">
        <f>_xlfn.XLOOKUP(B72,clean_sales!C:C,clean_sales!Q:Q)</f>
        <v>Siya Sagar</v>
      </c>
      <c r="D72" t="str">
        <f>_xlfn.XLOOKUP(B72,clean_sales!C:C,clean_sales!R:R)</f>
        <v>Mumbai</v>
      </c>
      <c r="E72" t="str">
        <f>_xlfn.XLOOKUP(B72,clean_sales!C:C,clean_sales!S:S)</f>
        <v>Maharashtra</v>
      </c>
    </row>
    <row r="73" spans="1:5" x14ac:dyDescent="0.35">
      <c r="A73">
        <f t="shared" si="1"/>
        <v>72</v>
      </c>
      <c r="B73" t="s">
        <v>1859</v>
      </c>
      <c r="C73" t="str">
        <f>_xlfn.XLOOKUP(B73,clean_sales!C:C,clean_sales!Q:Q)</f>
        <v>Nitara Sagar</v>
      </c>
      <c r="D73" t="str">
        <f>_xlfn.XLOOKUP(B73,clean_sales!C:C,clean_sales!R:R)</f>
        <v>Mumbai</v>
      </c>
      <c r="E73" t="str">
        <f>_xlfn.XLOOKUP(B73,clean_sales!C:C,clean_sales!S:S)</f>
        <v>Maharashtra</v>
      </c>
    </row>
    <row r="74" spans="1:5" x14ac:dyDescent="0.35">
      <c r="A74">
        <f t="shared" si="1"/>
        <v>73</v>
      </c>
      <c r="B74" t="s">
        <v>1860</v>
      </c>
      <c r="C74" t="str">
        <f>_xlfn.XLOOKUP(B74,clean_sales!C:C,clean_sales!Q:Q)</f>
        <v>Dharmajan Choudhry</v>
      </c>
      <c r="D74" t="str">
        <f>_xlfn.XLOOKUP(B74,clean_sales!C:C,clean_sales!R:R)</f>
        <v>Bengaluru</v>
      </c>
      <c r="E74" t="str">
        <f>_xlfn.XLOOKUP(B74,clean_sales!C:C,clean_sales!S:S)</f>
        <v>Karnataka</v>
      </c>
    </row>
    <row r="75" spans="1:5" x14ac:dyDescent="0.35">
      <c r="A75">
        <f t="shared" si="1"/>
        <v>74</v>
      </c>
      <c r="B75" t="s">
        <v>1861</v>
      </c>
      <c r="C75" t="str">
        <f>_xlfn.XLOOKUP(B75,clean_sales!C:C,clean_sales!Q:Q)</f>
        <v>Ryan Dey</v>
      </c>
      <c r="D75" t="str">
        <f>_xlfn.XLOOKUP(B75,clean_sales!C:C,clean_sales!R:R)</f>
        <v>Delhi</v>
      </c>
      <c r="E75" t="str">
        <f>_xlfn.XLOOKUP(B75,clean_sales!C:C,clean_sales!S:S)</f>
        <v>Delhi</v>
      </c>
    </row>
    <row r="76" spans="1:5" x14ac:dyDescent="0.35">
      <c r="A76">
        <f t="shared" si="1"/>
        <v>75</v>
      </c>
      <c r="B76" t="s">
        <v>1862</v>
      </c>
      <c r="C76" t="str">
        <f>_xlfn.XLOOKUP(B76,clean_sales!C:C,clean_sales!Q:Q)</f>
        <v>Jayan Yohannan</v>
      </c>
      <c r="D76" t="str">
        <f>_xlfn.XLOOKUP(B76,clean_sales!C:C,clean_sales!R:R)</f>
        <v>Pune</v>
      </c>
      <c r="E76" t="str">
        <f>_xlfn.XLOOKUP(B76,clean_sales!C:C,clean_sales!S:S)</f>
        <v>Maharashtra</v>
      </c>
    </row>
    <row r="77" spans="1:5" x14ac:dyDescent="0.35">
      <c r="A77">
        <f t="shared" si="1"/>
        <v>76</v>
      </c>
      <c r="B77" t="s">
        <v>1863</v>
      </c>
      <c r="C77" t="str">
        <f>_xlfn.XLOOKUP(B77,clean_sales!C:C,clean_sales!Q:Q)</f>
        <v>Aarna Dash</v>
      </c>
      <c r="D77" t="str">
        <f>_xlfn.XLOOKUP(B77,clean_sales!C:C,clean_sales!R:R)</f>
        <v>Bengaluru</v>
      </c>
      <c r="E77" t="str">
        <f>_xlfn.XLOOKUP(B77,clean_sales!C:C,clean_sales!S:S)</f>
        <v>Karnataka</v>
      </c>
    </row>
    <row r="78" spans="1:5" x14ac:dyDescent="0.35">
      <c r="A78">
        <f t="shared" si="1"/>
        <v>77</v>
      </c>
      <c r="B78" t="s">
        <v>1864</v>
      </c>
      <c r="C78" t="str">
        <f>_xlfn.XLOOKUP(B78,clean_sales!C:C,clean_sales!Q:Q)</f>
        <v>Damini Kulkarni</v>
      </c>
      <c r="D78" t="str">
        <f>_xlfn.XLOOKUP(B78,clean_sales!C:C,clean_sales!R:R)</f>
        <v>Delhi</v>
      </c>
      <c r="E78" t="str">
        <f>_xlfn.XLOOKUP(B78,clean_sales!C:C,clean_sales!S:S)</f>
        <v>Delhi</v>
      </c>
    </row>
    <row r="79" spans="1:5" x14ac:dyDescent="0.35">
      <c r="A79">
        <f t="shared" si="1"/>
        <v>78</v>
      </c>
      <c r="B79" t="s">
        <v>1865</v>
      </c>
      <c r="C79" t="str">
        <f>_xlfn.XLOOKUP(B79,clean_sales!C:C,clean_sales!Q:Q)</f>
        <v>Manjari Suri</v>
      </c>
      <c r="D79" t="str">
        <f>_xlfn.XLOOKUP(B79,clean_sales!C:C,clean_sales!R:R)</f>
        <v>Hyderabad</v>
      </c>
      <c r="E79" t="str">
        <f>_xlfn.XLOOKUP(B79,clean_sales!C:C,clean_sales!S:S)</f>
        <v>Telangana</v>
      </c>
    </row>
    <row r="80" spans="1:5" x14ac:dyDescent="0.35">
      <c r="A80">
        <f t="shared" si="1"/>
        <v>79</v>
      </c>
      <c r="B80" t="s">
        <v>1866</v>
      </c>
      <c r="C80" t="str">
        <f>_xlfn.XLOOKUP(B80,clean_sales!C:C,clean_sales!Q:Q)</f>
        <v>Shanaya Sem</v>
      </c>
      <c r="D80" t="str">
        <f>_xlfn.XLOOKUP(B80,clean_sales!C:C,clean_sales!R:R)</f>
        <v>Bengaluru</v>
      </c>
      <c r="E80" t="str">
        <f>_xlfn.XLOOKUP(B80,clean_sales!C:C,clean_sales!S:S)</f>
        <v>Karnataka</v>
      </c>
    </row>
    <row r="81" spans="1:5" x14ac:dyDescent="0.35">
      <c r="A81">
        <f t="shared" si="1"/>
        <v>80</v>
      </c>
      <c r="B81" t="s">
        <v>1867</v>
      </c>
      <c r="C81" t="str">
        <f>_xlfn.XLOOKUP(B81,clean_sales!C:C,clean_sales!Q:Q)</f>
        <v>Gatik Chandran</v>
      </c>
      <c r="D81" t="str">
        <f>_xlfn.XLOOKUP(B81,clean_sales!C:C,clean_sales!R:R)</f>
        <v>Hyderabad</v>
      </c>
      <c r="E81" t="str">
        <f>_xlfn.XLOOKUP(B81,clean_sales!C:C,clean_sales!S:S)</f>
        <v>Telangana</v>
      </c>
    </row>
    <row r="82" spans="1:5" x14ac:dyDescent="0.35">
      <c r="A82">
        <f t="shared" si="1"/>
        <v>81</v>
      </c>
      <c r="B82" t="s">
        <v>1868</v>
      </c>
      <c r="C82" t="str">
        <f>_xlfn.XLOOKUP(B82,clean_sales!C:C,clean_sales!Q:Q)</f>
        <v>Mishti Kalla</v>
      </c>
      <c r="D82" t="str">
        <f>_xlfn.XLOOKUP(B82,clean_sales!C:C,clean_sales!R:R)</f>
        <v>Delhi</v>
      </c>
      <c r="E82" t="str">
        <f>_xlfn.XLOOKUP(B82,clean_sales!C:C,clean_sales!S:S)</f>
        <v>Delhi</v>
      </c>
    </row>
    <row r="83" spans="1:5" x14ac:dyDescent="0.35">
      <c r="A83">
        <f t="shared" si="1"/>
        <v>82</v>
      </c>
      <c r="B83" t="s">
        <v>1869</v>
      </c>
      <c r="C83" t="str">
        <f>_xlfn.XLOOKUP(B83,clean_sales!C:C,clean_sales!Q:Q)</f>
        <v>Advika Brar</v>
      </c>
      <c r="D83" t="str">
        <f>_xlfn.XLOOKUP(B83,clean_sales!C:C,clean_sales!R:R)</f>
        <v>Mumbai</v>
      </c>
      <c r="E83" t="str">
        <f>_xlfn.XLOOKUP(B83,clean_sales!C:C,clean_sales!S:S)</f>
        <v>Maharashtra</v>
      </c>
    </row>
    <row r="84" spans="1:5" x14ac:dyDescent="0.35">
      <c r="A84">
        <f t="shared" si="1"/>
        <v>83</v>
      </c>
      <c r="B84" t="s">
        <v>1870</v>
      </c>
      <c r="C84" t="str">
        <f>_xlfn.XLOOKUP(B84,clean_sales!C:C,clean_sales!Q:Q)</f>
        <v>Baiju Bahl</v>
      </c>
      <c r="D84" t="str">
        <f>_xlfn.XLOOKUP(B84,clean_sales!C:C,clean_sales!R:R)</f>
        <v>Mumbai</v>
      </c>
      <c r="E84" t="str">
        <f>_xlfn.XLOOKUP(B84,clean_sales!C:C,clean_sales!S:S)</f>
        <v>Maharashtra</v>
      </c>
    </row>
    <row r="85" spans="1:5" x14ac:dyDescent="0.35">
      <c r="A85">
        <f t="shared" si="1"/>
        <v>84</v>
      </c>
      <c r="B85" t="s">
        <v>1871</v>
      </c>
      <c r="C85" t="str">
        <f>_xlfn.XLOOKUP(B85,clean_sales!C:C,clean_sales!Q:Q)</f>
        <v>Manikya Dutt</v>
      </c>
      <c r="D85" t="str">
        <f>_xlfn.XLOOKUP(B85,clean_sales!C:C,clean_sales!R:R)</f>
        <v>Delhi</v>
      </c>
      <c r="E85" t="str">
        <f>_xlfn.XLOOKUP(B85,clean_sales!C:C,clean_sales!S:S)</f>
        <v>Delhi</v>
      </c>
    </row>
    <row r="86" spans="1:5" x14ac:dyDescent="0.35">
      <c r="A86">
        <f t="shared" si="1"/>
        <v>85</v>
      </c>
      <c r="B86" t="s">
        <v>1872</v>
      </c>
      <c r="C86" t="str">
        <f>_xlfn.XLOOKUP(B86,clean_sales!C:C,clean_sales!Q:Q)</f>
        <v>Nayantara Rajagopal</v>
      </c>
      <c r="D86" t="str">
        <f>_xlfn.XLOOKUP(B86,clean_sales!C:C,clean_sales!R:R)</f>
        <v>Hyderabad</v>
      </c>
      <c r="E86" t="str">
        <f>_xlfn.XLOOKUP(B86,clean_sales!C:C,clean_sales!S:S)</f>
        <v>Telangana</v>
      </c>
    </row>
    <row r="87" spans="1:5" x14ac:dyDescent="0.35">
      <c r="A87">
        <f t="shared" si="1"/>
        <v>86</v>
      </c>
      <c r="B87" t="s">
        <v>1873</v>
      </c>
      <c r="C87" t="str">
        <f>_xlfn.XLOOKUP(B87,clean_sales!C:C,clean_sales!Q:Q)</f>
        <v>Nirvi Basak</v>
      </c>
      <c r="D87" t="str">
        <f>_xlfn.XLOOKUP(B87,clean_sales!C:C,clean_sales!R:R)</f>
        <v>Delhi</v>
      </c>
      <c r="E87" t="str">
        <f>_xlfn.XLOOKUP(B87,clean_sales!C:C,clean_sales!S:S)</f>
        <v>Delhi</v>
      </c>
    </row>
    <row r="88" spans="1:5" x14ac:dyDescent="0.35">
      <c r="A88">
        <f t="shared" si="1"/>
        <v>87</v>
      </c>
      <c r="B88" t="s">
        <v>1874</v>
      </c>
      <c r="C88" t="str">
        <f>_xlfn.XLOOKUP(B88,clean_sales!C:C,clean_sales!Q:Q)</f>
        <v>Uthkarsh Kale</v>
      </c>
      <c r="D88" t="str">
        <f>_xlfn.XLOOKUP(B88,clean_sales!C:C,clean_sales!R:R)</f>
        <v>Hyderabad</v>
      </c>
      <c r="E88" t="str">
        <f>_xlfn.XLOOKUP(B88,clean_sales!C:C,clean_sales!S:S)</f>
        <v>Telangana</v>
      </c>
    </row>
    <row r="89" spans="1:5" x14ac:dyDescent="0.35">
      <c r="A89">
        <f t="shared" si="1"/>
        <v>88</v>
      </c>
      <c r="B89" t="s">
        <v>1875</v>
      </c>
      <c r="C89" t="str">
        <f>_xlfn.XLOOKUP(B89,clean_sales!C:C,clean_sales!Q:Q)</f>
        <v>Divyansh Dixit</v>
      </c>
      <c r="D89" t="str">
        <f>_xlfn.XLOOKUP(B89,clean_sales!C:C,clean_sales!R:R)</f>
        <v>Chennai</v>
      </c>
      <c r="E89" t="str">
        <f>_xlfn.XLOOKUP(B89,clean_sales!C:C,clean_sales!S:S)</f>
        <v>Tamil Nadu</v>
      </c>
    </row>
    <row r="90" spans="1:5" x14ac:dyDescent="0.35">
      <c r="A90">
        <f t="shared" si="1"/>
        <v>89</v>
      </c>
      <c r="B90" t="s">
        <v>1876</v>
      </c>
      <c r="C90" t="str">
        <f>_xlfn.XLOOKUP(B90,clean_sales!C:C,clean_sales!Q:Q)</f>
        <v>Navya Aggarwal</v>
      </c>
      <c r="D90" t="str">
        <f>_xlfn.XLOOKUP(B90,clean_sales!C:C,clean_sales!R:R)</f>
        <v>Bengaluru</v>
      </c>
      <c r="E90" t="str">
        <f>_xlfn.XLOOKUP(B90,clean_sales!C:C,clean_sales!S:S)</f>
        <v>Karnataka</v>
      </c>
    </row>
    <row r="91" spans="1:5" x14ac:dyDescent="0.35">
      <c r="A91">
        <f t="shared" si="1"/>
        <v>90</v>
      </c>
      <c r="B91" t="s">
        <v>1877</v>
      </c>
      <c r="C91" t="str">
        <f>_xlfn.XLOOKUP(B91,clean_sales!C:C,clean_sales!Q:Q)</f>
        <v>Aarna Jani</v>
      </c>
      <c r="D91" t="str">
        <f>_xlfn.XLOOKUP(B91,clean_sales!C:C,clean_sales!R:R)</f>
        <v>Hyderabad</v>
      </c>
      <c r="E91" t="str">
        <f>_xlfn.XLOOKUP(B91,clean_sales!C:C,clean_sales!S:S)</f>
        <v>Telangana</v>
      </c>
    </row>
    <row r="92" spans="1:5" x14ac:dyDescent="0.35">
      <c r="A92">
        <f t="shared" si="1"/>
        <v>91</v>
      </c>
      <c r="B92" t="s">
        <v>1878</v>
      </c>
      <c r="C92" t="str">
        <f>_xlfn.XLOOKUP(B92,clean_sales!C:C,clean_sales!Q:Q)</f>
        <v>Kartik Zachariah</v>
      </c>
      <c r="D92" t="str">
        <f>_xlfn.XLOOKUP(B92,clean_sales!C:C,clean_sales!R:R)</f>
        <v>Pune</v>
      </c>
      <c r="E92" t="str">
        <f>_xlfn.XLOOKUP(B92,clean_sales!C:C,clean_sales!S:S)</f>
        <v>Maharashtra</v>
      </c>
    </row>
    <row r="93" spans="1:5" x14ac:dyDescent="0.35">
      <c r="A93">
        <f t="shared" si="1"/>
        <v>92</v>
      </c>
      <c r="B93" t="s">
        <v>1879</v>
      </c>
      <c r="C93" t="str">
        <f>_xlfn.XLOOKUP(B93,clean_sales!C:C,clean_sales!Q:Q)</f>
        <v>Akarsh Garg</v>
      </c>
      <c r="D93" t="str">
        <f>_xlfn.XLOOKUP(B93,clean_sales!C:C,clean_sales!R:R)</f>
        <v>Bengaluru</v>
      </c>
      <c r="E93" t="str">
        <f>_xlfn.XLOOKUP(B93,clean_sales!C:C,clean_sales!S:S)</f>
        <v>Karnataka</v>
      </c>
    </row>
    <row r="94" spans="1:5" x14ac:dyDescent="0.35">
      <c r="A94">
        <f t="shared" si="1"/>
        <v>93</v>
      </c>
      <c r="B94" t="s">
        <v>1880</v>
      </c>
      <c r="C94" t="str">
        <f>_xlfn.XLOOKUP(B94,clean_sales!C:C,clean_sales!Q:Q)</f>
        <v>Amani Bumb</v>
      </c>
      <c r="D94" t="str">
        <f>_xlfn.XLOOKUP(B94,clean_sales!C:C,clean_sales!R:R)</f>
        <v>Chennai</v>
      </c>
      <c r="E94" t="str">
        <f>_xlfn.XLOOKUP(B94,clean_sales!C:C,clean_sales!S:S)</f>
        <v>Tamil Nadu</v>
      </c>
    </row>
    <row r="95" spans="1:5" x14ac:dyDescent="0.35">
      <c r="A95">
        <f t="shared" si="1"/>
        <v>94</v>
      </c>
      <c r="B95" t="s">
        <v>1881</v>
      </c>
      <c r="C95" t="str">
        <f>_xlfn.XLOOKUP(B95,clean_sales!C:C,clean_sales!Q:Q)</f>
        <v>Akarsh Mand</v>
      </c>
      <c r="D95" t="str">
        <f>_xlfn.XLOOKUP(B95,clean_sales!C:C,clean_sales!R:R)</f>
        <v>Hyderabad</v>
      </c>
      <c r="E95" t="str">
        <f>_xlfn.XLOOKUP(B95,clean_sales!C:C,clean_sales!S:S)</f>
        <v>Telangana</v>
      </c>
    </row>
    <row r="96" spans="1:5" x14ac:dyDescent="0.35">
      <c r="A96">
        <f t="shared" si="1"/>
        <v>95</v>
      </c>
      <c r="B96" t="s">
        <v>1882</v>
      </c>
      <c r="C96" t="str">
        <f>_xlfn.XLOOKUP(B96,clean_sales!C:C,clean_sales!Q:Q)</f>
        <v>Damini Bhatt</v>
      </c>
      <c r="D96" t="str">
        <f>_xlfn.XLOOKUP(B96,clean_sales!C:C,clean_sales!R:R)</f>
        <v>Delhi</v>
      </c>
      <c r="E96" t="str">
        <f>_xlfn.XLOOKUP(B96,clean_sales!C:C,clean_sales!S:S)</f>
        <v>Delhi</v>
      </c>
    </row>
    <row r="97" spans="1:5" x14ac:dyDescent="0.35">
      <c r="A97">
        <f t="shared" si="1"/>
        <v>96</v>
      </c>
      <c r="B97" t="s">
        <v>1883</v>
      </c>
      <c r="C97" t="str">
        <f>_xlfn.XLOOKUP(B97,clean_sales!C:C,clean_sales!Q:Q)</f>
        <v>Raunak Chanda</v>
      </c>
      <c r="D97" t="str">
        <f>_xlfn.XLOOKUP(B97,clean_sales!C:C,clean_sales!R:R)</f>
        <v>Hyderabad</v>
      </c>
      <c r="E97" t="str">
        <f>_xlfn.XLOOKUP(B97,clean_sales!C:C,clean_sales!S:S)</f>
        <v>Telangana</v>
      </c>
    </row>
    <row r="98" spans="1:5" x14ac:dyDescent="0.35">
      <c r="A98">
        <f t="shared" si="1"/>
        <v>97</v>
      </c>
      <c r="B98" t="s">
        <v>1884</v>
      </c>
      <c r="C98" t="str">
        <f>_xlfn.XLOOKUP(B98,clean_sales!C:C,clean_sales!Q:Q)</f>
        <v>Saksham Saha</v>
      </c>
      <c r="D98" t="str">
        <f>_xlfn.XLOOKUP(B98,clean_sales!C:C,clean_sales!R:R)</f>
        <v>Bengaluru</v>
      </c>
      <c r="E98" t="str">
        <f>_xlfn.XLOOKUP(B98,clean_sales!C:C,clean_sales!S:S)</f>
        <v>Karnataka</v>
      </c>
    </row>
    <row r="99" spans="1:5" x14ac:dyDescent="0.35">
      <c r="A99">
        <f t="shared" si="1"/>
        <v>98</v>
      </c>
      <c r="B99" t="s">
        <v>1885</v>
      </c>
      <c r="C99" t="str">
        <f>_xlfn.XLOOKUP(B99,clean_sales!C:C,clean_sales!Q:Q)</f>
        <v>Purab Sami</v>
      </c>
      <c r="D99" t="str">
        <f>_xlfn.XLOOKUP(B99,clean_sales!C:C,clean_sales!R:R)</f>
        <v>Kolkata</v>
      </c>
      <c r="E99" t="str">
        <f>_xlfn.XLOOKUP(B99,clean_sales!C:C,clean_sales!S:S)</f>
        <v>West Bengal</v>
      </c>
    </row>
    <row r="100" spans="1:5" x14ac:dyDescent="0.35">
      <c r="A100">
        <f t="shared" si="1"/>
        <v>99</v>
      </c>
      <c r="B100" t="s">
        <v>1886</v>
      </c>
      <c r="C100" t="str">
        <f>_xlfn.XLOOKUP(B100,clean_sales!C:C,clean_sales!Q:Q)</f>
        <v>Indranil Vasa</v>
      </c>
      <c r="D100" t="str">
        <f>_xlfn.XLOOKUP(B100,clean_sales!C:C,clean_sales!R:R)</f>
        <v>Kolkata</v>
      </c>
      <c r="E100" t="str">
        <f>_xlfn.XLOOKUP(B100,clean_sales!C:C,clean_sales!S:S)</f>
        <v>West Bengal</v>
      </c>
    </row>
    <row r="101" spans="1:5" x14ac:dyDescent="0.35">
      <c r="A101">
        <f t="shared" si="1"/>
        <v>100</v>
      </c>
      <c r="B101" t="s">
        <v>1887</v>
      </c>
      <c r="C101" t="str">
        <f>_xlfn.XLOOKUP(B101,clean_sales!C:C,clean_sales!Q:Q)</f>
        <v>Advika Bajwa</v>
      </c>
      <c r="D101" t="str">
        <f>_xlfn.XLOOKUP(B101,clean_sales!C:C,clean_sales!R:R)</f>
        <v>Delhi</v>
      </c>
      <c r="E101" t="str">
        <f>_xlfn.XLOOKUP(B101,clean_sales!C:C,clean_sales!S:S)</f>
        <v>Delhi</v>
      </c>
    </row>
    <row r="102" spans="1:5" x14ac:dyDescent="0.35">
      <c r="A102">
        <f t="shared" si="1"/>
        <v>101</v>
      </c>
      <c r="B102" t="s">
        <v>1888</v>
      </c>
      <c r="C102" t="str">
        <f>_xlfn.XLOOKUP(B102,clean_sales!C:C,clean_sales!Q:Q)</f>
        <v>Ivan Kibe</v>
      </c>
      <c r="D102" t="str">
        <f>_xlfn.XLOOKUP(B102,clean_sales!C:C,clean_sales!R:R)</f>
        <v>Mumbai</v>
      </c>
      <c r="E102" t="str">
        <f>_xlfn.XLOOKUP(B102,clean_sales!C:C,clean_sales!S:S)</f>
        <v>Maharashtra</v>
      </c>
    </row>
    <row r="103" spans="1:5" x14ac:dyDescent="0.35">
      <c r="A103">
        <f t="shared" si="1"/>
        <v>102</v>
      </c>
      <c r="B103" t="s">
        <v>1889</v>
      </c>
      <c r="C103" t="str">
        <f>_xlfn.XLOOKUP(B103,clean_sales!C:C,clean_sales!Q:Q)</f>
        <v>Zara Madan</v>
      </c>
      <c r="D103" t="str">
        <f>_xlfn.XLOOKUP(B103,clean_sales!C:C,clean_sales!R:R)</f>
        <v>Pune</v>
      </c>
      <c r="E103" t="str">
        <f>_xlfn.XLOOKUP(B103,clean_sales!C:C,clean_sales!S:S)</f>
        <v>Maharashtra</v>
      </c>
    </row>
    <row r="104" spans="1:5" x14ac:dyDescent="0.35">
      <c r="A104">
        <f t="shared" si="1"/>
        <v>103</v>
      </c>
      <c r="B104" t="s">
        <v>1890</v>
      </c>
      <c r="C104" t="str">
        <f>_xlfn.XLOOKUP(B104,clean_sales!C:C,clean_sales!Q:Q)</f>
        <v>Prerak Wadhwa</v>
      </c>
      <c r="D104" t="str">
        <f>_xlfn.XLOOKUP(B104,clean_sales!C:C,clean_sales!R:R)</f>
        <v>Kolkata</v>
      </c>
      <c r="E104" t="str">
        <f>_xlfn.XLOOKUP(B104,clean_sales!C:C,clean_sales!S:S)</f>
        <v>West Bengal</v>
      </c>
    </row>
    <row r="105" spans="1:5" x14ac:dyDescent="0.35">
      <c r="A105">
        <f t="shared" si="1"/>
        <v>104</v>
      </c>
      <c r="B105" t="s">
        <v>1891</v>
      </c>
      <c r="C105" t="str">
        <f>_xlfn.XLOOKUP(B105,clean_sales!C:C,clean_sales!Q:Q)</f>
        <v>Jivin Karnik</v>
      </c>
      <c r="D105" t="str">
        <f>_xlfn.XLOOKUP(B105,clean_sales!C:C,clean_sales!R:R)</f>
        <v>Hyderabad</v>
      </c>
      <c r="E105" t="str">
        <f>_xlfn.XLOOKUP(B105,clean_sales!C:C,clean_sales!S:S)</f>
        <v>Telangana</v>
      </c>
    </row>
    <row r="106" spans="1:5" x14ac:dyDescent="0.35">
      <c r="A106">
        <f t="shared" si="1"/>
        <v>105</v>
      </c>
      <c r="B106" t="s">
        <v>1892</v>
      </c>
      <c r="C106" t="str">
        <f>_xlfn.XLOOKUP(B106,clean_sales!C:C,clean_sales!Q:Q)</f>
        <v>Hansh Bali</v>
      </c>
      <c r="D106" t="str">
        <f>_xlfn.XLOOKUP(B106,clean_sales!C:C,clean_sales!R:R)</f>
        <v>Pune</v>
      </c>
      <c r="E106" t="str">
        <f>_xlfn.XLOOKUP(B106,clean_sales!C:C,clean_sales!S:S)</f>
        <v>Maharashtra</v>
      </c>
    </row>
    <row r="107" spans="1:5" x14ac:dyDescent="0.35">
      <c r="A107">
        <f t="shared" si="1"/>
        <v>106</v>
      </c>
      <c r="B107" t="s">
        <v>1893</v>
      </c>
      <c r="C107" t="str">
        <f>_xlfn.XLOOKUP(B107,clean_sales!C:C,clean_sales!Q:Q)</f>
        <v>Riaan Gill</v>
      </c>
      <c r="D107" t="str">
        <f>_xlfn.XLOOKUP(B107,clean_sales!C:C,clean_sales!R:R)</f>
        <v>Bengaluru</v>
      </c>
      <c r="E107" t="str">
        <f>_xlfn.XLOOKUP(B107,clean_sales!C:C,clean_sales!S:S)</f>
        <v>Karnataka</v>
      </c>
    </row>
    <row r="108" spans="1:5" x14ac:dyDescent="0.35">
      <c r="A108">
        <f t="shared" si="1"/>
        <v>107</v>
      </c>
      <c r="B108" t="s">
        <v>1894</v>
      </c>
      <c r="C108" t="str">
        <f>_xlfn.XLOOKUP(B108,clean_sales!C:C,clean_sales!Q:Q)</f>
        <v>Dishani Balakrishnan</v>
      </c>
      <c r="D108" t="str">
        <f>_xlfn.XLOOKUP(B108,clean_sales!C:C,clean_sales!R:R)</f>
        <v>Bengaluru</v>
      </c>
      <c r="E108" t="str">
        <f>_xlfn.XLOOKUP(B108,clean_sales!C:C,clean_sales!S:S)</f>
        <v>Karnataka</v>
      </c>
    </row>
    <row r="109" spans="1:5" x14ac:dyDescent="0.35">
      <c r="A109">
        <f t="shared" si="1"/>
        <v>108</v>
      </c>
      <c r="B109" t="s">
        <v>1895</v>
      </c>
      <c r="C109" t="str">
        <f>_xlfn.XLOOKUP(B109,clean_sales!C:C,clean_sales!Q:Q)</f>
        <v>Onkar Korpal</v>
      </c>
      <c r="D109" t="str">
        <f>_xlfn.XLOOKUP(B109,clean_sales!C:C,clean_sales!R:R)</f>
        <v>Chennai</v>
      </c>
      <c r="E109" t="str">
        <f>_xlfn.XLOOKUP(B109,clean_sales!C:C,clean_sales!S:S)</f>
        <v>Tamil Nadu</v>
      </c>
    </row>
    <row r="110" spans="1:5" x14ac:dyDescent="0.35">
      <c r="A110">
        <f t="shared" si="1"/>
        <v>109</v>
      </c>
      <c r="B110" t="s">
        <v>1896</v>
      </c>
      <c r="C110" t="str">
        <f>_xlfn.XLOOKUP(B110,clean_sales!C:C,clean_sales!Q:Q)</f>
        <v>Himmat Buch</v>
      </c>
      <c r="D110" t="str">
        <f>_xlfn.XLOOKUP(B110,clean_sales!C:C,clean_sales!R:R)</f>
        <v>Chennai</v>
      </c>
      <c r="E110" t="str">
        <f>_xlfn.XLOOKUP(B110,clean_sales!C:C,clean_sales!S:S)</f>
        <v>Tamil Nadu</v>
      </c>
    </row>
    <row r="111" spans="1:5" x14ac:dyDescent="0.35">
      <c r="A111">
        <f t="shared" si="1"/>
        <v>110</v>
      </c>
      <c r="B111" t="s">
        <v>1897</v>
      </c>
      <c r="C111" t="str">
        <f>_xlfn.XLOOKUP(B111,clean_sales!C:C,clean_sales!Q:Q)</f>
        <v>Damini Mammen</v>
      </c>
      <c r="D111" t="str">
        <f>_xlfn.XLOOKUP(B111,clean_sales!C:C,clean_sales!R:R)</f>
        <v>Hyderabad</v>
      </c>
      <c r="E111" t="str">
        <f>_xlfn.XLOOKUP(B111,clean_sales!C:C,clean_sales!S:S)</f>
        <v>Telangana</v>
      </c>
    </row>
    <row r="112" spans="1:5" x14ac:dyDescent="0.35">
      <c r="A112">
        <f t="shared" si="1"/>
        <v>111</v>
      </c>
      <c r="B112" t="s">
        <v>1898</v>
      </c>
      <c r="C112" t="str">
        <f>_xlfn.XLOOKUP(B112,clean_sales!C:C,clean_sales!Q:Q)</f>
        <v>Trisha Bawa</v>
      </c>
      <c r="D112" t="str">
        <f>_xlfn.XLOOKUP(B112,clean_sales!C:C,clean_sales!R:R)</f>
        <v>Chennai</v>
      </c>
      <c r="E112" t="str">
        <f>_xlfn.XLOOKUP(B112,clean_sales!C:C,clean_sales!S:S)</f>
        <v>Tamil Nadu</v>
      </c>
    </row>
    <row r="113" spans="1:5" x14ac:dyDescent="0.35">
      <c r="A113">
        <f t="shared" si="1"/>
        <v>112</v>
      </c>
      <c r="B113" t="s">
        <v>1899</v>
      </c>
      <c r="C113" t="str">
        <f>_xlfn.XLOOKUP(B113,clean_sales!C:C,clean_sales!Q:Q)</f>
        <v>Sumer Thaman</v>
      </c>
      <c r="D113" t="str">
        <f>_xlfn.XLOOKUP(B113,clean_sales!C:C,clean_sales!R:R)</f>
        <v>Bengaluru</v>
      </c>
      <c r="E113" t="str">
        <f>_xlfn.XLOOKUP(B113,clean_sales!C:C,clean_sales!S:S)</f>
        <v>Karnataka</v>
      </c>
    </row>
    <row r="114" spans="1:5" x14ac:dyDescent="0.35">
      <c r="A114">
        <f t="shared" si="1"/>
        <v>113</v>
      </c>
      <c r="B114" t="s">
        <v>1900</v>
      </c>
      <c r="C114" t="str">
        <f>_xlfn.XLOOKUP(B114,clean_sales!C:C,clean_sales!Q:Q)</f>
        <v>Madhav Dugal</v>
      </c>
      <c r="D114" t="str">
        <f>_xlfn.XLOOKUP(B114,clean_sales!C:C,clean_sales!R:R)</f>
        <v>Pune</v>
      </c>
      <c r="E114" t="str">
        <f>_xlfn.XLOOKUP(B114,clean_sales!C:C,clean_sales!S:S)</f>
        <v>Maharashtra</v>
      </c>
    </row>
    <row r="115" spans="1:5" x14ac:dyDescent="0.35">
      <c r="A115">
        <f t="shared" si="1"/>
        <v>114</v>
      </c>
      <c r="B115" t="s">
        <v>1901</v>
      </c>
      <c r="C115" t="str">
        <f>_xlfn.XLOOKUP(B115,clean_sales!C:C,clean_sales!Q:Q)</f>
        <v>Advika Baria</v>
      </c>
      <c r="D115" t="str">
        <f>_xlfn.XLOOKUP(B115,clean_sales!C:C,clean_sales!R:R)</f>
        <v>Bengaluru</v>
      </c>
      <c r="E115" t="str">
        <f>_xlfn.XLOOKUP(B115,clean_sales!C:C,clean_sales!S:S)</f>
        <v>Karnataka</v>
      </c>
    </row>
    <row r="116" spans="1:5" x14ac:dyDescent="0.35">
      <c r="A116">
        <f t="shared" si="1"/>
        <v>115</v>
      </c>
      <c r="B116" t="s">
        <v>1902</v>
      </c>
      <c r="C116" t="str">
        <f>_xlfn.XLOOKUP(B116,clean_sales!C:C,clean_sales!Q:Q)</f>
        <v>Ishita Behl</v>
      </c>
      <c r="D116" t="str">
        <f>_xlfn.XLOOKUP(B116,clean_sales!C:C,clean_sales!R:R)</f>
        <v>Kolkata</v>
      </c>
      <c r="E116" t="str">
        <f>_xlfn.XLOOKUP(B116,clean_sales!C:C,clean_sales!S:S)</f>
        <v>West Bengal</v>
      </c>
    </row>
    <row r="117" spans="1:5" x14ac:dyDescent="0.35">
      <c r="A117">
        <f t="shared" si="1"/>
        <v>116</v>
      </c>
      <c r="B117" t="s">
        <v>1903</v>
      </c>
      <c r="C117" t="str">
        <f>_xlfn.XLOOKUP(B117,clean_sales!C:C,clean_sales!Q:Q)</f>
        <v>Mannat Barad</v>
      </c>
      <c r="D117" t="str">
        <f>_xlfn.XLOOKUP(B117,clean_sales!C:C,clean_sales!R:R)</f>
        <v>Pune</v>
      </c>
      <c r="E117" t="str">
        <f>_xlfn.XLOOKUP(B117,clean_sales!C:C,clean_sales!S:S)</f>
        <v>Maharashtra</v>
      </c>
    </row>
    <row r="118" spans="1:5" x14ac:dyDescent="0.35">
      <c r="A118">
        <f t="shared" si="1"/>
        <v>117</v>
      </c>
      <c r="B118" t="s">
        <v>1904</v>
      </c>
      <c r="C118" t="str">
        <f>_xlfn.XLOOKUP(B118,clean_sales!C:C,clean_sales!Q:Q)</f>
        <v>Aayush Cheema</v>
      </c>
      <c r="D118" t="str">
        <f>_xlfn.XLOOKUP(B118,clean_sales!C:C,clean_sales!R:R)</f>
        <v>Mumbai</v>
      </c>
      <c r="E118" t="str">
        <f>_xlfn.XLOOKUP(B118,clean_sales!C:C,clean_sales!S:S)</f>
        <v>Maharashtra</v>
      </c>
    </row>
    <row r="119" spans="1:5" x14ac:dyDescent="0.35">
      <c r="A119">
        <f t="shared" si="1"/>
        <v>118</v>
      </c>
      <c r="B119" t="s">
        <v>1905</v>
      </c>
      <c r="C119" t="str">
        <f>_xlfn.XLOOKUP(B119,clean_sales!C:C,clean_sales!Q:Q)</f>
        <v>Zeeshan Tata</v>
      </c>
      <c r="D119" t="str">
        <f>_xlfn.XLOOKUP(B119,clean_sales!C:C,clean_sales!R:R)</f>
        <v>Delhi</v>
      </c>
      <c r="E119" t="str">
        <f>_xlfn.XLOOKUP(B119,clean_sales!C:C,clean_sales!S:S)</f>
        <v>Delhi</v>
      </c>
    </row>
    <row r="120" spans="1:5" x14ac:dyDescent="0.35">
      <c r="A120">
        <f t="shared" si="1"/>
        <v>119</v>
      </c>
      <c r="B120" t="s">
        <v>1906</v>
      </c>
      <c r="C120" t="str">
        <f>_xlfn.XLOOKUP(B120,clean_sales!C:C,clean_sales!Q:Q)</f>
        <v>Advika Ganguly</v>
      </c>
      <c r="D120" t="str">
        <f>_xlfn.XLOOKUP(B120,clean_sales!C:C,clean_sales!R:R)</f>
        <v>Bengaluru</v>
      </c>
      <c r="E120" t="str">
        <f>_xlfn.XLOOKUP(B120,clean_sales!C:C,clean_sales!S:S)</f>
        <v>Karnataka</v>
      </c>
    </row>
    <row r="121" spans="1:5" x14ac:dyDescent="0.35">
      <c r="A121">
        <f t="shared" si="1"/>
        <v>120</v>
      </c>
      <c r="B121" t="s">
        <v>1907</v>
      </c>
      <c r="C121" t="str">
        <f>_xlfn.XLOOKUP(B121,clean_sales!C:C,clean_sales!Q:Q)</f>
        <v>Abram Jain</v>
      </c>
      <c r="D121" t="str">
        <f>_xlfn.XLOOKUP(B121,clean_sales!C:C,clean_sales!R:R)</f>
        <v>Chennai</v>
      </c>
      <c r="E121" t="str">
        <f>_xlfn.XLOOKUP(B121,clean_sales!C:C,clean_sales!S:S)</f>
        <v>Tamil Nadu</v>
      </c>
    </row>
    <row r="122" spans="1:5" x14ac:dyDescent="0.35">
      <c r="A122">
        <f t="shared" si="1"/>
        <v>121</v>
      </c>
      <c r="B122" t="s">
        <v>1908</v>
      </c>
      <c r="C122" t="str">
        <f>_xlfn.XLOOKUP(B122,clean_sales!C:C,clean_sales!Q:Q)</f>
        <v>Nayantara Sanghvi</v>
      </c>
      <c r="D122" t="str">
        <f>_xlfn.XLOOKUP(B122,clean_sales!C:C,clean_sales!R:R)</f>
        <v>Hyderabad</v>
      </c>
      <c r="E122" t="str">
        <f>_xlfn.XLOOKUP(B122,clean_sales!C:C,clean_sales!S:S)</f>
        <v>Telangana</v>
      </c>
    </row>
    <row r="123" spans="1:5" x14ac:dyDescent="0.35">
      <c r="A123">
        <f t="shared" si="1"/>
        <v>122</v>
      </c>
      <c r="B123" t="s">
        <v>1909</v>
      </c>
      <c r="C123" t="str">
        <f>_xlfn.XLOOKUP(B123,clean_sales!C:C,clean_sales!Q:Q)</f>
        <v>Tiya Kamdar</v>
      </c>
      <c r="D123" t="str">
        <f>_xlfn.XLOOKUP(B123,clean_sales!C:C,clean_sales!R:R)</f>
        <v>Pune</v>
      </c>
      <c r="E123" t="str">
        <f>_xlfn.XLOOKUP(B123,clean_sales!C:C,clean_sales!S:S)</f>
        <v>Maharashtra</v>
      </c>
    </row>
    <row r="124" spans="1:5" x14ac:dyDescent="0.35">
      <c r="A124">
        <f t="shared" si="1"/>
        <v>123</v>
      </c>
      <c r="B124" t="s">
        <v>1910</v>
      </c>
      <c r="C124" t="str">
        <f>_xlfn.XLOOKUP(B124,clean_sales!C:C,clean_sales!Q:Q)</f>
        <v>Vritika Joshi</v>
      </c>
      <c r="D124" t="str">
        <f>_xlfn.XLOOKUP(B124,clean_sales!C:C,clean_sales!R:R)</f>
        <v>Bengaluru</v>
      </c>
      <c r="E124" t="str">
        <f>_xlfn.XLOOKUP(B124,clean_sales!C:C,clean_sales!S:S)</f>
        <v>Karnataka</v>
      </c>
    </row>
    <row r="125" spans="1:5" x14ac:dyDescent="0.35">
      <c r="A125">
        <f t="shared" si="1"/>
        <v>124</v>
      </c>
      <c r="B125" t="s">
        <v>1911</v>
      </c>
      <c r="C125" t="str">
        <f>_xlfn.XLOOKUP(B125,clean_sales!C:C,clean_sales!Q:Q)</f>
        <v>Krish Dubey</v>
      </c>
      <c r="D125" t="str">
        <f>_xlfn.XLOOKUP(B125,clean_sales!C:C,clean_sales!R:R)</f>
        <v>Chennai</v>
      </c>
      <c r="E125" t="str">
        <f>_xlfn.XLOOKUP(B125,clean_sales!C:C,clean_sales!S:S)</f>
        <v>Tamil Nadu</v>
      </c>
    </row>
    <row r="126" spans="1:5" x14ac:dyDescent="0.35">
      <c r="A126">
        <f t="shared" si="1"/>
        <v>125</v>
      </c>
      <c r="B126" t="s">
        <v>1912</v>
      </c>
      <c r="C126" t="str">
        <f>_xlfn.XLOOKUP(B126,clean_sales!C:C,clean_sales!Q:Q)</f>
        <v>Suhana Chana</v>
      </c>
      <c r="D126" t="str">
        <f>_xlfn.XLOOKUP(B126,clean_sales!C:C,clean_sales!R:R)</f>
        <v>Pune</v>
      </c>
      <c r="E126" t="str">
        <f>_xlfn.XLOOKUP(B126,clean_sales!C:C,clean_sales!S:S)</f>
        <v>Maharashtra</v>
      </c>
    </row>
    <row r="127" spans="1:5" x14ac:dyDescent="0.35">
      <c r="A127">
        <f t="shared" si="1"/>
        <v>126</v>
      </c>
      <c r="B127" t="s">
        <v>1913</v>
      </c>
      <c r="C127" t="str">
        <f>_xlfn.XLOOKUP(B127,clean_sales!C:C,clean_sales!Q:Q)</f>
        <v>Ishaan Mangat</v>
      </c>
      <c r="D127" t="str">
        <f>_xlfn.XLOOKUP(B127,clean_sales!C:C,clean_sales!R:R)</f>
        <v>Delhi</v>
      </c>
      <c r="E127" t="str">
        <f>_xlfn.XLOOKUP(B127,clean_sales!C:C,clean_sales!S:S)</f>
        <v>Delhi</v>
      </c>
    </row>
    <row r="128" spans="1:5" x14ac:dyDescent="0.35">
      <c r="A128">
        <f t="shared" si="1"/>
        <v>127</v>
      </c>
      <c r="B128" t="s">
        <v>1914</v>
      </c>
      <c r="C128" t="str">
        <f>_xlfn.XLOOKUP(B128,clean_sales!C:C,clean_sales!Q:Q)</f>
        <v>Shanaya Deshpande</v>
      </c>
      <c r="D128" t="str">
        <f>_xlfn.XLOOKUP(B128,clean_sales!C:C,clean_sales!R:R)</f>
        <v>Mumbai</v>
      </c>
      <c r="E128" t="str">
        <f>_xlfn.XLOOKUP(B128,clean_sales!C:C,clean_sales!S:S)</f>
        <v>Maharashtra</v>
      </c>
    </row>
    <row r="129" spans="1:5" x14ac:dyDescent="0.35">
      <c r="A129">
        <f t="shared" si="1"/>
        <v>128</v>
      </c>
      <c r="B129" t="s">
        <v>1915</v>
      </c>
      <c r="C129" t="str">
        <f>_xlfn.XLOOKUP(B129,clean_sales!C:C,clean_sales!Q:Q)</f>
        <v>Charvi Soni</v>
      </c>
      <c r="D129" t="str">
        <f>_xlfn.XLOOKUP(B129,clean_sales!C:C,clean_sales!R:R)</f>
        <v>Chennai</v>
      </c>
      <c r="E129" t="str">
        <f>_xlfn.XLOOKUP(B129,clean_sales!C:C,clean_sales!S:S)</f>
        <v>Tamil Nadu</v>
      </c>
    </row>
    <row r="130" spans="1:5" x14ac:dyDescent="0.35">
      <c r="A130">
        <f t="shared" si="1"/>
        <v>129</v>
      </c>
      <c r="B130" t="s">
        <v>1916</v>
      </c>
      <c r="C130" t="str">
        <f>_xlfn.XLOOKUP(B130,clean_sales!C:C,clean_sales!Q:Q)</f>
        <v>Dhanuk Chandra</v>
      </c>
      <c r="D130" t="str">
        <f>_xlfn.XLOOKUP(B130,clean_sales!C:C,clean_sales!R:R)</f>
        <v>Hyderabad</v>
      </c>
      <c r="E130" t="str">
        <f>_xlfn.XLOOKUP(B130,clean_sales!C:C,clean_sales!S:S)</f>
        <v>Telangana</v>
      </c>
    </row>
    <row r="131" spans="1:5" x14ac:dyDescent="0.35">
      <c r="A131">
        <f t="shared" ref="A131:A194" si="2">ROW()-1</f>
        <v>130</v>
      </c>
      <c r="B131" t="s">
        <v>1917</v>
      </c>
      <c r="C131" t="str">
        <f>_xlfn.XLOOKUP(B131,clean_sales!C:C,clean_sales!Q:Q)</f>
        <v>Ivan Rout</v>
      </c>
      <c r="D131" t="str">
        <f>_xlfn.XLOOKUP(B131,clean_sales!C:C,clean_sales!R:R)</f>
        <v>Delhi</v>
      </c>
      <c r="E131" t="str">
        <f>_xlfn.XLOOKUP(B131,clean_sales!C:C,clean_sales!S:S)</f>
        <v>Delhi</v>
      </c>
    </row>
    <row r="132" spans="1:5" x14ac:dyDescent="0.35">
      <c r="A132">
        <f t="shared" si="2"/>
        <v>131</v>
      </c>
      <c r="B132" t="s">
        <v>1918</v>
      </c>
      <c r="C132" t="str">
        <f>_xlfn.XLOOKUP(B132,clean_sales!C:C,clean_sales!Q:Q)</f>
        <v>Dishani Yadav</v>
      </c>
      <c r="D132" t="str">
        <f>_xlfn.XLOOKUP(B132,clean_sales!C:C,clean_sales!R:R)</f>
        <v>Delhi</v>
      </c>
      <c r="E132" t="str">
        <f>_xlfn.XLOOKUP(B132,clean_sales!C:C,clean_sales!S:S)</f>
        <v>Delhi</v>
      </c>
    </row>
    <row r="133" spans="1:5" x14ac:dyDescent="0.35">
      <c r="A133">
        <f t="shared" si="2"/>
        <v>132</v>
      </c>
      <c r="B133" t="s">
        <v>1919</v>
      </c>
      <c r="C133" t="str">
        <f>_xlfn.XLOOKUP(B133,clean_sales!C:C,clean_sales!Q:Q)</f>
        <v>Sara Sane</v>
      </c>
      <c r="D133" t="str">
        <f>_xlfn.XLOOKUP(B133,clean_sales!C:C,clean_sales!R:R)</f>
        <v>Delhi</v>
      </c>
      <c r="E133" t="str">
        <f>_xlfn.XLOOKUP(B133,clean_sales!C:C,clean_sales!S:S)</f>
        <v>Delhi</v>
      </c>
    </row>
    <row r="134" spans="1:5" x14ac:dyDescent="0.35">
      <c r="A134">
        <f t="shared" si="2"/>
        <v>133</v>
      </c>
      <c r="B134" t="s">
        <v>1920</v>
      </c>
      <c r="C134" t="str">
        <f>_xlfn.XLOOKUP(B134,clean_sales!C:C,clean_sales!Q:Q)</f>
        <v>Alisha Sahota</v>
      </c>
      <c r="D134" t="str">
        <f>_xlfn.XLOOKUP(B134,clean_sales!C:C,clean_sales!R:R)</f>
        <v>Bengaluru</v>
      </c>
      <c r="E134" t="str">
        <f>_xlfn.XLOOKUP(B134,clean_sales!C:C,clean_sales!S:S)</f>
        <v>Karnataka</v>
      </c>
    </row>
    <row r="135" spans="1:5" x14ac:dyDescent="0.35">
      <c r="A135">
        <f t="shared" si="2"/>
        <v>134</v>
      </c>
      <c r="B135" t="s">
        <v>1921</v>
      </c>
      <c r="C135" t="str">
        <f>_xlfn.XLOOKUP(B135,clean_sales!C:C,clean_sales!Q:Q)</f>
        <v>Ivan Balay</v>
      </c>
      <c r="D135" t="str">
        <f>_xlfn.XLOOKUP(B135,clean_sales!C:C,clean_sales!R:R)</f>
        <v>Chennai</v>
      </c>
      <c r="E135" t="str">
        <f>_xlfn.XLOOKUP(B135,clean_sales!C:C,clean_sales!S:S)</f>
        <v>Tamil Nadu</v>
      </c>
    </row>
    <row r="136" spans="1:5" x14ac:dyDescent="0.35">
      <c r="A136">
        <f t="shared" si="2"/>
        <v>135</v>
      </c>
      <c r="B136" t="s">
        <v>1922</v>
      </c>
      <c r="C136" t="str">
        <f>_xlfn.XLOOKUP(B136,clean_sales!C:C,clean_sales!Q:Q)</f>
        <v>Divij Mander</v>
      </c>
      <c r="D136" t="str">
        <f>_xlfn.XLOOKUP(B136,clean_sales!C:C,clean_sales!R:R)</f>
        <v>Mumbai</v>
      </c>
      <c r="E136" t="str">
        <f>_xlfn.XLOOKUP(B136,clean_sales!C:C,clean_sales!S:S)</f>
        <v>Maharashtra</v>
      </c>
    </row>
    <row r="137" spans="1:5" x14ac:dyDescent="0.35">
      <c r="A137">
        <f t="shared" si="2"/>
        <v>136</v>
      </c>
      <c r="B137" t="s">
        <v>1923</v>
      </c>
      <c r="C137" t="str">
        <f>_xlfn.XLOOKUP(B137,clean_sales!C:C,clean_sales!Q:Q)</f>
        <v>Mishti Sabharwal</v>
      </c>
      <c r="D137" t="str">
        <f>_xlfn.XLOOKUP(B137,clean_sales!C:C,clean_sales!R:R)</f>
        <v>Kolkata</v>
      </c>
      <c r="E137" t="str">
        <f>_xlfn.XLOOKUP(B137,clean_sales!C:C,clean_sales!S:S)</f>
        <v>West Bengal</v>
      </c>
    </row>
    <row r="138" spans="1:5" x14ac:dyDescent="0.35">
      <c r="A138">
        <f t="shared" si="2"/>
        <v>137</v>
      </c>
      <c r="B138" t="s">
        <v>1924</v>
      </c>
      <c r="C138" t="str">
        <f>_xlfn.XLOOKUP(B138,clean_sales!C:C,clean_sales!Q:Q)</f>
        <v>Mamooty Wadhwa</v>
      </c>
      <c r="D138" t="str">
        <f>_xlfn.XLOOKUP(B138,clean_sales!C:C,clean_sales!R:R)</f>
        <v>Delhi</v>
      </c>
      <c r="E138" t="str">
        <f>_xlfn.XLOOKUP(B138,clean_sales!C:C,clean_sales!S:S)</f>
        <v>Delhi</v>
      </c>
    </row>
    <row r="139" spans="1:5" x14ac:dyDescent="0.35">
      <c r="A139">
        <f t="shared" si="2"/>
        <v>138</v>
      </c>
      <c r="B139" t="s">
        <v>1925</v>
      </c>
      <c r="C139" t="str">
        <f>_xlfn.XLOOKUP(B139,clean_sales!C:C,clean_sales!Q:Q)</f>
        <v>Shray Hora</v>
      </c>
      <c r="D139" t="str">
        <f>_xlfn.XLOOKUP(B139,clean_sales!C:C,clean_sales!R:R)</f>
        <v>Delhi</v>
      </c>
      <c r="E139" t="str">
        <f>_xlfn.XLOOKUP(B139,clean_sales!C:C,clean_sales!S:S)</f>
        <v>Delhi</v>
      </c>
    </row>
    <row r="140" spans="1:5" x14ac:dyDescent="0.35">
      <c r="A140">
        <f t="shared" si="2"/>
        <v>139</v>
      </c>
      <c r="B140" t="s">
        <v>1926</v>
      </c>
      <c r="C140" t="str">
        <f>_xlfn.XLOOKUP(B140,clean_sales!C:C,clean_sales!Q:Q)</f>
        <v>Emir Mangat</v>
      </c>
      <c r="D140" t="str">
        <f>_xlfn.XLOOKUP(B140,clean_sales!C:C,clean_sales!R:R)</f>
        <v>Bengaluru</v>
      </c>
      <c r="E140" t="str">
        <f>_xlfn.XLOOKUP(B140,clean_sales!C:C,clean_sales!S:S)</f>
        <v>Karnataka</v>
      </c>
    </row>
    <row r="141" spans="1:5" x14ac:dyDescent="0.35">
      <c r="A141">
        <f t="shared" si="2"/>
        <v>140</v>
      </c>
      <c r="B141" t="s">
        <v>1927</v>
      </c>
      <c r="C141" t="str">
        <f>_xlfn.XLOOKUP(B141,clean_sales!C:C,clean_sales!Q:Q)</f>
        <v>Sana Jayaraman</v>
      </c>
      <c r="D141" t="str">
        <f>_xlfn.XLOOKUP(B141,clean_sales!C:C,clean_sales!R:R)</f>
        <v>Delhi</v>
      </c>
      <c r="E141" t="str">
        <f>_xlfn.XLOOKUP(B141,clean_sales!C:C,clean_sales!S:S)</f>
        <v>Delhi</v>
      </c>
    </row>
    <row r="142" spans="1:5" x14ac:dyDescent="0.35">
      <c r="A142">
        <f t="shared" si="2"/>
        <v>141</v>
      </c>
      <c r="B142" t="s">
        <v>1928</v>
      </c>
      <c r="C142" t="str">
        <f>_xlfn.XLOOKUP(B142,clean_sales!C:C,clean_sales!Q:Q)</f>
        <v>Farhan Keer</v>
      </c>
      <c r="D142" t="str">
        <f>_xlfn.XLOOKUP(B142,clean_sales!C:C,clean_sales!R:R)</f>
        <v>Pune</v>
      </c>
      <c r="E142" t="str">
        <f>_xlfn.XLOOKUP(B142,clean_sales!C:C,clean_sales!S:S)</f>
        <v>Maharashtra</v>
      </c>
    </row>
    <row r="143" spans="1:5" x14ac:dyDescent="0.35">
      <c r="A143">
        <f t="shared" si="2"/>
        <v>142</v>
      </c>
      <c r="B143" t="s">
        <v>1929</v>
      </c>
      <c r="C143" t="str">
        <f>_xlfn.XLOOKUP(B143,clean_sales!C:C,clean_sales!Q:Q)</f>
        <v>Lakshay Rastogi</v>
      </c>
      <c r="D143" t="str">
        <f>_xlfn.XLOOKUP(B143,clean_sales!C:C,clean_sales!R:R)</f>
        <v>Pune</v>
      </c>
      <c r="E143" t="str">
        <f>_xlfn.XLOOKUP(B143,clean_sales!C:C,clean_sales!S:S)</f>
        <v>Maharashtra</v>
      </c>
    </row>
    <row r="144" spans="1:5" x14ac:dyDescent="0.35">
      <c r="A144">
        <f t="shared" si="2"/>
        <v>143</v>
      </c>
      <c r="B144" t="s">
        <v>1930</v>
      </c>
      <c r="C144" t="str">
        <f>_xlfn.XLOOKUP(B144,clean_sales!C:C,clean_sales!Q:Q)</f>
        <v>Riaan Loyal</v>
      </c>
      <c r="D144" t="str">
        <f>_xlfn.XLOOKUP(B144,clean_sales!C:C,clean_sales!R:R)</f>
        <v>Chennai</v>
      </c>
      <c r="E144" t="str">
        <f>_xlfn.XLOOKUP(B144,clean_sales!C:C,clean_sales!S:S)</f>
        <v>Tamil Nadu</v>
      </c>
    </row>
    <row r="145" spans="1:5" x14ac:dyDescent="0.35">
      <c r="A145">
        <f t="shared" si="2"/>
        <v>144</v>
      </c>
      <c r="B145" t="s">
        <v>1931</v>
      </c>
      <c r="C145" t="str">
        <f>_xlfn.XLOOKUP(B145,clean_sales!C:C,clean_sales!Q:Q)</f>
        <v>Sahil Baria</v>
      </c>
      <c r="D145" t="str">
        <f>_xlfn.XLOOKUP(B145,clean_sales!C:C,clean_sales!R:R)</f>
        <v>Mumbai</v>
      </c>
      <c r="E145" t="str">
        <f>_xlfn.XLOOKUP(B145,clean_sales!C:C,clean_sales!S:S)</f>
        <v>Maharashtra</v>
      </c>
    </row>
    <row r="146" spans="1:5" x14ac:dyDescent="0.35">
      <c r="A146">
        <f t="shared" si="2"/>
        <v>145</v>
      </c>
      <c r="B146" t="s">
        <v>1932</v>
      </c>
      <c r="C146" t="str">
        <f>_xlfn.XLOOKUP(B146,clean_sales!C:C,clean_sales!Q:Q)</f>
        <v>Oorja Upadhyay</v>
      </c>
      <c r="D146" t="str">
        <f>_xlfn.XLOOKUP(B146,clean_sales!C:C,clean_sales!R:R)</f>
        <v>Bengaluru</v>
      </c>
      <c r="E146" t="str">
        <f>_xlfn.XLOOKUP(B146,clean_sales!C:C,clean_sales!S:S)</f>
        <v>Karnataka</v>
      </c>
    </row>
    <row r="147" spans="1:5" x14ac:dyDescent="0.35">
      <c r="A147">
        <f t="shared" si="2"/>
        <v>146</v>
      </c>
      <c r="B147" t="s">
        <v>1933</v>
      </c>
      <c r="C147" t="str">
        <f>_xlfn.XLOOKUP(B147,clean_sales!C:C,clean_sales!Q:Q)</f>
        <v>Advika Kala</v>
      </c>
      <c r="D147" t="str">
        <f>_xlfn.XLOOKUP(B147,clean_sales!C:C,clean_sales!R:R)</f>
        <v>Hyderabad</v>
      </c>
      <c r="E147" t="str">
        <f>_xlfn.XLOOKUP(B147,clean_sales!C:C,clean_sales!S:S)</f>
        <v>Telangana</v>
      </c>
    </row>
    <row r="148" spans="1:5" x14ac:dyDescent="0.35">
      <c r="A148">
        <f t="shared" si="2"/>
        <v>147</v>
      </c>
      <c r="B148" t="s">
        <v>1934</v>
      </c>
      <c r="C148" t="str">
        <f>_xlfn.XLOOKUP(B148,clean_sales!C:C,clean_sales!Q:Q)</f>
        <v>Kanav Upadhyay</v>
      </c>
      <c r="D148" t="str">
        <f>_xlfn.XLOOKUP(B148,clean_sales!C:C,clean_sales!R:R)</f>
        <v>Chennai</v>
      </c>
      <c r="E148" t="str">
        <f>_xlfn.XLOOKUP(B148,clean_sales!C:C,clean_sales!S:S)</f>
        <v>Tamil Nadu</v>
      </c>
    </row>
    <row r="149" spans="1:5" x14ac:dyDescent="0.35">
      <c r="A149">
        <f t="shared" si="2"/>
        <v>148</v>
      </c>
      <c r="B149" t="s">
        <v>1935</v>
      </c>
      <c r="C149" t="str">
        <f>_xlfn.XLOOKUP(B149,clean_sales!C:C,clean_sales!Q:Q)</f>
        <v>Shamik Kapadia</v>
      </c>
      <c r="D149" t="str">
        <f>_xlfn.XLOOKUP(B149,clean_sales!C:C,clean_sales!R:R)</f>
        <v>Bengaluru</v>
      </c>
      <c r="E149" t="str">
        <f>_xlfn.XLOOKUP(B149,clean_sales!C:C,clean_sales!S:S)</f>
        <v>Karnataka</v>
      </c>
    </row>
    <row r="150" spans="1:5" x14ac:dyDescent="0.35">
      <c r="A150">
        <f t="shared" si="2"/>
        <v>149</v>
      </c>
      <c r="B150" t="s">
        <v>1936</v>
      </c>
      <c r="C150" t="str">
        <f>_xlfn.XLOOKUP(B150,clean_sales!C:C,clean_sales!Q:Q)</f>
        <v>Seher Bansal</v>
      </c>
      <c r="D150" t="str">
        <f>_xlfn.XLOOKUP(B150,clean_sales!C:C,clean_sales!R:R)</f>
        <v>Mumbai</v>
      </c>
      <c r="E150" t="str">
        <f>_xlfn.XLOOKUP(B150,clean_sales!C:C,clean_sales!S:S)</f>
        <v>Maharashtra</v>
      </c>
    </row>
    <row r="151" spans="1:5" x14ac:dyDescent="0.35">
      <c r="A151">
        <f t="shared" si="2"/>
        <v>150</v>
      </c>
      <c r="B151" t="s">
        <v>1937</v>
      </c>
      <c r="C151" t="str">
        <f>_xlfn.XLOOKUP(B151,clean_sales!C:C,clean_sales!Q:Q)</f>
        <v>Abram Suresh</v>
      </c>
      <c r="D151" t="str">
        <f>_xlfn.XLOOKUP(B151,clean_sales!C:C,clean_sales!R:R)</f>
        <v>Bengaluru</v>
      </c>
      <c r="E151" t="str">
        <f>_xlfn.XLOOKUP(B151,clean_sales!C:C,clean_sales!S:S)</f>
        <v>Karnataka</v>
      </c>
    </row>
    <row r="152" spans="1:5" x14ac:dyDescent="0.35">
      <c r="A152">
        <f t="shared" si="2"/>
        <v>151</v>
      </c>
      <c r="B152" t="s">
        <v>1938</v>
      </c>
      <c r="C152" t="str">
        <f>_xlfn.XLOOKUP(B152,clean_sales!C:C,clean_sales!Q:Q)</f>
        <v>Anahita Bhatnagar</v>
      </c>
      <c r="D152" t="str">
        <f>_xlfn.XLOOKUP(B152,clean_sales!C:C,clean_sales!R:R)</f>
        <v>Kolkata</v>
      </c>
      <c r="E152" t="str">
        <f>_xlfn.XLOOKUP(B152,clean_sales!C:C,clean_sales!S:S)</f>
        <v>West Bengal</v>
      </c>
    </row>
    <row r="153" spans="1:5" x14ac:dyDescent="0.35">
      <c r="A153">
        <f t="shared" si="2"/>
        <v>152</v>
      </c>
      <c r="B153" t="s">
        <v>1939</v>
      </c>
      <c r="C153" t="str">
        <f>_xlfn.XLOOKUP(B153,clean_sales!C:C,clean_sales!Q:Q)</f>
        <v>Zeeshan Wali</v>
      </c>
      <c r="D153" t="str">
        <f>_xlfn.XLOOKUP(B153,clean_sales!C:C,clean_sales!R:R)</f>
        <v>Chennai</v>
      </c>
      <c r="E153" t="str">
        <f>_xlfn.XLOOKUP(B153,clean_sales!C:C,clean_sales!S:S)</f>
        <v>Tamil Nadu</v>
      </c>
    </row>
    <row r="154" spans="1:5" x14ac:dyDescent="0.35">
      <c r="A154">
        <f t="shared" si="2"/>
        <v>153</v>
      </c>
      <c r="B154" t="s">
        <v>1940</v>
      </c>
      <c r="C154" t="str">
        <f>_xlfn.XLOOKUP(B154,clean_sales!C:C,clean_sales!Q:Q)</f>
        <v>Mohanlal Sankar</v>
      </c>
      <c r="D154" t="str">
        <f>_xlfn.XLOOKUP(B154,clean_sales!C:C,clean_sales!R:R)</f>
        <v>Pune</v>
      </c>
      <c r="E154" t="str">
        <f>_xlfn.XLOOKUP(B154,clean_sales!C:C,clean_sales!S:S)</f>
        <v>Maharashtra</v>
      </c>
    </row>
    <row r="155" spans="1:5" x14ac:dyDescent="0.35">
      <c r="A155">
        <f t="shared" si="2"/>
        <v>154</v>
      </c>
      <c r="B155" t="s">
        <v>1941</v>
      </c>
      <c r="C155" t="str">
        <f>_xlfn.XLOOKUP(B155,clean_sales!C:C,clean_sales!Q:Q)</f>
        <v>Vaibhav Dada</v>
      </c>
      <c r="D155" t="str">
        <f>_xlfn.XLOOKUP(B155,clean_sales!C:C,clean_sales!R:R)</f>
        <v>Chennai</v>
      </c>
      <c r="E155" t="str">
        <f>_xlfn.XLOOKUP(B155,clean_sales!C:C,clean_sales!S:S)</f>
        <v>Tamil Nadu</v>
      </c>
    </row>
    <row r="156" spans="1:5" x14ac:dyDescent="0.35">
      <c r="A156">
        <f t="shared" si="2"/>
        <v>155</v>
      </c>
      <c r="B156" t="s">
        <v>1942</v>
      </c>
      <c r="C156" t="str">
        <f>_xlfn.XLOOKUP(B156,clean_sales!C:C,clean_sales!Q:Q)</f>
        <v>Dhruv Datta</v>
      </c>
      <c r="D156" t="str">
        <f>_xlfn.XLOOKUP(B156,clean_sales!C:C,clean_sales!R:R)</f>
        <v>Pune</v>
      </c>
      <c r="E156" t="str">
        <f>_xlfn.XLOOKUP(B156,clean_sales!C:C,clean_sales!S:S)</f>
        <v>Maharashtra</v>
      </c>
    </row>
    <row r="157" spans="1:5" x14ac:dyDescent="0.35">
      <c r="A157">
        <f t="shared" si="2"/>
        <v>156</v>
      </c>
      <c r="B157" t="s">
        <v>1943</v>
      </c>
      <c r="C157" t="str">
        <f>_xlfn.XLOOKUP(B157,clean_sales!C:C,clean_sales!Q:Q)</f>
        <v>Ahana Sethi</v>
      </c>
      <c r="D157" t="str">
        <f>_xlfn.XLOOKUP(B157,clean_sales!C:C,clean_sales!R:R)</f>
        <v>Mumbai</v>
      </c>
      <c r="E157" t="str">
        <f>_xlfn.XLOOKUP(B157,clean_sales!C:C,clean_sales!S:S)</f>
        <v>Maharashtra</v>
      </c>
    </row>
    <row r="158" spans="1:5" x14ac:dyDescent="0.35">
      <c r="A158">
        <f t="shared" si="2"/>
        <v>157</v>
      </c>
      <c r="B158" t="s">
        <v>1944</v>
      </c>
      <c r="C158" t="str">
        <f>_xlfn.XLOOKUP(B158,clean_sales!C:C,clean_sales!Q:Q)</f>
        <v>Amira Kota</v>
      </c>
      <c r="D158" t="str">
        <f>_xlfn.XLOOKUP(B158,clean_sales!C:C,clean_sales!R:R)</f>
        <v>Pune</v>
      </c>
      <c r="E158" t="str">
        <f>_xlfn.XLOOKUP(B158,clean_sales!C:C,clean_sales!S:S)</f>
        <v>Maharashtra</v>
      </c>
    </row>
    <row r="159" spans="1:5" x14ac:dyDescent="0.35">
      <c r="A159">
        <f t="shared" si="2"/>
        <v>158</v>
      </c>
      <c r="B159" t="s">
        <v>1945</v>
      </c>
      <c r="C159" t="str">
        <f>_xlfn.XLOOKUP(B159,clean_sales!C:C,clean_sales!Q:Q)</f>
        <v>Prisha Dani</v>
      </c>
      <c r="D159" t="str">
        <f>_xlfn.XLOOKUP(B159,clean_sales!C:C,clean_sales!R:R)</f>
        <v>Chennai</v>
      </c>
      <c r="E159" t="str">
        <f>_xlfn.XLOOKUP(B159,clean_sales!C:C,clean_sales!S:S)</f>
        <v>Tamil Nadu</v>
      </c>
    </row>
    <row r="160" spans="1:5" x14ac:dyDescent="0.35">
      <c r="A160">
        <f t="shared" si="2"/>
        <v>159</v>
      </c>
      <c r="B160" t="s">
        <v>1946</v>
      </c>
      <c r="C160" t="str">
        <f>_xlfn.XLOOKUP(B160,clean_sales!C:C,clean_sales!Q:Q)</f>
        <v>Ahana Talwar</v>
      </c>
      <c r="D160" t="str">
        <f>_xlfn.XLOOKUP(B160,clean_sales!C:C,clean_sales!R:R)</f>
        <v>Pune</v>
      </c>
      <c r="E160" t="str">
        <f>_xlfn.XLOOKUP(B160,clean_sales!C:C,clean_sales!S:S)</f>
        <v>Maharashtra</v>
      </c>
    </row>
    <row r="161" spans="1:5" x14ac:dyDescent="0.35">
      <c r="A161">
        <f t="shared" si="2"/>
        <v>160</v>
      </c>
      <c r="B161" t="s">
        <v>1947</v>
      </c>
      <c r="C161" t="str">
        <f>_xlfn.XLOOKUP(B161,clean_sales!C:C,clean_sales!Q:Q)</f>
        <v>Himmat Kaur</v>
      </c>
      <c r="D161" t="str">
        <f>_xlfn.XLOOKUP(B161,clean_sales!C:C,clean_sales!R:R)</f>
        <v>Hyderabad</v>
      </c>
      <c r="E161" t="str">
        <f>_xlfn.XLOOKUP(B161,clean_sales!C:C,clean_sales!S:S)</f>
        <v>Telangana</v>
      </c>
    </row>
    <row r="162" spans="1:5" x14ac:dyDescent="0.35">
      <c r="A162">
        <f t="shared" si="2"/>
        <v>161</v>
      </c>
      <c r="B162" t="s">
        <v>1948</v>
      </c>
      <c r="C162" t="str">
        <f>_xlfn.XLOOKUP(B162,clean_sales!C:C,clean_sales!Q:Q)</f>
        <v>Yashvi Tank</v>
      </c>
      <c r="D162" t="str">
        <f>_xlfn.XLOOKUP(B162,clean_sales!C:C,clean_sales!R:R)</f>
        <v>Delhi</v>
      </c>
      <c r="E162" t="str">
        <f>_xlfn.XLOOKUP(B162,clean_sales!C:C,clean_sales!S:S)</f>
        <v>Delhi</v>
      </c>
    </row>
    <row r="163" spans="1:5" x14ac:dyDescent="0.35">
      <c r="A163">
        <f t="shared" si="2"/>
        <v>162</v>
      </c>
      <c r="B163" t="s">
        <v>1949</v>
      </c>
      <c r="C163" t="str">
        <f>_xlfn.XLOOKUP(B163,clean_sales!C:C,clean_sales!Q:Q)</f>
        <v>Amira Kara</v>
      </c>
      <c r="D163" t="str">
        <f>_xlfn.XLOOKUP(B163,clean_sales!C:C,clean_sales!R:R)</f>
        <v>Chennai</v>
      </c>
      <c r="E163" t="str">
        <f>_xlfn.XLOOKUP(B163,clean_sales!C:C,clean_sales!S:S)</f>
        <v>Tamil Nadu</v>
      </c>
    </row>
    <row r="164" spans="1:5" x14ac:dyDescent="0.35">
      <c r="A164">
        <f t="shared" si="2"/>
        <v>163</v>
      </c>
      <c r="B164" t="s">
        <v>1950</v>
      </c>
      <c r="C164" t="str">
        <f>_xlfn.XLOOKUP(B164,clean_sales!C:C,clean_sales!Q:Q)</f>
        <v>Trisha Gandhi</v>
      </c>
      <c r="D164" t="str">
        <f>_xlfn.XLOOKUP(B164,clean_sales!C:C,clean_sales!R:R)</f>
        <v>Pune</v>
      </c>
      <c r="E164" t="str">
        <f>_xlfn.XLOOKUP(B164,clean_sales!C:C,clean_sales!S:S)</f>
        <v>Maharashtra</v>
      </c>
    </row>
    <row r="165" spans="1:5" x14ac:dyDescent="0.35">
      <c r="A165">
        <f t="shared" si="2"/>
        <v>164</v>
      </c>
      <c r="B165" t="s">
        <v>1951</v>
      </c>
      <c r="C165" t="str">
        <f>_xlfn.XLOOKUP(B165,clean_sales!C:C,clean_sales!Q:Q)</f>
        <v>Tara Dhingra</v>
      </c>
      <c r="D165" t="str">
        <f>_xlfn.XLOOKUP(B165,clean_sales!C:C,clean_sales!R:R)</f>
        <v>Hyderabad</v>
      </c>
      <c r="E165" t="str">
        <f>_xlfn.XLOOKUP(B165,clean_sales!C:C,clean_sales!S:S)</f>
        <v>Telangana</v>
      </c>
    </row>
    <row r="166" spans="1:5" x14ac:dyDescent="0.35">
      <c r="A166">
        <f t="shared" si="2"/>
        <v>165</v>
      </c>
      <c r="B166" t="s">
        <v>1952</v>
      </c>
      <c r="C166" t="str">
        <f>_xlfn.XLOOKUP(B166,clean_sales!C:C,clean_sales!Q:Q)</f>
        <v>Anahita Bhalla</v>
      </c>
      <c r="D166" t="str">
        <f>_xlfn.XLOOKUP(B166,clean_sales!C:C,clean_sales!R:R)</f>
        <v>Pune</v>
      </c>
      <c r="E166" t="str">
        <f>_xlfn.XLOOKUP(B166,clean_sales!C:C,clean_sales!S:S)</f>
        <v>Maharashtra</v>
      </c>
    </row>
    <row r="167" spans="1:5" x14ac:dyDescent="0.35">
      <c r="A167">
        <f t="shared" si="2"/>
        <v>166</v>
      </c>
      <c r="B167" t="s">
        <v>1953</v>
      </c>
      <c r="C167" t="str">
        <f>_xlfn.XLOOKUP(B167,clean_sales!C:C,clean_sales!Q:Q)</f>
        <v>Hunar Bahl</v>
      </c>
      <c r="D167" t="str">
        <f>_xlfn.XLOOKUP(B167,clean_sales!C:C,clean_sales!R:R)</f>
        <v>Chennai</v>
      </c>
      <c r="E167" t="str">
        <f>_xlfn.XLOOKUP(B167,clean_sales!C:C,clean_sales!S:S)</f>
        <v>Tamil Nadu</v>
      </c>
    </row>
    <row r="168" spans="1:5" x14ac:dyDescent="0.35">
      <c r="A168">
        <f t="shared" si="2"/>
        <v>167</v>
      </c>
      <c r="B168" t="s">
        <v>1954</v>
      </c>
      <c r="C168" t="str">
        <f>_xlfn.XLOOKUP(B168,clean_sales!C:C,clean_sales!Q:Q)</f>
        <v>Lavanya Trivedi</v>
      </c>
      <c r="D168" t="str">
        <f>_xlfn.XLOOKUP(B168,clean_sales!C:C,clean_sales!R:R)</f>
        <v>Chennai</v>
      </c>
      <c r="E168" t="str">
        <f>_xlfn.XLOOKUP(B168,clean_sales!C:C,clean_sales!S:S)</f>
        <v>Tamil Nadu</v>
      </c>
    </row>
    <row r="169" spans="1:5" x14ac:dyDescent="0.35">
      <c r="A169">
        <f t="shared" si="2"/>
        <v>168</v>
      </c>
      <c r="B169" t="s">
        <v>1955</v>
      </c>
      <c r="C169" t="str">
        <f>_xlfn.XLOOKUP(B169,clean_sales!C:C,clean_sales!Q:Q)</f>
        <v>Hunar Chaudhry</v>
      </c>
      <c r="D169" t="str">
        <f>_xlfn.XLOOKUP(B169,clean_sales!C:C,clean_sales!R:R)</f>
        <v>Kolkata</v>
      </c>
      <c r="E169" t="str">
        <f>_xlfn.XLOOKUP(B169,clean_sales!C:C,clean_sales!S:S)</f>
        <v>West Bengal</v>
      </c>
    </row>
    <row r="170" spans="1:5" x14ac:dyDescent="0.35">
      <c r="A170">
        <f t="shared" si="2"/>
        <v>169</v>
      </c>
      <c r="B170" t="s">
        <v>1956</v>
      </c>
      <c r="C170" t="str">
        <f>_xlfn.XLOOKUP(B170,clean_sales!C:C,clean_sales!Q:Q)</f>
        <v>Jayan Varkey</v>
      </c>
      <c r="D170" t="str">
        <f>_xlfn.XLOOKUP(B170,clean_sales!C:C,clean_sales!R:R)</f>
        <v>Hyderabad</v>
      </c>
      <c r="E170" t="str">
        <f>_xlfn.XLOOKUP(B170,clean_sales!C:C,clean_sales!S:S)</f>
        <v>Telangana</v>
      </c>
    </row>
    <row r="171" spans="1:5" x14ac:dyDescent="0.35">
      <c r="A171">
        <f t="shared" si="2"/>
        <v>170</v>
      </c>
      <c r="B171" t="s">
        <v>1957</v>
      </c>
      <c r="C171" t="str">
        <f>_xlfn.XLOOKUP(B171,clean_sales!C:C,clean_sales!Q:Q)</f>
        <v>Inaaya Sabharwal</v>
      </c>
      <c r="D171" t="str">
        <f>_xlfn.XLOOKUP(B171,clean_sales!C:C,clean_sales!R:R)</f>
        <v>Kolkata</v>
      </c>
      <c r="E171" t="str">
        <f>_xlfn.XLOOKUP(B171,clean_sales!C:C,clean_sales!S:S)</f>
        <v>West Bengal</v>
      </c>
    </row>
    <row r="172" spans="1:5" x14ac:dyDescent="0.35">
      <c r="A172">
        <f t="shared" si="2"/>
        <v>171</v>
      </c>
      <c r="B172" t="s">
        <v>1958</v>
      </c>
      <c r="C172" t="str">
        <f>_xlfn.XLOOKUP(B172,clean_sales!C:C,clean_sales!Q:Q)</f>
        <v>Hridaan Dewan</v>
      </c>
      <c r="D172" t="str">
        <f>_xlfn.XLOOKUP(B172,clean_sales!C:C,clean_sales!R:R)</f>
        <v>Delhi</v>
      </c>
      <c r="E172" t="str">
        <f>_xlfn.XLOOKUP(B172,clean_sales!C:C,clean_sales!S:S)</f>
        <v>Delhi</v>
      </c>
    </row>
    <row r="173" spans="1:5" x14ac:dyDescent="0.35">
      <c r="A173">
        <f t="shared" si="2"/>
        <v>172</v>
      </c>
      <c r="B173" t="s">
        <v>1959</v>
      </c>
      <c r="C173" t="str">
        <f>_xlfn.XLOOKUP(B173,clean_sales!C:C,clean_sales!Q:Q)</f>
        <v>Kavya Konda</v>
      </c>
      <c r="D173" t="str">
        <f>_xlfn.XLOOKUP(B173,clean_sales!C:C,clean_sales!R:R)</f>
        <v>Mumbai</v>
      </c>
      <c r="E173" t="str">
        <f>_xlfn.XLOOKUP(B173,clean_sales!C:C,clean_sales!S:S)</f>
        <v>Maharashtra</v>
      </c>
    </row>
    <row r="174" spans="1:5" x14ac:dyDescent="0.35">
      <c r="A174">
        <f t="shared" si="2"/>
        <v>173</v>
      </c>
      <c r="B174" t="s">
        <v>1960</v>
      </c>
      <c r="C174" t="str">
        <f>_xlfn.XLOOKUP(B174,clean_sales!C:C,clean_sales!Q:Q)</f>
        <v>Ranbir Ray</v>
      </c>
      <c r="D174" t="str">
        <f>_xlfn.XLOOKUP(B174,clean_sales!C:C,clean_sales!R:R)</f>
        <v>Bengaluru</v>
      </c>
      <c r="E174" t="str">
        <f>_xlfn.XLOOKUP(B174,clean_sales!C:C,clean_sales!S:S)</f>
        <v>Karnataka</v>
      </c>
    </row>
    <row r="175" spans="1:5" x14ac:dyDescent="0.35">
      <c r="A175">
        <f t="shared" si="2"/>
        <v>174</v>
      </c>
      <c r="B175" t="s">
        <v>1961</v>
      </c>
      <c r="C175" t="str">
        <f>_xlfn.XLOOKUP(B175,clean_sales!C:C,clean_sales!Q:Q)</f>
        <v>Yuvaan Kunda</v>
      </c>
      <c r="D175" t="str">
        <f>_xlfn.XLOOKUP(B175,clean_sales!C:C,clean_sales!R:R)</f>
        <v>Mumbai</v>
      </c>
      <c r="E175" t="str">
        <f>_xlfn.XLOOKUP(B175,clean_sales!C:C,clean_sales!S:S)</f>
        <v>Maharashtra</v>
      </c>
    </row>
    <row r="176" spans="1:5" x14ac:dyDescent="0.35">
      <c r="A176">
        <f t="shared" si="2"/>
        <v>175</v>
      </c>
      <c r="B176" t="s">
        <v>1962</v>
      </c>
      <c r="C176" t="str">
        <f>_xlfn.XLOOKUP(B176,clean_sales!C:C,clean_sales!Q:Q)</f>
        <v>Alisha Khatri</v>
      </c>
      <c r="D176" t="str">
        <f>_xlfn.XLOOKUP(B176,clean_sales!C:C,clean_sales!R:R)</f>
        <v>Chennai</v>
      </c>
      <c r="E176" t="str">
        <f>_xlfn.XLOOKUP(B176,clean_sales!C:C,clean_sales!S:S)</f>
        <v>Tamil Nadu</v>
      </c>
    </row>
    <row r="177" spans="1:5" x14ac:dyDescent="0.35">
      <c r="A177">
        <f t="shared" si="2"/>
        <v>176</v>
      </c>
      <c r="B177" t="s">
        <v>1963</v>
      </c>
      <c r="C177" t="str">
        <f>_xlfn.XLOOKUP(B177,clean_sales!C:C,clean_sales!Q:Q)</f>
        <v>Suhana Sama</v>
      </c>
      <c r="D177" t="str">
        <f>_xlfn.XLOOKUP(B177,clean_sales!C:C,clean_sales!R:R)</f>
        <v>Delhi</v>
      </c>
      <c r="E177" t="str">
        <f>_xlfn.XLOOKUP(B177,clean_sales!C:C,clean_sales!S:S)</f>
        <v>Delhi</v>
      </c>
    </row>
    <row r="178" spans="1:5" x14ac:dyDescent="0.35">
      <c r="A178">
        <f t="shared" si="2"/>
        <v>177</v>
      </c>
      <c r="B178" t="s">
        <v>1964</v>
      </c>
      <c r="C178" t="str">
        <f>_xlfn.XLOOKUP(B178,clean_sales!C:C,clean_sales!Q:Q)</f>
        <v>Azad Hari</v>
      </c>
      <c r="D178" t="str">
        <f>_xlfn.XLOOKUP(B178,clean_sales!C:C,clean_sales!R:R)</f>
        <v>Pune</v>
      </c>
      <c r="E178" t="str">
        <f>_xlfn.XLOOKUP(B178,clean_sales!C:C,clean_sales!S:S)</f>
        <v>Maharashtra</v>
      </c>
    </row>
    <row r="179" spans="1:5" x14ac:dyDescent="0.35">
      <c r="A179">
        <f t="shared" si="2"/>
        <v>178</v>
      </c>
      <c r="B179" t="s">
        <v>1965</v>
      </c>
      <c r="C179" t="str">
        <f>_xlfn.XLOOKUP(B179,clean_sales!C:C,clean_sales!Q:Q)</f>
        <v>Dhanush Som</v>
      </c>
      <c r="D179" t="str">
        <f>_xlfn.XLOOKUP(B179,clean_sales!C:C,clean_sales!R:R)</f>
        <v>Kolkata</v>
      </c>
      <c r="E179" t="str">
        <f>_xlfn.XLOOKUP(B179,clean_sales!C:C,clean_sales!S:S)</f>
        <v>West Bengal</v>
      </c>
    </row>
    <row r="180" spans="1:5" x14ac:dyDescent="0.35">
      <c r="A180">
        <f t="shared" si="2"/>
        <v>179</v>
      </c>
      <c r="B180" t="s">
        <v>1966</v>
      </c>
      <c r="C180" t="str">
        <f>_xlfn.XLOOKUP(B180,clean_sales!C:C,clean_sales!Q:Q)</f>
        <v>Baiju Kothari</v>
      </c>
      <c r="D180" t="str">
        <f>_xlfn.XLOOKUP(B180,clean_sales!C:C,clean_sales!R:R)</f>
        <v>Hyderabad</v>
      </c>
      <c r="E180" t="str">
        <f>_xlfn.XLOOKUP(B180,clean_sales!C:C,clean_sales!S:S)</f>
        <v>Telangana</v>
      </c>
    </row>
    <row r="181" spans="1:5" x14ac:dyDescent="0.35">
      <c r="A181">
        <f t="shared" si="2"/>
        <v>180</v>
      </c>
      <c r="B181" t="s">
        <v>1967</v>
      </c>
      <c r="C181" t="str">
        <f>_xlfn.XLOOKUP(B181,clean_sales!C:C,clean_sales!Q:Q)</f>
        <v>Jivika Chad</v>
      </c>
      <c r="D181" t="str">
        <f>_xlfn.XLOOKUP(B181,clean_sales!C:C,clean_sales!R:R)</f>
        <v>Hyderabad</v>
      </c>
      <c r="E181" t="str">
        <f>_xlfn.XLOOKUP(B181,clean_sales!C:C,clean_sales!S:S)</f>
        <v>Telangana</v>
      </c>
    </row>
    <row r="182" spans="1:5" x14ac:dyDescent="0.35">
      <c r="A182">
        <f t="shared" si="2"/>
        <v>181</v>
      </c>
      <c r="B182" t="s">
        <v>1968</v>
      </c>
      <c r="C182" t="str">
        <f>_xlfn.XLOOKUP(B182,clean_sales!C:C,clean_sales!Q:Q)</f>
        <v>Rhea Loyal</v>
      </c>
      <c r="D182" t="str">
        <f>_xlfn.XLOOKUP(B182,clean_sales!C:C,clean_sales!R:R)</f>
        <v>Chennai</v>
      </c>
      <c r="E182" t="str">
        <f>_xlfn.XLOOKUP(B182,clean_sales!C:C,clean_sales!S:S)</f>
        <v>Tamil Nadu</v>
      </c>
    </row>
    <row r="183" spans="1:5" x14ac:dyDescent="0.35">
      <c r="A183">
        <f t="shared" si="2"/>
        <v>182</v>
      </c>
      <c r="B183" t="s">
        <v>1969</v>
      </c>
      <c r="C183" t="str">
        <f>_xlfn.XLOOKUP(B183,clean_sales!C:C,clean_sales!Q:Q)</f>
        <v>Advika Bath</v>
      </c>
      <c r="D183" t="str">
        <f>_xlfn.XLOOKUP(B183,clean_sales!C:C,clean_sales!R:R)</f>
        <v>Kolkata</v>
      </c>
      <c r="E183" t="str">
        <f>_xlfn.XLOOKUP(B183,clean_sales!C:C,clean_sales!S:S)</f>
        <v>West Bengal</v>
      </c>
    </row>
    <row r="184" spans="1:5" x14ac:dyDescent="0.35">
      <c r="A184">
        <f t="shared" si="2"/>
        <v>183</v>
      </c>
      <c r="B184" t="s">
        <v>1970</v>
      </c>
      <c r="C184" t="str">
        <f>_xlfn.XLOOKUP(B184,clean_sales!C:C,clean_sales!Q:Q)</f>
        <v>Samar Shukla</v>
      </c>
      <c r="D184" t="str">
        <f>_xlfn.XLOOKUP(B184,clean_sales!C:C,clean_sales!R:R)</f>
        <v>Bengaluru</v>
      </c>
      <c r="E184" t="str">
        <f>_xlfn.XLOOKUP(B184,clean_sales!C:C,clean_sales!S:S)</f>
        <v>Karnataka</v>
      </c>
    </row>
    <row r="185" spans="1:5" x14ac:dyDescent="0.35">
      <c r="A185">
        <f t="shared" si="2"/>
        <v>184</v>
      </c>
      <c r="B185" t="s">
        <v>1971</v>
      </c>
      <c r="C185" t="str">
        <f>_xlfn.XLOOKUP(B185,clean_sales!C:C,clean_sales!Q:Q)</f>
        <v>Nitya Tak</v>
      </c>
      <c r="D185" t="str">
        <f>_xlfn.XLOOKUP(B185,clean_sales!C:C,clean_sales!R:R)</f>
        <v>Mumbai</v>
      </c>
      <c r="E185" t="str">
        <f>_xlfn.XLOOKUP(B185,clean_sales!C:C,clean_sales!S:S)</f>
        <v>Maharashtra</v>
      </c>
    </row>
    <row r="186" spans="1:5" x14ac:dyDescent="0.35">
      <c r="A186">
        <f t="shared" si="2"/>
        <v>185</v>
      </c>
      <c r="B186" t="s">
        <v>1972</v>
      </c>
      <c r="C186" t="str">
        <f>_xlfn.XLOOKUP(B186,clean_sales!C:C,clean_sales!Q:Q)</f>
        <v>Vivaan Gandhi</v>
      </c>
      <c r="D186" t="str">
        <f>_xlfn.XLOOKUP(B186,clean_sales!C:C,clean_sales!R:R)</f>
        <v>Mumbai</v>
      </c>
      <c r="E186" t="str">
        <f>_xlfn.XLOOKUP(B186,clean_sales!C:C,clean_sales!S:S)</f>
        <v>Maharashtra</v>
      </c>
    </row>
    <row r="187" spans="1:5" x14ac:dyDescent="0.35">
      <c r="A187">
        <f t="shared" si="2"/>
        <v>186</v>
      </c>
      <c r="B187" t="s">
        <v>1973</v>
      </c>
      <c r="C187" t="str">
        <f>_xlfn.XLOOKUP(B187,clean_sales!C:C,clean_sales!Q:Q)</f>
        <v>Biju Karan</v>
      </c>
      <c r="D187" t="str">
        <f>_xlfn.XLOOKUP(B187,clean_sales!C:C,clean_sales!R:R)</f>
        <v>Mumbai</v>
      </c>
      <c r="E187" t="str">
        <f>_xlfn.XLOOKUP(B187,clean_sales!C:C,clean_sales!S:S)</f>
        <v>Maharashtra</v>
      </c>
    </row>
    <row r="188" spans="1:5" x14ac:dyDescent="0.35">
      <c r="A188">
        <f t="shared" si="2"/>
        <v>187</v>
      </c>
      <c r="B188" t="s">
        <v>1974</v>
      </c>
      <c r="C188" t="str">
        <f>_xlfn.XLOOKUP(B188,clean_sales!C:C,clean_sales!Q:Q)</f>
        <v>Nishith Gara</v>
      </c>
      <c r="D188" t="str">
        <f>_xlfn.XLOOKUP(B188,clean_sales!C:C,clean_sales!R:R)</f>
        <v>Delhi</v>
      </c>
      <c r="E188" t="str">
        <f>_xlfn.XLOOKUP(B188,clean_sales!C:C,clean_sales!S:S)</f>
        <v>Delhi</v>
      </c>
    </row>
    <row r="189" spans="1:5" x14ac:dyDescent="0.35">
      <c r="A189">
        <f t="shared" si="2"/>
        <v>188</v>
      </c>
      <c r="B189" t="s">
        <v>1975</v>
      </c>
      <c r="C189" t="str">
        <f>_xlfn.XLOOKUP(B189,clean_sales!C:C,clean_sales!Q:Q)</f>
        <v>Advika Rajan</v>
      </c>
      <c r="D189" t="str">
        <f>_xlfn.XLOOKUP(B189,clean_sales!C:C,clean_sales!R:R)</f>
        <v>Mumbai</v>
      </c>
      <c r="E189" t="str">
        <f>_xlfn.XLOOKUP(B189,clean_sales!C:C,clean_sales!S:S)</f>
        <v>Maharashtra</v>
      </c>
    </row>
    <row r="190" spans="1:5" x14ac:dyDescent="0.35">
      <c r="A190">
        <f t="shared" si="2"/>
        <v>189</v>
      </c>
      <c r="B190" t="s">
        <v>1976</v>
      </c>
      <c r="C190" t="str">
        <f>_xlfn.XLOOKUP(B190,clean_sales!C:C,clean_sales!Q:Q)</f>
        <v>Raghav Chanda</v>
      </c>
      <c r="D190" t="str">
        <f>_xlfn.XLOOKUP(B190,clean_sales!C:C,clean_sales!R:R)</f>
        <v>Hyderabad</v>
      </c>
      <c r="E190" t="str">
        <f>_xlfn.XLOOKUP(B190,clean_sales!C:C,clean_sales!S:S)</f>
        <v>Telangana</v>
      </c>
    </row>
    <row r="191" spans="1:5" x14ac:dyDescent="0.35">
      <c r="A191">
        <f t="shared" si="2"/>
        <v>190</v>
      </c>
      <c r="B191" t="s">
        <v>1977</v>
      </c>
      <c r="C191" t="str">
        <f>_xlfn.XLOOKUP(B191,clean_sales!C:C,clean_sales!Q:Q)</f>
        <v>Kanav Varty</v>
      </c>
      <c r="D191" t="str">
        <f>_xlfn.XLOOKUP(B191,clean_sales!C:C,clean_sales!R:R)</f>
        <v>Delhi</v>
      </c>
      <c r="E191" t="str">
        <f>_xlfn.XLOOKUP(B191,clean_sales!C:C,clean_sales!S:S)</f>
        <v>Delhi</v>
      </c>
    </row>
    <row r="192" spans="1:5" x14ac:dyDescent="0.35">
      <c r="A192">
        <f t="shared" si="2"/>
        <v>191</v>
      </c>
      <c r="B192" t="s">
        <v>1978</v>
      </c>
      <c r="C192" t="str">
        <f>_xlfn.XLOOKUP(B192,clean_sales!C:C,clean_sales!Q:Q)</f>
        <v>Yakshit Divan</v>
      </c>
      <c r="D192" t="str">
        <f>_xlfn.XLOOKUP(B192,clean_sales!C:C,clean_sales!R:R)</f>
        <v>Delhi</v>
      </c>
      <c r="E192" t="str">
        <f>_xlfn.XLOOKUP(B192,clean_sales!C:C,clean_sales!S:S)</f>
        <v>Delhi</v>
      </c>
    </row>
    <row r="193" spans="1:5" x14ac:dyDescent="0.35">
      <c r="A193">
        <f t="shared" si="2"/>
        <v>192</v>
      </c>
      <c r="B193" t="s">
        <v>1979</v>
      </c>
      <c r="C193" t="str">
        <f>_xlfn.XLOOKUP(B193,clean_sales!C:C,clean_sales!Q:Q)</f>
        <v>Vaibhav Sarna</v>
      </c>
      <c r="D193" t="str">
        <f>_xlfn.XLOOKUP(B193,clean_sales!C:C,clean_sales!R:R)</f>
        <v>Kolkata</v>
      </c>
      <c r="E193" t="str">
        <f>_xlfn.XLOOKUP(B193,clean_sales!C:C,clean_sales!S:S)</f>
        <v>West Bengal</v>
      </c>
    </row>
    <row r="194" spans="1:5" x14ac:dyDescent="0.35">
      <c r="A194">
        <f t="shared" si="2"/>
        <v>193</v>
      </c>
      <c r="B194" t="s">
        <v>1980</v>
      </c>
      <c r="C194" t="str">
        <f>_xlfn.XLOOKUP(B194,clean_sales!C:C,clean_sales!Q:Q)</f>
        <v>Jhanvi Dewan</v>
      </c>
      <c r="D194" t="str">
        <f>_xlfn.XLOOKUP(B194,clean_sales!C:C,clean_sales!R:R)</f>
        <v>Pune</v>
      </c>
      <c r="E194" t="str">
        <f>_xlfn.XLOOKUP(B194,clean_sales!C:C,clean_sales!S:S)</f>
        <v>Maharashtra</v>
      </c>
    </row>
    <row r="195" spans="1:5" x14ac:dyDescent="0.35">
      <c r="A195">
        <f t="shared" ref="A195:A258" si="3">ROW()-1</f>
        <v>194</v>
      </c>
      <c r="B195" t="s">
        <v>1981</v>
      </c>
      <c r="C195" t="str">
        <f>_xlfn.XLOOKUP(B195,clean_sales!C:C,clean_sales!Q:Q)</f>
        <v>Anay Dass</v>
      </c>
      <c r="D195" t="str">
        <f>_xlfn.XLOOKUP(B195,clean_sales!C:C,clean_sales!R:R)</f>
        <v>Kolkata</v>
      </c>
      <c r="E195" t="str">
        <f>_xlfn.XLOOKUP(B195,clean_sales!C:C,clean_sales!S:S)</f>
        <v>West Bengal</v>
      </c>
    </row>
    <row r="196" spans="1:5" x14ac:dyDescent="0.35">
      <c r="A196">
        <f t="shared" si="3"/>
        <v>195</v>
      </c>
      <c r="B196" t="s">
        <v>1982</v>
      </c>
      <c r="C196" t="str">
        <f>_xlfn.XLOOKUP(B196,clean_sales!C:C,clean_sales!Q:Q)</f>
        <v>Aarush Bora</v>
      </c>
      <c r="D196" t="str">
        <f>_xlfn.XLOOKUP(B196,clean_sales!C:C,clean_sales!R:R)</f>
        <v>Pune</v>
      </c>
      <c r="E196" t="str">
        <f>_xlfn.XLOOKUP(B196,clean_sales!C:C,clean_sales!S:S)</f>
        <v>Maharashtra</v>
      </c>
    </row>
    <row r="197" spans="1:5" x14ac:dyDescent="0.35">
      <c r="A197">
        <f t="shared" si="3"/>
        <v>196</v>
      </c>
      <c r="B197" t="s">
        <v>1983</v>
      </c>
      <c r="C197" t="str">
        <f>_xlfn.XLOOKUP(B197,clean_sales!C:C,clean_sales!Q:Q)</f>
        <v>Advik Dyal</v>
      </c>
      <c r="D197" t="str">
        <f>_xlfn.XLOOKUP(B197,clean_sales!C:C,clean_sales!R:R)</f>
        <v>Kolkata</v>
      </c>
      <c r="E197" t="str">
        <f>_xlfn.XLOOKUP(B197,clean_sales!C:C,clean_sales!S:S)</f>
        <v>West Bengal</v>
      </c>
    </row>
    <row r="198" spans="1:5" x14ac:dyDescent="0.35">
      <c r="A198">
        <f t="shared" si="3"/>
        <v>197</v>
      </c>
      <c r="B198" t="s">
        <v>1984</v>
      </c>
      <c r="C198" t="str">
        <f>_xlfn.XLOOKUP(B198,clean_sales!C:C,clean_sales!Q:Q)</f>
        <v>Lagan Behl</v>
      </c>
      <c r="D198" t="str">
        <f>_xlfn.XLOOKUP(B198,clean_sales!C:C,clean_sales!R:R)</f>
        <v>Hyderabad</v>
      </c>
      <c r="E198" t="str">
        <f>_xlfn.XLOOKUP(B198,clean_sales!C:C,clean_sales!S:S)</f>
        <v>Telangana</v>
      </c>
    </row>
    <row r="199" spans="1:5" x14ac:dyDescent="0.35">
      <c r="A199">
        <f t="shared" si="3"/>
        <v>198</v>
      </c>
      <c r="B199" t="s">
        <v>1985</v>
      </c>
      <c r="C199" t="str">
        <f>_xlfn.XLOOKUP(B199,clean_sales!C:C,clean_sales!Q:Q)</f>
        <v>Alisha Malhotra</v>
      </c>
      <c r="D199" t="str">
        <f>_xlfn.XLOOKUP(B199,clean_sales!C:C,clean_sales!R:R)</f>
        <v>Kolkata</v>
      </c>
      <c r="E199" t="str">
        <f>_xlfn.XLOOKUP(B199,clean_sales!C:C,clean_sales!S:S)</f>
        <v>West Bengal</v>
      </c>
    </row>
    <row r="200" spans="1:5" x14ac:dyDescent="0.35">
      <c r="A200">
        <f t="shared" si="3"/>
        <v>199</v>
      </c>
      <c r="B200" t="s">
        <v>1986</v>
      </c>
      <c r="C200" t="str">
        <f>_xlfn.XLOOKUP(B200,clean_sales!C:C,clean_sales!Q:Q)</f>
        <v>Arnav Choudhary</v>
      </c>
      <c r="D200" t="str">
        <f>_xlfn.XLOOKUP(B200,clean_sales!C:C,clean_sales!R:R)</f>
        <v>Delhi</v>
      </c>
      <c r="E200" t="str">
        <f>_xlfn.XLOOKUP(B200,clean_sales!C:C,clean_sales!S:S)</f>
        <v>Delhi</v>
      </c>
    </row>
    <row r="201" spans="1:5" x14ac:dyDescent="0.35">
      <c r="A201">
        <f t="shared" si="3"/>
        <v>200</v>
      </c>
      <c r="B201" t="s">
        <v>1987</v>
      </c>
      <c r="C201" t="str">
        <f>_xlfn.XLOOKUP(B201,clean_sales!C:C,clean_sales!Q:Q)</f>
        <v>Rania Jhaveri</v>
      </c>
      <c r="D201" t="str">
        <f>_xlfn.XLOOKUP(B201,clean_sales!C:C,clean_sales!R:R)</f>
        <v>Bengaluru</v>
      </c>
      <c r="E201" t="str">
        <f>_xlfn.XLOOKUP(B201,clean_sales!C:C,clean_sales!S:S)</f>
        <v>Karnataka</v>
      </c>
    </row>
    <row r="202" spans="1:5" x14ac:dyDescent="0.35">
      <c r="A202">
        <f t="shared" si="3"/>
        <v>201</v>
      </c>
      <c r="B202" t="s">
        <v>1988</v>
      </c>
      <c r="C202" t="str">
        <f>_xlfn.XLOOKUP(B202,clean_sales!C:C,clean_sales!Q:Q)</f>
        <v>Farhan Dhar</v>
      </c>
      <c r="D202" t="str">
        <f>_xlfn.XLOOKUP(B202,clean_sales!C:C,clean_sales!R:R)</f>
        <v>Hyderabad</v>
      </c>
      <c r="E202" t="str">
        <f>_xlfn.XLOOKUP(B202,clean_sales!C:C,clean_sales!S:S)</f>
        <v>Telangana</v>
      </c>
    </row>
    <row r="203" spans="1:5" x14ac:dyDescent="0.35">
      <c r="A203">
        <f t="shared" si="3"/>
        <v>202</v>
      </c>
      <c r="B203" t="s">
        <v>1989</v>
      </c>
      <c r="C203" t="str">
        <f>_xlfn.XLOOKUP(B203,clean_sales!C:C,clean_sales!Q:Q)</f>
        <v>Ehsaan Thakur</v>
      </c>
      <c r="D203" t="str">
        <f>_xlfn.XLOOKUP(B203,clean_sales!C:C,clean_sales!R:R)</f>
        <v>Hyderabad</v>
      </c>
      <c r="E203" t="str">
        <f>_xlfn.XLOOKUP(B203,clean_sales!C:C,clean_sales!S:S)</f>
        <v>Telangana</v>
      </c>
    </row>
    <row r="204" spans="1:5" x14ac:dyDescent="0.35">
      <c r="A204">
        <f t="shared" si="3"/>
        <v>203</v>
      </c>
      <c r="B204" t="s">
        <v>1990</v>
      </c>
      <c r="C204" t="str">
        <f>_xlfn.XLOOKUP(B204,clean_sales!C:C,clean_sales!Q:Q)</f>
        <v>Samarth Kari</v>
      </c>
      <c r="D204" t="str">
        <f>_xlfn.XLOOKUP(B204,clean_sales!C:C,clean_sales!R:R)</f>
        <v>Delhi</v>
      </c>
      <c r="E204" t="str">
        <f>_xlfn.XLOOKUP(B204,clean_sales!C:C,clean_sales!S:S)</f>
        <v>Delhi</v>
      </c>
    </row>
    <row r="205" spans="1:5" x14ac:dyDescent="0.35">
      <c r="A205">
        <f t="shared" si="3"/>
        <v>204</v>
      </c>
      <c r="B205" t="s">
        <v>1991</v>
      </c>
      <c r="C205" t="str">
        <f>_xlfn.XLOOKUP(B205,clean_sales!C:C,clean_sales!Q:Q)</f>
        <v>Kiaan Sunder</v>
      </c>
      <c r="D205" t="str">
        <f>_xlfn.XLOOKUP(B205,clean_sales!C:C,clean_sales!R:R)</f>
        <v>Hyderabad</v>
      </c>
      <c r="E205" t="str">
        <f>_xlfn.XLOOKUP(B205,clean_sales!C:C,clean_sales!S:S)</f>
        <v>Telangana</v>
      </c>
    </row>
    <row r="206" spans="1:5" x14ac:dyDescent="0.35">
      <c r="A206">
        <f t="shared" si="3"/>
        <v>205</v>
      </c>
      <c r="B206" t="s">
        <v>1992</v>
      </c>
      <c r="C206" t="str">
        <f>_xlfn.XLOOKUP(B206,clean_sales!C:C,clean_sales!Q:Q)</f>
        <v>Nitara Bhasin</v>
      </c>
      <c r="D206" t="str">
        <f>_xlfn.XLOOKUP(B206,clean_sales!C:C,clean_sales!R:R)</f>
        <v>Delhi</v>
      </c>
      <c r="E206" t="str">
        <f>_xlfn.XLOOKUP(B206,clean_sales!C:C,clean_sales!S:S)</f>
        <v>Delhi</v>
      </c>
    </row>
    <row r="207" spans="1:5" x14ac:dyDescent="0.35">
      <c r="A207">
        <f t="shared" si="3"/>
        <v>206</v>
      </c>
      <c r="B207" t="s">
        <v>1993</v>
      </c>
      <c r="C207" t="str">
        <f>_xlfn.XLOOKUP(B207,clean_sales!C:C,clean_sales!Q:Q)</f>
        <v>Biju Sangha</v>
      </c>
      <c r="D207" t="str">
        <f>_xlfn.XLOOKUP(B207,clean_sales!C:C,clean_sales!R:R)</f>
        <v>Kolkata</v>
      </c>
      <c r="E207" t="str">
        <f>_xlfn.XLOOKUP(B207,clean_sales!C:C,clean_sales!S:S)</f>
        <v>West Bengal</v>
      </c>
    </row>
    <row r="208" spans="1:5" x14ac:dyDescent="0.35">
      <c r="A208">
        <f t="shared" si="3"/>
        <v>207</v>
      </c>
      <c r="B208" t="s">
        <v>1994</v>
      </c>
      <c r="C208" t="str">
        <f>_xlfn.XLOOKUP(B208,clean_sales!C:C,clean_sales!Q:Q)</f>
        <v>Tarini Wadhwa</v>
      </c>
      <c r="D208" t="str">
        <f>_xlfn.XLOOKUP(B208,clean_sales!C:C,clean_sales!R:R)</f>
        <v>Mumbai</v>
      </c>
      <c r="E208" t="str">
        <f>_xlfn.XLOOKUP(B208,clean_sales!C:C,clean_sales!S:S)</f>
        <v>Maharashtra</v>
      </c>
    </row>
    <row r="209" spans="1:5" x14ac:dyDescent="0.35">
      <c r="A209">
        <f t="shared" si="3"/>
        <v>208</v>
      </c>
      <c r="B209" t="s">
        <v>1995</v>
      </c>
      <c r="C209" t="str">
        <f>_xlfn.XLOOKUP(B209,clean_sales!C:C,clean_sales!Q:Q)</f>
        <v>Shaan Sane</v>
      </c>
      <c r="D209" t="str">
        <f>_xlfn.XLOOKUP(B209,clean_sales!C:C,clean_sales!R:R)</f>
        <v>Chennai</v>
      </c>
      <c r="E209" t="str">
        <f>_xlfn.XLOOKUP(B209,clean_sales!C:C,clean_sales!S:S)</f>
        <v>Tamil Nadu</v>
      </c>
    </row>
    <row r="210" spans="1:5" x14ac:dyDescent="0.35">
      <c r="A210">
        <f t="shared" si="3"/>
        <v>209</v>
      </c>
      <c r="B210" t="s">
        <v>1996</v>
      </c>
      <c r="C210" t="str">
        <f>_xlfn.XLOOKUP(B210,clean_sales!C:C,clean_sales!Q:Q)</f>
        <v>Stuvan Amble</v>
      </c>
      <c r="D210" t="str">
        <f>_xlfn.XLOOKUP(B210,clean_sales!C:C,clean_sales!R:R)</f>
        <v>Delhi</v>
      </c>
      <c r="E210" t="str">
        <f>_xlfn.XLOOKUP(B210,clean_sales!C:C,clean_sales!S:S)</f>
        <v>Delhi</v>
      </c>
    </row>
    <row r="211" spans="1:5" x14ac:dyDescent="0.35">
      <c r="A211">
        <f t="shared" si="3"/>
        <v>210</v>
      </c>
      <c r="B211" t="s">
        <v>1997</v>
      </c>
      <c r="C211" t="str">
        <f>_xlfn.XLOOKUP(B211,clean_sales!C:C,clean_sales!Q:Q)</f>
        <v>Pranay Hegde</v>
      </c>
      <c r="D211" t="str">
        <f>_xlfn.XLOOKUP(B211,clean_sales!C:C,clean_sales!R:R)</f>
        <v>Mumbai</v>
      </c>
      <c r="E211" t="str">
        <f>_xlfn.XLOOKUP(B211,clean_sales!C:C,clean_sales!S:S)</f>
        <v>Maharashtra</v>
      </c>
    </row>
    <row r="212" spans="1:5" x14ac:dyDescent="0.35">
      <c r="A212">
        <f t="shared" si="3"/>
        <v>211</v>
      </c>
      <c r="B212" t="s">
        <v>1998</v>
      </c>
      <c r="C212" t="str">
        <f>_xlfn.XLOOKUP(B212,clean_sales!C:C,clean_sales!Q:Q)</f>
        <v>Tejas Dixit</v>
      </c>
      <c r="D212" t="str">
        <f>_xlfn.XLOOKUP(B212,clean_sales!C:C,clean_sales!R:R)</f>
        <v>Chennai</v>
      </c>
      <c r="E212" t="str">
        <f>_xlfn.XLOOKUP(B212,clean_sales!C:C,clean_sales!S:S)</f>
        <v>Tamil Nadu</v>
      </c>
    </row>
    <row r="213" spans="1:5" x14ac:dyDescent="0.35">
      <c r="A213">
        <f t="shared" si="3"/>
        <v>212</v>
      </c>
      <c r="B213" t="s">
        <v>1999</v>
      </c>
      <c r="C213" t="str">
        <f>_xlfn.XLOOKUP(B213,clean_sales!C:C,clean_sales!Q:Q)</f>
        <v>Farhan Mand</v>
      </c>
      <c r="D213" t="str">
        <f>_xlfn.XLOOKUP(B213,clean_sales!C:C,clean_sales!R:R)</f>
        <v>Hyderabad</v>
      </c>
      <c r="E213" t="str">
        <f>_xlfn.XLOOKUP(B213,clean_sales!C:C,clean_sales!S:S)</f>
        <v>Telangana</v>
      </c>
    </row>
    <row r="214" spans="1:5" x14ac:dyDescent="0.35">
      <c r="A214">
        <f t="shared" si="3"/>
        <v>213</v>
      </c>
      <c r="B214" t="s">
        <v>2000</v>
      </c>
      <c r="C214" t="str">
        <f>_xlfn.XLOOKUP(B214,clean_sales!C:C,clean_sales!Q:Q)</f>
        <v>Anya Shroff</v>
      </c>
      <c r="D214" t="str">
        <f>_xlfn.XLOOKUP(B214,clean_sales!C:C,clean_sales!R:R)</f>
        <v>Bengaluru</v>
      </c>
      <c r="E214" t="str">
        <f>_xlfn.XLOOKUP(B214,clean_sales!C:C,clean_sales!S:S)</f>
        <v>Karnataka</v>
      </c>
    </row>
    <row r="215" spans="1:5" x14ac:dyDescent="0.35">
      <c r="A215">
        <f t="shared" si="3"/>
        <v>214</v>
      </c>
      <c r="B215" t="s">
        <v>2001</v>
      </c>
      <c r="C215" t="str">
        <f>_xlfn.XLOOKUP(B215,clean_sales!C:C,clean_sales!Q:Q)</f>
        <v>Rati Bail</v>
      </c>
      <c r="D215" t="str">
        <f>_xlfn.XLOOKUP(B215,clean_sales!C:C,clean_sales!R:R)</f>
        <v>Pune</v>
      </c>
      <c r="E215" t="str">
        <f>_xlfn.XLOOKUP(B215,clean_sales!C:C,clean_sales!S:S)</f>
        <v>Maharashtra</v>
      </c>
    </row>
    <row r="216" spans="1:5" x14ac:dyDescent="0.35">
      <c r="A216">
        <f t="shared" si="3"/>
        <v>215</v>
      </c>
      <c r="B216" t="s">
        <v>2002</v>
      </c>
      <c r="C216" t="str">
        <f>_xlfn.XLOOKUP(B216,clean_sales!C:C,clean_sales!Q:Q)</f>
        <v>Samar Batta</v>
      </c>
      <c r="D216" t="str">
        <f>_xlfn.XLOOKUP(B216,clean_sales!C:C,clean_sales!R:R)</f>
        <v>Delhi</v>
      </c>
      <c r="E216" t="str">
        <f>_xlfn.XLOOKUP(B216,clean_sales!C:C,clean_sales!S:S)</f>
        <v>Delhi</v>
      </c>
    </row>
    <row r="217" spans="1:5" x14ac:dyDescent="0.35">
      <c r="A217">
        <f t="shared" si="3"/>
        <v>216</v>
      </c>
      <c r="B217" t="s">
        <v>2003</v>
      </c>
      <c r="C217" t="str">
        <f>_xlfn.XLOOKUP(B217,clean_sales!C:C,clean_sales!Q:Q)</f>
        <v>Amani Vig</v>
      </c>
      <c r="D217" t="str">
        <f>_xlfn.XLOOKUP(B217,clean_sales!C:C,clean_sales!R:R)</f>
        <v>Bengaluru</v>
      </c>
      <c r="E217" t="str">
        <f>_xlfn.XLOOKUP(B217,clean_sales!C:C,clean_sales!S:S)</f>
        <v>Karnataka</v>
      </c>
    </row>
    <row r="218" spans="1:5" x14ac:dyDescent="0.35">
      <c r="A218">
        <f t="shared" si="3"/>
        <v>217</v>
      </c>
      <c r="B218" t="s">
        <v>2004</v>
      </c>
      <c r="C218" t="str">
        <f>_xlfn.XLOOKUP(B218,clean_sales!C:C,clean_sales!Q:Q)</f>
        <v>Jivin Wali</v>
      </c>
      <c r="D218" t="str">
        <f>_xlfn.XLOOKUP(B218,clean_sales!C:C,clean_sales!R:R)</f>
        <v>Bengaluru</v>
      </c>
      <c r="E218" t="str">
        <f>_xlfn.XLOOKUP(B218,clean_sales!C:C,clean_sales!S:S)</f>
        <v>Karnataka</v>
      </c>
    </row>
    <row r="219" spans="1:5" x14ac:dyDescent="0.35">
      <c r="A219">
        <f t="shared" si="3"/>
        <v>218</v>
      </c>
      <c r="B219" t="s">
        <v>2005</v>
      </c>
      <c r="C219" t="str">
        <f>_xlfn.XLOOKUP(B219,clean_sales!C:C,clean_sales!Q:Q)</f>
        <v>Ivan Borde</v>
      </c>
      <c r="D219" t="str">
        <f>_xlfn.XLOOKUP(B219,clean_sales!C:C,clean_sales!R:R)</f>
        <v>Bengaluru</v>
      </c>
      <c r="E219" t="str">
        <f>_xlfn.XLOOKUP(B219,clean_sales!C:C,clean_sales!S:S)</f>
        <v>Karnataka</v>
      </c>
    </row>
    <row r="220" spans="1:5" x14ac:dyDescent="0.35">
      <c r="A220">
        <f t="shared" si="3"/>
        <v>219</v>
      </c>
      <c r="B220" t="s">
        <v>2006</v>
      </c>
      <c r="C220" t="str">
        <f>_xlfn.XLOOKUP(B220,clean_sales!C:C,clean_sales!Q:Q)</f>
        <v>Nirvaan Kale</v>
      </c>
      <c r="D220" t="str">
        <f>_xlfn.XLOOKUP(B220,clean_sales!C:C,clean_sales!R:R)</f>
        <v>Chennai</v>
      </c>
      <c r="E220" t="str">
        <f>_xlfn.XLOOKUP(B220,clean_sales!C:C,clean_sales!S:S)</f>
        <v>Tamil Nadu</v>
      </c>
    </row>
    <row r="221" spans="1:5" x14ac:dyDescent="0.35">
      <c r="A221">
        <f t="shared" si="3"/>
        <v>220</v>
      </c>
      <c r="B221" t="s">
        <v>2007</v>
      </c>
      <c r="C221" t="str">
        <f>_xlfn.XLOOKUP(B221,clean_sales!C:C,clean_sales!Q:Q)</f>
        <v>Aaryahi Verma</v>
      </c>
      <c r="D221" t="str">
        <f>_xlfn.XLOOKUP(B221,clean_sales!C:C,clean_sales!R:R)</f>
        <v>Mumbai</v>
      </c>
      <c r="E221" t="str">
        <f>_xlfn.XLOOKUP(B221,clean_sales!C:C,clean_sales!S:S)</f>
        <v>Maharashtra</v>
      </c>
    </row>
    <row r="222" spans="1:5" x14ac:dyDescent="0.35">
      <c r="A222">
        <f t="shared" si="3"/>
        <v>221</v>
      </c>
      <c r="B222" t="s">
        <v>2008</v>
      </c>
      <c r="C222" t="str">
        <f>_xlfn.XLOOKUP(B222,clean_sales!C:C,clean_sales!Q:Q)</f>
        <v>Kimaya Bhardwaj</v>
      </c>
      <c r="D222" t="str">
        <f>_xlfn.XLOOKUP(B222,clean_sales!C:C,clean_sales!R:R)</f>
        <v>Chennai</v>
      </c>
      <c r="E222" t="str">
        <f>_xlfn.XLOOKUP(B222,clean_sales!C:C,clean_sales!S:S)</f>
        <v>Tamil Nadu</v>
      </c>
    </row>
    <row r="223" spans="1:5" x14ac:dyDescent="0.35">
      <c r="A223">
        <f t="shared" si="3"/>
        <v>222</v>
      </c>
      <c r="B223" t="s">
        <v>2009</v>
      </c>
      <c r="C223" t="str">
        <f>_xlfn.XLOOKUP(B223,clean_sales!C:C,clean_sales!Q:Q)</f>
        <v>Divit Dhingra</v>
      </c>
      <c r="D223" t="str">
        <f>_xlfn.XLOOKUP(B223,clean_sales!C:C,clean_sales!R:R)</f>
        <v>Hyderabad</v>
      </c>
      <c r="E223" t="str">
        <f>_xlfn.XLOOKUP(B223,clean_sales!C:C,clean_sales!S:S)</f>
        <v>Telangana</v>
      </c>
    </row>
    <row r="224" spans="1:5" x14ac:dyDescent="0.35">
      <c r="A224">
        <f t="shared" si="3"/>
        <v>223</v>
      </c>
      <c r="B224" t="s">
        <v>2010</v>
      </c>
      <c r="C224" t="str">
        <f>_xlfn.XLOOKUP(B224,clean_sales!C:C,clean_sales!Q:Q)</f>
        <v>Farhan Ratta</v>
      </c>
      <c r="D224" t="str">
        <f>_xlfn.XLOOKUP(B224,clean_sales!C:C,clean_sales!R:R)</f>
        <v>Kolkata</v>
      </c>
      <c r="E224" t="str">
        <f>_xlfn.XLOOKUP(B224,clean_sales!C:C,clean_sales!S:S)</f>
        <v>West Bengal</v>
      </c>
    </row>
    <row r="225" spans="1:5" x14ac:dyDescent="0.35">
      <c r="A225">
        <f t="shared" si="3"/>
        <v>224</v>
      </c>
      <c r="B225" t="s">
        <v>2011</v>
      </c>
      <c r="C225" t="str">
        <f>_xlfn.XLOOKUP(B225,clean_sales!C:C,clean_sales!Q:Q)</f>
        <v>Aaina Tella</v>
      </c>
      <c r="D225" t="str">
        <f>_xlfn.XLOOKUP(B225,clean_sales!C:C,clean_sales!R:R)</f>
        <v>Chennai</v>
      </c>
      <c r="E225" t="str">
        <f>_xlfn.XLOOKUP(B225,clean_sales!C:C,clean_sales!S:S)</f>
        <v>Tamil Nadu</v>
      </c>
    </row>
    <row r="226" spans="1:5" x14ac:dyDescent="0.35">
      <c r="A226">
        <f t="shared" si="3"/>
        <v>225</v>
      </c>
      <c r="B226" t="s">
        <v>2012</v>
      </c>
      <c r="C226" t="str">
        <f>_xlfn.XLOOKUP(B226,clean_sales!C:C,clean_sales!Q:Q)</f>
        <v>Neelofar Aurora</v>
      </c>
      <c r="D226" t="str">
        <f>_xlfn.XLOOKUP(B226,clean_sales!C:C,clean_sales!R:R)</f>
        <v>Mumbai</v>
      </c>
      <c r="E226" t="str">
        <f>_xlfn.XLOOKUP(B226,clean_sales!C:C,clean_sales!S:S)</f>
        <v>Maharashtra</v>
      </c>
    </row>
    <row r="227" spans="1:5" x14ac:dyDescent="0.35">
      <c r="A227">
        <f t="shared" si="3"/>
        <v>226</v>
      </c>
      <c r="B227" t="s">
        <v>2013</v>
      </c>
      <c r="C227" t="str">
        <f>_xlfn.XLOOKUP(B227,clean_sales!C:C,clean_sales!Q:Q)</f>
        <v>Ishita Konda</v>
      </c>
      <c r="D227" t="str">
        <f>_xlfn.XLOOKUP(B227,clean_sales!C:C,clean_sales!R:R)</f>
        <v>Chennai</v>
      </c>
      <c r="E227" t="str">
        <f>_xlfn.XLOOKUP(B227,clean_sales!C:C,clean_sales!S:S)</f>
        <v>Tamil Nadu</v>
      </c>
    </row>
    <row r="228" spans="1:5" x14ac:dyDescent="0.35">
      <c r="A228">
        <f t="shared" si="3"/>
        <v>227</v>
      </c>
      <c r="B228" t="s">
        <v>2014</v>
      </c>
      <c r="C228" t="str">
        <f>_xlfn.XLOOKUP(B228,clean_sales!C:C,clean_sales!Q:Q)</f>
        <v>Advika Hari</v>
      </c>
      <c r="D228" t="str">
        <f>_xlfn.XLOOKUP(B228,clean_sales!C:C,clean_sales!R:R)</f>
        <v>Bengaluru</v>
      </c>
      <c r="E228" t="str">
        <f>_xlfn.XLOOKUP(B228,clean_sales!C:C,clean_sales!S:S)</f>
        <v>Karnataka</v>
      </c>
    </row>
    <row r="229" spans="1:5" x14ac:dyDescent="0.35">
      <c r="A229">
        <f t="shared" si="3"/>
        <v>228</v>
      </c>
      <c r="B229" t="s">
        <v>2015</v>
      </c>
      <c r="C229" t="str">
        <f>_xlfn.XLOOKUP(B229,clean_sales!C:C,clean_sales!Q:Q)</f>
        <v>Nirvaan Bose</v>
      </c>
      <c r="D229" t="str">
        <f>_xlfn.XLOOKUP(B229,clean_sales!C:C,clean_sales!R:R)</f>
        <v>Mumbai</v>
      </c>
      <c r="E229" t="str">
        <f>_xlfn.XLOOKUP(B229,clean_sales!C:C,clean_sales!S:S)</f>
        <v>Maharashtra</v>
      </c>
    </row>
    <row r="230" spans="1:5" x14ac:dyDescent="0.35">
      <c r="A230">
        <f t="shared" si="3"/>
        <v>229</v>
      </c>
      <c r="B230" t="s">
        <v>2016</v>
      </c>
      <c r="C230" t="str">
        <f>_xlfn.XLOOKUP(B230,clean_sales!C:C,clean_sales!Q:Q)</f>
        <v>Yuvaan Goda</v>
      </c>
      <c r="D230" t="str">
        <f>_xlfn.XLOOKUP(B230,clean_sales!C:C,clean_sales!R:R)</f>
        <v>Mumbai</v>
      </c>
      <c r="E230" t="str">
        <f>_xlfn.XLOOKUP(B230,clean_sales!C:C,clean_sales!S:S)</f>
        <v>Maharashtra</v>
      </c>
    </row>
    <row r="231" spans="1:5" x14ac:dyDescent="0.35">
      <c r="A231">
        <f t="shared" si="3"/>
        <v>230</v>
      </c>
      <c r="B231" t="s">
        <v>2017</v>
      </c>
      <c r="C231" t="str">
        <f>_xlfn.XLOOKUP(B231,clean_sales!C:C,clean_sales!Q:Q)</f>
        <v>Vritika Vasa</v>
      </c>
      <c r="D231" t="str">
        <f>_xlfn.XLOOKUP(B231,clean_sales!C:C,clean_sales!R:R)</f>
        <v>Mumbai</v>
      </c>
      <c r="E231" t="str">
        <f>_xlfn.XLOOKUP(B231,clean_sales!C:C,clean_sales!S:S)</f>
        <v>Maharashtra</v>
      </c>
    </row>
    <row r="232" spans="1:5" x14ac:dyDescent="0.35">
      <c r="A232">
        <f t="shared" si="3"/>
        <v>231</v>
      </c>
      <c r="B232" t="s">
        <v>2018</v>
      </c>
      <c r="C232" t="str">
        <f>_xlfn.XLOOKUP(B232,clean_sales!C:C,clean_sales!Q:Q)</f>
        <v>Yasmin Bhavsar</v>
      </c>
      <c r="D232" t="str">
        <f>_xlfn.XLOOKUP(B232,clean_sales!C:C,clean_sales!R:R)</f>
        <v>Chennai</v>
      </c>
      <c r="E232" t="str">
        <f>_xlfn.XLOOKUP(B232,clean_sales!C:C,clean_sales!S:S)</f>
        <v>Tamil Nadu</v>
      </c>
    </row>
    <row r="233" spans="1:5" x14ac:dyDescent="0.35">
      <c r="A233">
        <f t="shared" si="3"/>
        <v>232</v>
      </c>
      <c r="B233" t="s">
        <v>2019</v>
      </c>
      <c r="C233" t="str">
        <f>_xlfn.XLOOKUP(B233,clean_sales!C:C,clean_sales!Q:Q)</f>
        <v>Keya Deshmukh</v>
      </c>
      <c r="D233" t="str">
        <f>_xlfn.XLOOKUP(B233,clean_sales!C:C,clean_sales!R:R)</f>
        <v>Bengaluru</v>
      </c>
      <c r="E233" t="str">
        <f>_xlfn.XLOOKUP(B233,clean_sales!C:C,clean_sales!S:S)</f>
        <v>Karnataka</v>
      </c>
    </row>
    <row r="234" spans="1:5" x14ac:dyDescent="0.35">
      <c r="A234">
        <f t="shared" si="3"/>
        <v>233</v>
      </c>
      <c r="B234" t="s">
        <v>2020</v>
      </c>
      <c r="C234" t="str">
        <f>_xlfn.XLOOKUP(B234,clean_sales!C:C,clean_sales!Q:Q)</f>
        <v>Abram Iyer</v>
      </c>
      <c r="D234" t="str">
        <f>_xlfn.XLOOKUP(B234,clean_sales!C:C,clean_sales!R:R)</f>
        <v>Mumbai</v>
      </c>
      <c r="E234" t="str">
        <f>_xlfn.XLOOKUP(B234,clean_sales!C:C,clean_sales!S:S)</f>
        <v>Maharashtra</v>
      </c>
    </row>
    <row r="235" spans="1:5" x14ac:dyDescent="0.35">
      <c r="A235">
        <f t="shared" si="3"/>
        <v>234</v>
      </c>
      <c r="B235" t="s">
        <v>2021</v>
      </c>
      <c r="C235" t="str">
        <f>_xlfn.XLOOKUP(B235,clean_sales!C:C,clean_sales!Q:Q)</f>
        <v>Chirag Chanda</v>
      </c>
      <c r="D235" t="str">
        <f>_xlfn.XLOOKUP(B235,clean_sales!C:C,clean_sales!R:R)</f>
        <v>Pune</v>
      </c>
      <c r="E235" t="str">
        <f>_xlfn.XLOOKUP(B235,clean_sales!C:C,clean_sales!S:S)</f>
        <v>Maharashtra</v>
      </c>
    </row>
    <row r="236" spans="1:5" x14ac:dyDescent="0.35">
      <c r="A236">
        <f t="shared" si="3"/>
        <v>235</v>
      </c>
      <c r="B236" t="s">
        <v>2022</v>
      </c>
      <c r="C236" t="str">
        <f>_xlfn.XLOOKUP(B236,clean_sales!C:C,clean_sales!Q:Q)</f>
        <v>Shamik Sanghvi</v>
      </c>
      <c r="D236" t="str">
        <f>_xlfn.XLOOKUP(B236,clean_sales!C:C,clean_sales!R:R)</f>
        <v>Delhi</v>
      </c>
      <c r="E236" t="str">
        <f>_xlfn.XLOOKUP(B236,clean_sales!C:C,clean_sales!S:S)</f>
        <v>Delhi</v>
      </c>
    </row>
    <row r="237" spans="1:5" x14ac:dyDescent="0.35">
      <c r="A237">
        <f t="shared" si="3"/>
        <v>236</v>
      </c>
      <c r="B237" t="s">
        <v>2023</v>
      </c>
      <c r="C237" t="str">
        <f>_xlfn.XLOOKUP(B237,clean_sales!C:C,clean_sales!Q:Q)</f>
        <v>Zeeshan Batta</v>
      </c>
      <c r="D237" t="str">
        <f>_xlfn.XLOOKUP(B237,clean_sales!C:C,clean_sales!R:R)</f>
        <v>Mumbai</v>
      </c>
      <c r="E237" t="str">
        <f>_xlfn.XLOOKUP(B237,clean_sales!C:C,clean_sales!S:S)</f>
        <v>Maharashtra</v>
      </c>
    </row>
    <row r="238" spans="1:5" x14ac:dyDescent="0.35">
      <c r="A238">
        <f t="shared" si="3"/>
        <v>237</v>
      </c>
      <c r="B238" t="s">
        <v>2024</v>
      </c>
      <c r="C238" t="str">
        <f>_xlfn.XLOOKUP(B238,clean_sales!C:C,clean_sales!Q:Q)</f>
        <v>Chirag Hari</v>
      </c>
      <c r="D238" t="str">
        <f>_xlfn.XLOOKUP(B238,clean_sales!C:C,clean_sales!R:R)</f>
        <v>Mumbai</v>
      </c>
      <c r="E238" t="str">
        <f>_xlfn.XLOOKUP(B238,clean_sales!C:C,clean_sales!S:S)</f>
        <v>Maharashtra</v>
      </c>
    </row>
    <row r="239" spans="1:5" x14ac:dyDescent="0.35">
      <c r="A239">
        <f t="shared" si="3"/>
        <v>238</v>
      </c>
      <c r="B239" t="s">
        <v>2025</v>
      </c>
      <c r="C239" t="str">
        <f>_xlfn.XLOOKUP(B239,clean_sales!C:C,clean_sales!Q:Q)</f>
        <v>Bhamini Deshpande</v>
      </c>
      <c r="D239" t="str">
        <f>_xlfn.XLOOKUP(B239,clean_sales!C:C,clean_sales!R:R)</f>
        <v>Chennai</v>
      </c>
      <c r="E239" t="str">
        <f>_xlfn.XLOOKUP(B239,clean_sales!C:C,clean_sales!S:S)</f>
        <v>Tamil Nadu</v>
      </c>
    </row>
    <row r="240" spans="1:5" x14ac:dyDescent="0.35">
      <c r="A240">
        <f t="shared" si="3"/>
        <v>239</v>
      </c>
      <c r="B240" t="s">
        <v>2026</v>
      </c>
      <c r="C240" t="str">
        <f>_xlfn.XLOOKUP(B240,clean_sales!C:C,clean_sales!Q:Q)</f>
        <v>Arnav Ray</v>
      </c>
      <c r="D240" t="str">
        <f>_xlfn.XLOOKUP(B240,clean_sales!C:C,clean_sales!R:R)</f>
        <v>Delhi</v>
      </c>
      <c r="E240" t="str">
        <f>_xlfn.XLOOKUP(B240,clean_sales!C:C,clean_sales!S:S)</f>
        <v>Delhi</v>
      </c>
    </row>
    <row r="241" spans="1:5" x14ac:dyDescent="0.35">
      <c r="A241">
        <f t="shared" si="3"/>
        <v>240</v>
      </c>
      <c r="B241" t="s">
        <v>2027</v>
      </c>
      <c r="C241" t="str">
        <f>_xlfn.XLOOKUP(B241,clean_sales!C:C,clean_sales!Q:Q)</f>
        <v>Prerak Gandhi</v>
      </c>
      <c r="D241" t="str">
        <f>_xlfn.XLOOKUP(B241,clean_sales!C:C,clean_sales!R:R)</f>
        <v>Mumbai</v>
      </c>
      <c r="E241" t="str">
        <f>_xlfn.XLOOKUP(B241,clean_sales!C:C,clean_sales!S:S)</f>
        <v>Maharashtra</v>
      </c>
    </row>
    <row r="242" spans="1:5" x14ac:dyDescent="0.35">
      <c r="A242">
        <f t="shared" si="3"/>
        <v>241</v>
      </c>
      <c r="B242" t="s">
        <v>2028</v>
      </c>
      <c r="C242" t="str">
        <f>_xlfn.XLOOKUP(B242,clean_sales!C:C,clean_sales!Q:Q)</f>
        <v>Nitara Ganguly</v>
      </c>
      <c r="D242" t="str">
        <f>_xlfn.XLOOKUP(B242,clean_sales!C:C,clean_sales!R:R)</f>
        <v>Pune</v>
      </c>
      <c r="E242" t="str">
        <f>_xlfn.XLOOKUP(B242,clean_sales!C:C,clean_sales!S:S)</f>
        <v>Maharashtra</v>
      </c>
    </row>
    <row r="243" spans="1:5" x14ac:dyDescent="0.35">
      <c r="A243">
        <f t="shared" si="3"/>
        <v>242</v>
      </c>
      <c r="B243" t="s">
        <v>2029</v>
      </c>
      <c r="C243" t="str">
        <f>_xlfn.XLOOKUP(B243,clean_sales!C:C,clean_sales!Q:Q)</f>
        <v>Neysa De</v>
      </c>
      <c r="D243" t="str">
        <f>_xlfn.XLOOKUP(B243,clean_sales!C:C,clean_sales!R:R)</f>
        <v>Hyderabad</v>
      </c>
      <c r="E243" t="str">
        <f>_xlfn.XLOOKUP(B243,clean_sales!C:C,clean_sales!S:S)</f>
        <v>Telangana</v>
      </c>
    </row>
    <row r="244" spans="1:5" x14ac:dyDescent="0.35">
      <c r="A244">
        <f t="shared" si="3"/>
        <v>243</v>
      </c>
      <c r="B244" t="s">
        <v>2030</v>
      </c>
      <c r="C244" t="str">
        <f>_xlfn.XLOOKUP(B244,clean_sales!C:C,clean_sales!Q:Q)</f>
        <v>Dharmajan Dalal</v>
      </c>
      <c r="D244" t="str">
        <f>_xlfn.XLOOKUP(B244,clean_sales!C:C,clean_sales!R:R)</f>
        <v>Delhi</v>
      </c>
      <c r="E244" t="str">
        <f>_xlfn.XLOOKUP(B244,clean_sales!C:C,clean_sales!S:S)</f>
        <v>Delhi</v>
      </c>
    </row>
    <row r="245" spans="1:5" x14ac:dyDescent="0.35">
      <c r="A245">
        <f t="shared" si="3"/>
        <v>244</v>
      </c>
      <c r="B245" t="s">
        <v>2031</v>
      </c>
      <c r="C245" t="str">
        <f>_xlfn.XLOOKUP(B245,clean_sales!C:C,clean_sales!Q:Q)</f>
        <v>Damini Ravel</v>
      </c>
      <c r="D245" t="str">
        <f>_xlfn.XLOOKUP(B245,clean_sales!C:C,clean_sales!R:R)</f>
        <v>Kolkata</v>
      </c>
      <c r="E245" t="str">
        <f>_xlfn.XLOOKUP(B245,clean_sales!C:C,clean_sales!S:S)</f>
        <v>West Bengal</v>
      </c>
    </row>
    <row r="246" spans="1:5" x14ac:dyDescent="0.35">
      <c r="A246">
        <f t="shared" si="3"/>
        <v>245</v>
      </c>
      <c r="B246" t="s">
        <v>2032</v>
      </c>
      <c r="C246" t="str">
        <f>_xlfn.XLOOKUP(B246,clean_sales!C:C,clean_sales!Q:Q)</f>
        <v>Vedika Agrawal</v>
      </c>
      <c r="D246" t="str">
        <f>_xlfn.XLOOKUP(B246,clean_sales!C:C,clean_sales!R:R)</f>
        <v>Chennai</v>
      </c>
      <c r="E246" t="str">
        <f>_xlfn.XLOOKUP(B246,clean_sales!C:C,clean_sales!S:S)</f>
        <v>Tamil Nadu</v>
      </c>
    </row>
    <row r="247" spans="1:5" x14ac:dyDescent="0.35">
      <c r="A247">
        <f t="shared" si="3"/>
        <v>246</v>
      </c>
      <c r="B247" t="s">
        <v>2033</v>
      </c>
      <c r="C247" t="str">
        <f>_xlfn.XLOOKUP(B247,clean_sales!C:C,clean_sales!Q:Q)</f>
        <v>Elakshi Chatterjee</v>
      </c>
      <c r="D247" t="str">
        <f>_xlfn.XLOOKUP(B247,clean_sales!C:C,clean_sales!R:R)</f>
        <v>Delhi</v>
      </c>
      <c r="E247" t="str">
        <f>_xlfn.XLOOKUP(B247,clean_sales!C:C,clean_sales!S:S)</f>
        <v>Delhi</v>
      </c>
    </row>
    <row r="248" spans="1:5" x14ac:dyDescent="0.35">
      <c r="A248">
        <f t="shared" si="3"/>
        <v>247</v>
      </c>
      <c r="B248" t="s">
        <v>2034</v>
      </c>
      <c r="C248" t="str">
        <f>_xlfn.XLOOKUP(B248,clean_sales!C:C,clean_sales!Q:Q)</f>
        <v>Amira Amble</v>
      </c>
      <c r="D248" t="str">
        <f>_xlfn.XLOOKUP(B248,clean_sales!C:C,clean_sales!R:R)</f>
        <v>Bengaluru</v>
      </c>
      <c r="E248" t="str">
        <f>_xlfn.XLOOKUP(B248,clean_sales!C:C,clean_sales!S:S)</f>
        <v>Karnataka</v>
      </c>
    </row>
    <row r="249" spans="1:5" x14ac:dyDescent="0.35">
      <c r="A249">
        <f t="shared" si="3"/>
        <v>248</v>
      </c>
      <c r="B249" t="s">
        <v>2035</v>
      </c>
      <c r="C249" t="str">
        <f>_xlfn.XLOOKUP(B249,clean_sales!C:C,clean_sales!Q:Q)</f>
        <v>Vedika Sama</v>
      </c>
      <c r="D249" t="str">
        <f>_xlfn.XLOOKUP(B249,clean_sales!C:C,clean_sales!R:R)</f>
        <v>Bengaluru</v>
      </c>
      <c r="E249" t="str">
        <f>_xlfn.XLOOKUP(B249,clean_sales!C:C,clean_sales!S:S)</f>
        <v>Karnataka</v>
      </c>
    </row>
    <row r="250" spans="1:5" x14ac:dyDescent="0.35">
      <c r="A250">
        <f t="shared" si="3"/>
        <v>249</v>
      </c>
      <c r="B250" t="s">
        <v>2036</v>
      </c>
      <c r="C250" t="str">
        <f>_xlfn.XLOOKUP(B250,clean_sales!C:C,clean_sales!Q:Q)</f>
        <v>Jayesh Bhatia</v>
      </c>
      <c r="D250" t="str">
        <f>_xlfn.XLOOKUP(B250,clean_sales!C:C,clean_sales!R:R)</f>
        <v>Kolkata</v>
      </c>
      <c r="E250" t="str">
        <f>_xlfn.XLOOKUP(B250,clean_sales!C:C,clean_sales!S:S)</f>
        <v>West Bengal</v>
      </c>
    </row>
    <row r="251" spans="1:5" x14ac:dyDescent="0.35">
      <c r="A251">
        <f t="shared" si="3"/>
        <v>250</v>
      </c>
      <c r="B251" t="s">
        <v>2037</v>
      </c>
      <c r="C251" t="str">
        <f>_xlfn.XLOOKUP(B251,clean_sales!C:C,clean_sales!Q:Q)</f>
        <v>Vivaan Bava</v>
      </c>
      <c r="D251" t="str">
        <f>_xlfn.XLOOKUP(B251,clean_sales!C:C,clean_sales!R:R)</f>
        <v>Chennai</v>
      </c>
      <c r="E251" t="str">
        <f>_xlfn.XLOOKUP(B251,clean_sales!C:C,clean_sales!S:S)</f>
        <v>Tamil Nadu</v>
      </c>
    </row>
    <row r="252" spans="1:5" x14ac:dyDescent="0.35">
      <c r="A252">
        <f t="shared" si="3"/>
        <v>251</v>
      </c>
      <c r="B252" t="s">
        <v>2038</v>
      </c>
      <c r="C252" t="str">
        <f>_xlfn.XLOOKUP(B252,clean_sales!C:C,clean_sales!Q:Q)</f>
        <v>Nakul Verma</v>
      </c>
      <c r="D252" t="str">
        <f>_xlfn.XLOOKUP(B252,clean_sales!C:C,clean_sales!R:R)</f>
        <v>Chennai</v>
      </c>
      <c r="E252" t="str">
        <f>_xlfn.XLOOKUP(B252,clean_sales!C:C,clean_sales!S:S)</f>
        <v>Tamil Nadu</v>
      </c>
    </row>
    <row r="253" spans="1:5" x14ac:dyDescent="0.35">
      <c r="A253">
        <f t="shared" si="3"/>
        <v>252</v>
      </c>
      <c r="B253" t="s">
        <v>2039</v>
      </c>
      <c r="C253" t="str">
        <f>_xlfn.XLOOKUP(B253,clean_sales!C:C,clean_sales!Q:Q)</f>
        <v>Umang Bahl</v>
      </c>
      <c r="D253" t="str">
        <f>_xlfn.XLOOKUP(B253,clean_sales!C:C,clean_sales!R:R)</f>
        <v>Hyderabad</v>
      </c>
      <c r="E253" t="str">
        <f>_xlfn.XLOOKUP(B253,clean_sales!C:C,clean_sales!S:S)</f>
        <v>Telangana</v>
      </c>
    </row>
    <row r="254" spans="1:5" x14ac:dyDescent="0.35">
      <c r="A254">
        <f t="shared" si="3"/>
        <v>253</v>
      </c>
      <c r="B254" t="s">
        <v>2040</v>
      </c>
      <c r="C254" t="str">
        <f>_xlfn.XLOOKUP(B254,clean_sales!C:C,clean_sales!Q:Q)</f>
        <v>Aarush Bawa</v>
      </c>
      <c r="D254" t="str">
        <f>_xlfn.XLOOKUP(B254,clean_sales!C:C,clean_sales!R:R)</f>
        <v>Hyderabad</v>
      </c>
      <c r="E254" t="str">
        <f>_xlfn.XLOOKUP(B254,clean_sales!C:C,clean_sales!S:S)</f>
        <v>Telangana</v>
      </c>
    </row>
    <row r="255" spans="1:5" x14ac:dyDescent="0.35">
      <c r="A255">
        <f t="shared" si="3"/>
        <v>254</v>
      </c>
      <c r="B255" t="s">
        <v>2041</v>
      </c>
      <c r="C255" t="str">
        <f>_xlfn.XLOOKUP(B255,clean_sales!C:C,clean_sales!Q:Q)</f>
        <v>Miraya Dugar</v>
      </c>
      <c r="D255" t="str">
        <f>_xlfn.XLOOKUP(B255,clean_sales!C:C,clean_sales!R:R)</f>
        <v>Kolkata</v>
      </c>
      <c r="E255" t="str">
        <f>_xlfn.XLOOKUP(B255,clean_sales!C:C,clean_sales!S:S)</f>
        <v>West Bengal</v>
      </c>
    </row>
    <row r="256" spans="1:5" x14ac:dyDescent="0.35">
      <c r="A256">
        <f t="shared" si="3"/>
        <v>255</v>
      </c>
      <c r="B256" t="s">
        <v>2042</v>
      </c>
      <c r="C256" t="str">
        <f>_xlfn.XLOOKUP(B256,clean_sales!C:C,clean_sales!Q:Q)</f>
        <v>Zain Dasgupta</v>
      </c>
      <c r="D256" t="str">
        <f>_xlfn.XLOOKUP(B256,clean_sales!C:C,clean_sales!R:R)</f>
        <v>Bengaluru</v>
      </c>
      <c r="E256" t="str">
        <f>_xlfn.XLOOKUP(B256,clean_sales!C:C,clean_sales!S:S)</f>
        <v>Karnataka</v>
      </c>
    </row>
    <row r="257" spans="1:5" x14ac:dyDescent="0.35">
      <c r="A257">
        <f t="shared" si="3"/>
        <v>256</v>
      </c>
      <c r="B257" t="s">
        <v>2043</v>
      </c>
      <c r="C257" t="str">
        <f>_xlfn.XLOOKUP(B257,clean_sales!C:C,clean_sales!Q:Q)</f>
        <v>Taimur Sha</v>
      </c>
      <c r="D257" t="str">
        <f>_xlfn.XLOOKUP(B257,clean_sales!C:C,clean_sales!R:R)</f>
        <v>Pune</v>
      </c>
      <c r="E257" t="str">
        <f>_xlfn.XLOOKUP(B257,clean_sales!C:C,clean_sales!S:S)</f>
        <v>Maharashtra</v>
      </c>
    </row>
    <row r="258" spans="1:5" x14ac:dyDescent="0.35">
      <c r="A258">
        <f t="shared" si="3"/>
        <v>257</v>
      </c>
      <c r="B258" t="s">
        <v>2044</v>
      </c>
      <c r="C258" t="str">
        <f>_xlfn.XLOOKUP(B258,clean_sales!C:C,clean_sales!Q:Q)</f>
        <v>Nirvi Mall</v>
      </c>
      <c r="D258" t="str">
        <f>_xlfn.XLOOKUP(B258,clean_sales!C:C,clean_sales!R:R)</f>
        <v>Pune</v>
      </c>
      <c r="E258" t="str">
        <f>_xlfn.XLOOKUP(B258,clean_sales!C:C,clean_sales!S:S)</f>
        <v>Maharashtra</v>
      </c>
    </row>
    <row r="259" spans="1:5" x14ac:dyDescent="0.35">
      <c r="A259">
        <f t="shared" ref="A259:A322" si="4">ROW()-1</f>
        <v>258</v>
      </c>
      <c r="B259" t="s">
        <v>2045</v>
      </c>
      <c r="C259" t="str">
        <f>_xlfn.XLOOKUP(B259,clean_sales!C:C,clean_sales!Q:Q)</f>
        <v>Shanaya Setty</v>
      </c>
      <c r="D259" t="str">
        <f>_xlfn.XLOOKUP(B259,clean_sales!C:C,clean_sales!R:R)</f>
        <v>Chennai</v>
      </c>
      <c r="E259" t="str">
        <f>_xlfn.XLOOKUP(B259,clean_sales!C:C,clean_sales!S:S)</f>
        <v>Tamil Nadu</v>
      </c>
    </row>
    <row r="260" spans="1:5" x14ac:dyDescent="0.35">
      <c r="A260">
        <f t="shared" si="4"/>
        <v>259</v>
      </c>
      <c r="B260" t="s">
        <v>2046</v>
      </c>
      <c r="C260" t="str">
        <f>_xlfn.XLOOKUP(B260,clean_sales!C:C,clean_sales!Q:Q)</f>
        <v>Samaira Dora</v>
      </c>
      <c r="D260" t="str">
        <f>_xlfn.XLOOKUP(B260,clean_sales!C:C,clean_sales!R:R)</f>
        <v>Kolkata</v>
      </c>
      <c r="E260" t="str">
        <f>_xlfn.XLOOKUP(B260,clean_sales!C:C,clean_sales!S:S)</f>
        <v>West Bengal</v>
      </c>
    </row>
    <row r="261" spans="1:5" x14ac:dyDescent="0.35">
      <c r="A261">
        <f t="shared" si="4"/>
        <v>260</v>
      </c>
      <c r="B261" t="s">
        <v>2047</v>
      </c>
      <c r="C261" t="str">
        <f>_xlfn.XLOOKUP(B261,clean_sales!C:C,clean_sales!Q:Q)</f>
        <v>Tushar Dhar</v>
      </c>
      <c r="D261" t="str">
        <f>_xlfn.XLOOKUP(B261,clean_sales!C:C,clean_sales!R:R)</f>
        <v>Hyderabad</v>
      </c>
      <c r="E261" t="str">
        <f>_xlfn.XLOOKUP(B261,clean_sales!C:C,clean_sales!S:S)</f>
        <v>Telangana</v>
      </c>
    </row>
    <row r="262" spans="1:5" x14ac:dyDescent="0.35">
      <c r="A262">
        <f t="shared" si="4"/>
        <v>261</v>
      </c>
      <c r="B262" t="s">
        <v>2048</v>
      </c>
      <c r="C262" t="str">
        <f>_xlfn.XLOOKUP(B262,clean_sales!C:C,clean_sales!Q:Q)</f>
        <v>Ranbir Sahni</v>
      </c>
      <c r="D262" t="str">
        <f>_xlfn.XLOOKUP(B262,clean_sales!C:C,clean_sales!R:R)</f>
        <v>Bengaluru</v>
      </c>
      <c r="E262" t="str">
        <f>_xlfn.XLOOKUP(B262,clean_sales!C:C,clean_sales!S:S)</f>
        <v>Karnataka</v>
      </c>
    </row>
    <row r="263" spans="1:5" x14ac:dyDescent="0.35">
      <c r="A263">
        <f t="shared" si="4"/>
        <v>262</v>
      </c>
      <c r="B263" t="s">
        <v>2049</v>
      </c>
      <c r="C263" t="str">
        <f>_xlfn.XLOOKUP(B263,clean_sales!C:C,clean_sales!Q:Q)</f>
        <v>Devansh Mandal</v>
      </c>
      <c r="D263" t="str">
        <f>_xlfn.XLOOKUP(B263,clean_sales!C:C,clean_sales!R:R)</f>
        <v>Chennai</v>
      </c>
      <c r="E263" t="str">
        <f>_xlfn.XLOOKUP(B263,clean_sales!C:C,clean_sales!S:S)</f>
        <v>Tamil Nadu</v>
      </c>
    </row>
    <row r="264" spans="1:5" x14ac:dyDescent="0.35">
      <c r="A264">
        <f t="shared" si="4"/>
        <v>263</v>
      </c>
      <c r="B264" t="s">
        <v>2050</v>
      </c>
      <c r="C264" t="str">
        <f>_xlfn.XLOOKUP(B264,clean_sales!C:C,clean_sales!Q:Q)</f>
        <v>Miraan Rao</v>
      </c>
      <c r="D264" t="str">
        <f>_xlfn.XLOOKUP(B264,clean_sales!C:C,clean_sales!R:R)</f>
        <v>Hyderabad</v>
      </c>
      <c r="E264" t="str">
        <f>_xlfn.XLOOKUP(B264,clean_sales!C:C,clean_sales!S:S)</f>
        <v>Telangana</v>
      </c>
    </row>
    <row r="265" spans="1:5" x14ac:dyDescent="0.35">
      <c r="A265">
        <f t="shared" si="4"/>
        <v>264</v>
      </c>
      <c r="B265" t="s">
        <v>2051</v>
      </c>
      <c r="C265" t="str">
        <f>_xlfn.XLOOKUP(B265,clean_sales!C:C,clean_sales!Q:Q)</f>
        <v>Yasmin Shan</v>
      </c>
      <c r="D265" t="str">
        <f>_xlfn.XLOOKUP(B265,clean_sales!C:C,clean_sales!R:R)</f>
        <v>Hyderabad</v>
      </c>
      <c r="E265" t="str">
        <f>_xlfn.XLOOKUP(B265,clean_sales!C:C,clean_sales!S:S)</f>
        <v>Telangana</v>
      </c>
    </row>
    <row r="266" spans="1:5" x14ac:dyDescent="0.35">
      <c r="A266">
        <f t="shared" si="4"/>
        <v>265</v>
      </c>
      <c r="B266" t="s">
        <v>2052</v>
      </c>
      <c r="C266" t="str">
        <f>_xlfn.XLOOKUP(B266,clean_sales!C:C,clean_sales!Q:Q)</f>
        <v>Nayantara Zacharia</v>
      </c>
      <c r="D266" t="str">
        <f>_xlfn.XLOOKUP(B266,clean_sales!C:C,clean_sales!R:R)</f>
        <v>Mumbai</v>
      </c>
      <c r="E266" t="str">
        <f>_xlfn.XLOOKUP(B266,clean_sales!C:C,clean_sales!S:S)</f>
        <v>Maharashtra</v>
      </c>
    </row>
    <row r="267" spans="1:5" x14ac:dyDescent="0.35">
      <c r="A267">
        <f t="shared" si="4"/>
        <v>266</v>
      </c>
      <c r="B267" t="s">
        <v>2053</v>
      </c>
      <c r="C267" t="str">
        <f>_xlfn.XLOOKUP(B267,clean_sales!C:C,clean_sales!Q:Q)</f>
        <v>Vardaniya Virk</v>
      </c>
      <c r="D267" t="str">
        <f>_xlfn.XLOOKUP(B267,clean_sales!C:C,clean_sales!R:R)</f>
        <v>Mumbai</v>
      </c>
      <c r="E267" t="str">
        <f>_xlfn.XLOOKUP(B267,clean_sales!C:C,clean_sales!S:S)</f>
        <v>Maharashtra</v>
      </c>
    </row>
    <row r="268" spans="1:5" x14ac:dyDescent="0.35">
      <c r="A268">
        <f t="shared" si="4"/>
        <v>267</v>
      </c>
      <c r="B268" t="s">
        <v>2054</v>
      </c>
      <c r="C268" t="str">
        <f>_xlfn.XLOOKUP(B268,clean_sales!C:C,clean_sales!Q:Q)</f>
        <v>Biju Kapadia</v>
      </c>
      <c r="D268" t="str">
        <f>_xlfn.XLOOKUP(B268,clean_sales!C:C,clean_sales!R:R)</f>
        <v>Chennai</v>
      </c>
      <c r="E268" t="str">
        <f>_xlfn.XLOOKUP(B268,clean_sales!C:C,clean_sales!S:S)</f>
        <v>Tamil Nadu</v>
      </c>
    </row>
    <row r="269" spans="1:5" x14ac:dyDescent="0.35">
      <c r="A269">
        <f t="shared" si="4"/>
        <v>268</v>
      </c>
      <c r="B269" t="s">
        <v>2055</v>
      </c>
      <c r="C269" t="str">
        <f>_xlfn.XLOOKUP(B269,clean_sales!C:C,clean_sales!Q:Q)</f>
        <v>Krish Shah</v>
      </c>
      <c r="D269" t="str">
        <f>_xlfn.XLOOKUP(B269,clean_sales!C:C,clean_sales!R:R)</f>
        <v>Bengaluru</v>
      </c>
      <c r="E269" t="str">
        <f>_xlfn.XLOOKUP(B269,clean_sales!C:C,clean_sales!S:S)</f>
        <v>Karnataka</v>
      </c>
    </row>
    <row r="270" spans="1:5" x14ac:dyDescent="0.35">
      <c r="A270">
        <f t="shared" si="4"/>
        <v>269</v>
      </c>
      <c r="B270" t="s">
        <v>2056</v>
      </c>
      <c r="C270" t="str">
        <f>_xlfn.XLOOKUP(B270,clean_sales!C:C,clean_sales!Q:Q)</f>
        <v>Aaryahi Banik</v>
      </c>
      <c r="D270" t="str">
        <f>_xlfn.XLOOKUP(B270,clean_sales!C:C,clean_sales!R:R)</f>
        <v>Kolkata</v>
      </c>
      <c r="E270" t="str">
        <f>_xlfn.XLOOKUP(B270,clean_sales!C:C,clean_sales!S:S)</f>
        <v>West Bengal</v>
      </c>
    </row>
    <row r="271" spans="1:5" x14ac:dyDescent="0.35">
      <c r="A271">
        <f t="shared" si="4"/>
        <v>270</v>
      </c>
      <c r="B271" t="s">
        <v>2057</v>
      </c>
      <c r="C271" t="str">
        <f>_xlfn.XLOOKUP(B271,clean_sales!C:C,clean_sales!Q:Q)</f>
        <v>Tiya Kurian</v>
      </c>
      <c r="D271" t="str">
        <f>_xlfn.XLOOKUP(B271,clean_sales!C:C,clean_sales!R:R)</f>
        <v>Delhi</v>
      </c>
      <c r="E271" t="str">
        <f>_xlfn.XLOOKUP(B271,clean_sales!C:C,clean_sales!S:S)</f>
        <v>Delhi</v>
      </c>
    </row>
    <row r="272" spans="1:5" x14ac:dyDescent="0.35">
      <c r="A272">
        <f t="shared" si="4"/>
        <v>271</v>
      </c>
      <c r="B272" t="s">
        <v>2058</v>
      </c>
      <c r="C272" t="str">
        <f>_xlfn.XLOOKUP(B272,clean_sales!C:C,clean_sales!Q:Q)</f>
        <v>Yasmin Gera</v>
      </c>
      <c r="D272" t="str">
        <f>_xlfn.XLOOKUP(B272,clean_sales!C:C,clean_sales!R:R)</f>
        <v>Pune</v>
      </c>
      <c r="E272" t="str">
        <f>_xlfn.XLOOKUP(B272,clean_sales!C:C,clean_sales!S:S)</f>
        <v>Maharashtra</v>
      </c>
    </row>
    <row r="273" spans="1:5" x14ac:dyDescent="0.35">
      <c r="A273">
        <f t="shared" si="4"/>
        <v>272</v>
      </c>
      <c r="B273" t="s">
        <v>2059</v>
      </c>
      <c r="C273" t="str">
        <f>_xlfn.XLOOKUP(B273,clean_sales!C:C,clean_sales!Q:Q)</f>
        <v>Divyansh Ramesh</v>
      </c>
      <c r="D273" t="str">
        <f>_xlfn.XLOOKUP(B273,clean_sales!C:C,clean_sales!R:R)</f>
        <v>Pune</v>
      </c>
      <c r="E273" t="str">
        <f>_xlfn.XLOOKUP(B273,clean_sales!C:C,clean_sales!S:S)</f>
        <v>Maharashtra</v>
      </c>
    </row>
    <row r="274" spans="1:5" x14ac:dyDescent="0.35">
      <c r="A274">
        <f t="shared" si="4"/>
        <v>273</v>
      </c>
      <c r="B274" t="s">
        <v>2060</v>
      </c>
      <c r="C274" t="str">
        <f>_xlfn.XLOOKUP(B274,clean_sales!C:C,clean_sales!Q:Q)</f>
        <v>Renee Borra</v>
      </c>
      <c r="D274" t="str">
        <f>_xlfn.XLOOKUP(B274,clean_sales!C:C,clean_sales!R:R)</f>
        <v>Delhi</v>
      </c>
      <c r="E274" t="str">
        <f>_xlfn.XLOOKUP(B274,clean_sales!C:C,clean_sales!S:S)</f>
        <v>Delhi</v>
      </c>
    </row>
    <row r="275" spans="1:5" x14ac:dyDescent="0.35">
      <c r="A275">
        <f t="shared" si="4"/>
        <v>274</v>
      </c>
      <c r="B275" t="s">
        <v>2061</v>
      </c>
      <c r="C275" t="str">
        <f>_xlfn.XLOOKUP(B275,clean_sales!C:C,clean_sales!Q:Q)</f>
        <v>Anya Agrawal</v>
      </c>
      <c r="D275" t="str">
        <f>_xlfn.XLOOKUP(B275,clean_sales!C:C,clean_sales!R:R)</f>
        <v>Chennai</v>
      </c>
      <c r="E275" t="str">
        <f>_xlfn.XLOOKUP(B275,clean_sales!C:C,clean_sales!S:S)</f>
        <v>Tamil Nadu</v>
      </c>
    </row>
    <row r="276" spans="1:5" x14ac:dyDescent="0.35">
      <c r="A276">
        <f t="shared" si="4"/>
        <v>275</v>
      </c>
      <c r="B276" t="s">
        <v>2062</v>
      </c>
      <c r="C276" t="str">
        <f>_xlfn.XLOOKUP(B276,clean_sales!C:C,clean_sales!Q:Q)</f>
        <v>Nishith Trivedi</v>
      </c>
      <c r="D276" t="str">
        <f>_xlfn.XLOOKUP(B276,clean_sales!C:C,clean_sales!R:R)</f>
        <v>Delhi</v>
      </c>
      <c r="E276" t="str">
        <f>_xlfn.XLOOKUP(B276,clean_sales!C:C,clean_sales!S:S)</f>
        <v>Delhi</v>
      </c>
    </row>
    <row r="277" spans="1:5" x14ac:dyDescent="0.35">
      <c r="A277">
        <f t="shared" si="4"/>
        <v>276</v>
      </c>
      <c r="B277" t="s">
        <v>2063</v>
      </c>
      <c r="C277" t="str">
        <f>_xlfn.XLOOKUP(B277,clean_sales!C:C,clean_sales!Q:Q)</f>
        <v>Dhruv Gopal</v>
      </c>
      <c r="D277" t="str">
        <f>_xlfn.XLOOKUP(B277,clean_sales!C:C,clean_sales!R:R)</f>
        <v>Bengaluru</v>
      </c>
      <c r="E277" t="str">
        <f>_xlfn.XLOOKUP(B277,clean_sales!C:C,clean_sales!S:S)</f>
        <v>Karnataka</v>
      </c>
    </row>
    <row r="278" spans="1:5" x14ac:dyDescent="0.35">
      <c r="A278">
        <f t="shared" si="4"/>
        <v>277</v>
      </c>
      <c r="B278" t="s">
        <v>2064</v>
      </c>
      <c r="C278" t="str">
        <f>_xlfn.XLOOKUP(B278,clean_sales!C:C,clean_sales!Q:Q)</f>
        <v>Bhamini Kara</v>
      </c>
      <c r="D278" t="str">
        <f>_xlfn.XLOOKUP(B278,clean_sales!C:C,clean_sales!R:R)</f>
        <v>Bengaluru</v>
      </c>
      <c r="E278" t="str">
        <f>_xlfn.XLOOKUP(B278,clean_sales!C:C,clean_sales!S:S)</f>
        <v>Karnataka</v>
      </c>
    </row>
    <row r="279" spans="1:5" x14ac:dyDescent="0.35">
      <c r="A279">
        <f t="shared" si="4"/>
        <v>278</v>
      </c>
      <c r="B279" t="s">
        <v>2065</v>
      </c>
      <c r="C279" t="str">
        <f>_xlfn.XLOOKUP(B279,clean_sales!C:C,clean_sales!Q:Q)</f>
        <v>Mahika Sama</v>
      </c>
      <c r="D279" t="str">
        <f>_xlfn.XLOOKUP(B279,clean_sales!C:C,clean_sales!R:R)</f>
        <v>Hyderabad</v>
      </c>
      <c r="E279" t="str">
        <f>_xlfn.XLOOKUP(B279,clean_sales!C:C,clean_sales!S:S)</f>
        <v>Telangana</v>
      </c>
    </row>
    <row r="280" spans="1:5" x14ac:dyDescent="0.35">
      <c r="A280">
        <f t="shared" si="4"/>
        <v>279</v>
      </c>
      <c r="B280" t="s">
        <v>2066</v>
      </c>
      <c r="C280" t="str">
        <f>_xlfn.XLOOKUP(B280,clean_sales!C:C,clean_sales!Q:Q)</f>
        <v>Abram Hari</v>
      </c>
      <c r="D280" t="str">
        <f>_xlfn.XLOOKUP(B280,clean_sales!C:C,clean_sales!R:R)</f>
        <v>Mumbai</v>
      </c>
      <c r="E280" t="str">
        <f>_xlfn.XLOOKUP(B280,clean_sales!C:C,clean_sales!S:S)</f>
        <v>Maharashtra</v>
      </c>
    </row>
    <row r="281" spans="1:5" x14ac:dyDescent="0.35">
      <c r="A281">
        <f t="shared" si="4"/>
        <v>280</v>
      </c>
      <c r="B281" t="s">
        <v>2067</v>
      </c>
      <c r="C281" t="str">
        <f>_xlfn.XLOOKUP(B281,clean_sales!C:C,clean_sales!Q:Q)</f>
        <v>Jivika Tank</v>
      </c>
      <c r="D281" t="str">
        <f>_xlfn.XLOOKUP(B281,clean_sales!C:C,clean_sales!R:R)</f>
        <v>Pune</v>
      </c>
      <c r="E281" t="str">
        <f>_xlfn.XLOOKUP(B281,clean_sales!C:C,clean_sales!S:S)</f>
        <v>Maharashtra</v>
      </c>
    </row>
    <row r="282" spans="1:5" x14ac:dyDescent="0.35">
      <c r="A282">
        <f t="shared" si="4"/>
        <v>281</v>
      </c>
      <c r="B282" t="s">
        <v>2068</v>
      </c>
      <c r="C282" t="str">
        <f>_xlfn.XLOOKUP(B282,clean_sales!C:C,clean_sales!Q:Q)</f>
        <v>Sana Devi</v>
      </c>
      <c r="D282" t="str">
        <f>_xlfn.XLOOKUP(B282,clean_sales!C:C,clean_sales!R:R)</f>
        <v>Delhi</v>
      </c>
      <c r="E282" t="str">
        <f>_xlfn.XLOOKUP(B282,clean_sales!C:C,clean_sales!S:S)</f>
        <v>Delhi</v>
      </c>
    </row>
    <row r="283" spans="1:5" x14ac:dyDescent="0.35">
      <c r="A283">
        <f t="shared" si="4"/>
        <v>282</v>
      </c>
      <c r="B283" t="s">
        <v>2069</v>
      </c>
      <c r="C283" t="str">
        <f>_xlfn.XLOOKUP(B283,clean_sales!C:C,clean_sales!Q:Q)</f>
        <v>Zara Kala</v>
      </c>
      <c r="D283" t="str">
        <f>_xlfn.XLOOKUP(B283,clean_sales!C:C,clean_sales!R:R)</f>
        <v>Delhi</v>
      </c>
      <c r="E283" t="str">
        <f>_xlfn.XLOOKUP(B283,clean_sales!C:C,clean_sales!S:S)</f>
        <v>Delhi</v>
      </c>
    </row>
    <row r="284" spans="1:5" x14ac:dyDescent="0.35">
      <c r="A284">
        <f t="shared" si="4"/>
        <v>283</v>
      </c>
      <c r="B284" t="s">
        <v>2070</v>
      </c>
      <c r="C284" t="str">
        <f>_xlfn.XLOOKUP(B284,clean_sales!C:C,clean_sales!Q:Q)</f>
        <v>Tiya Master</v>
      </c>
      <c r="D284" t="str">
        <f>_xlfn.XLOOKUP(B284,clean_sales!C:C,clean_sales!R:R)</f>
        <v>Pune</v>
      </c>
      <c r="E284" t="str">
        <f>_xlfn.XLOOKUP(B284,clean_sales!C:C,clean_sales!S:S)</f>
        <v>Maharashtra</v>
      </c>
    </row>
    <row r="285" spans="1:5" x14ac:dyDescent="0.35">
      <c r="A285">
        <f t="shared" si="4"/>
        <v>284</v>
      </c>
      <c r="B285" t="s">
        <v>2071</v>
      </c>
      <c r="C285" t="str">
        <f>_xlfn.XLOOKUP(B285,clean_sales!C:C,clean_sales!Q:Q)</f>
        <v>Manjari Bhandari</v>
      </c>
      <c r="D285" t="str">
        <f>_xlfn.XLOOKUP(B285,clean_sales!C:C,clean_sales!R:R)</f>
        <v>Kolkata</v>
      </c>
      <c r="E285" t="str">
        <f>_xlfn.XLOOKUP(B285,clean_sales!C:C,clean_sales!S:S)</f>
        <v>West Bengal</v>
      </c>
    </row>
    <row r="286" spans="1:5" x14ac:dyDescent="0.35">
      <c r="A286">
        <f t="shared" si="4"/>
        <v>285</v>
      </c>
      <c r="B286" t="s">
        <v>2072</v>
      </c>
      <c r="C286" t="str">
        <f>_xlfn.XLOOKUP(B286,clean_sales!C:C,clean_sales!Q:Q)</f>
        <v>Neysa Sule</v>
      </c>
      <c r="D286" t="str">
        <f>_xlfn.XLOOKUP(B286,clean_sales!C:C,clean_sales!R:R)</f>
        <v>Chennai</v>
      </c>
      <c r="E286" t="str">
        <f>_xlfn.XLOOKUP(B286,clean_sales!C:C,clean_sales!S:S)</f>
        <v>Tamil Nadu</v>
      </c>
    </row>
    <row r="287" spans="1:5" x14ac:dyDescent="0.35">
      <c r="A287">
        <f t="shared" si="4"/>
        <v>286</v>
      </c>
      <c r="B287" t="s">
        <v>2073</v>
      </c>
      <c r="C287" t="str">
        <f>_xlfn.XLOOKUP(B287,clean_sales!C:C,clean_sales!Q:Q)</f>
        <v>Taran Chokshi</v>
      </c>
      <c r="D287" t="str">
        <f>_xlfn.XLOOKUP(B287,clean_sales!C:C,clean_sales!R:R)</f>
        <v>Pune</v>
      </c>
      <c r="E287" t="str">
        <f>_xlfn.XLOOKUP(B287,clean_sales!C:C,clean_sales!S:S)</f>
        <v>Maharashtra</v>
      </c>
    </row>
    <row r="288" spans="1:5" x14ac:dyDescent="0.35">
      <c r="A288">
        <f t="shared" si="4"/>
        <v>287</v>
      </c>
      <c r="B288" t="s">
        <v>2074</v>
      </c>
      <c r="C288" t="str">
        <f>_xlfn.XLOOKUP(B288,clean_sales!C:C,clean_sales!Q:Q)</f>
        <v>Kimaya Mani</v>
      </c>
      <c r="D288" t="str">
        <f>_xlfn.XLOOKUP(B288,clean_sales!C:C,clean_sales!R:R)</f>
        <v>Kolkata</v>
      </c>
      <c r="E288" t="str">
        <f>_xlfn.XLOOKUP(B288,clean_sales!C:C,clean_sales!S:S)</f>
        <v>West Bengal</v>
      </c>
    </row>
    <row r="289" spans="1:5" x14ac:dyDescent="0.35">
      <c r="A289">
        <f t="shared" si="4"/>
        <v>288</v>
      </c>
      <c r="B289" t="s">
        <v>2075</v>
      </c>
      <c r="C289" t="str">
        <f>_xlfn.XLOOKUP(B289,clean_sales!C:C,clean_sales!Q:Q)</f>
        <v>Divit Handa</v>
      </c>
      <c r="D289" t="str">
        <f>_xlfn.XLOOKUP(B289,clean_sales!C:C,clean_sales!R:R)</f>
        <v>Pune</v>
      </c>
      <c r="E289" t="str">
        <f>_xlfn.XLOOKUP(B289,clean_sales!C:C,clean_sales!S:S)</f>
        <v>Maharashtra</v>
      </c>
    </row>
    <row r="290" spans="1:5" x14ac:dyDescent="0.35">
      <c r="A290">
        <f t="shared" si="4"/>
        <v>289</v>
      </c>
      <c r="B290" t="s">
        <v>2076</v>
      </c>
      <c r="C290" t="str">
        <f>_xlfn.XLOOKUP(B290,clean_sales!C:C,clean_sales!Q:Q)</f>
        <v>Kaira Rau</v>
      </c>
      <c r="D290" t="str">
        <f>_xlfn.XLOOKUP(B290,clean_sales!C:C,clean_sales!R:R)</f>
        <v>Pune</v>
      </c>
      <c r="E290" t="str">
        <f>_xlfn.XLOOKUP(B290,clean_sales!C:C,clean_sales!S:S)</f>
        <v>Maharashtra</v>
      </c>
    </row>
    <row r="291" spans="1:5" x14ac:dyDescent="0.35">
      <c r="A291">
        <f t="shared" si="4"/>
        <v>290</v>
      </c>
      <c r="B291" t="s">
        <v>2077</v>
      </c>
      <c r="C291" t="str">
        <f>_xlfn.XLOOKUP(B291,clean_sales!C:C,clean_sales!Q:Q)</f>
        <v>Pranay Mammen</v>
      </c>
      <c r="D291" t="str">
        <f>_xlfn.XLOOKUP(B291,clean_sales!C:C,clean_sales!R:R)</f>
        <v>Kolkata</v>
      </c>
      <c r="E291" t="str">
        <f>_xlfn.XLOOKUP(B291,clean_sales!C:C,clean_sales!S:S)</f>
        <v>West Bengal</v>
      </c>
    </row>
    <row r="292" spans="1:5" x14ac:dyDescent="0.35">
      <c r="A292">
        <f t="shared" si="4"/>
        <v>291</v>
      </c>
      <c r="B292" t="s">
        <v>2078</v>
      </c>
      <c r="C292" t="str">
        <f>_xlfn.XLOOKUP(B292,clean_sales!C:C,clean_sales!Q:Q)</f>
        <v>Krish Bhattacharyya</v>
      </c>
      <c r="D292" t="str">
        <f>_xlfn.XLOOKUP(B292,clean_sales!C:C,clean_sales!R:R)</f>
        <v>Chennai</v>
      </c>
      <c r="E292" t="str">
        <f>_xlfn.XLOOKUP(B292,clean_sales!C:C,clean_sales!S:S)</f>
        <v>Tamil Nadu</v>
      </c>
    </row>
    <row r="293" spans="1:5" x14ac:dyDescent="0.35">
      <c r="A293">
        <f t="shared" si="4"/>
        <v>292</v>
      </c>
      <c r="B293" t="s">
        <v>2079</v>
      </c>
      <c r="C293" t="str">
        <f>_xlfn.XLOOKUP(B293,clean_sales!C:C,clean_sales!Q:Q)</f>
        <v>Jivin Bhagat</v>
      </c>
      <c r="D293" t="str">
        <f>_xlfn.XLOOKUP(B293,clean_sales!C:C,clean_sales!R:R)</f>
        <v>Bengaluru</v>
      </c>
      <c r="E293" t="str">
        <f>_xlfn.XLOOKUP(B293,clean_sales!C:C,clean_sales!S:S)</f>
        <v>Karnataka</v>
      </c>
    </row>
    <row r="294" spans="1:5" x14ac:dyDescent="0.35">
      <c r="A294">
        <f t="shared" si="4"/>
        <v>293</v>
      </c>
      <c r="B294" t="s">
        <v>2080</v>
      </c>
      <c r="C294" t="str">
        <f>_xlfn.XLOOKUP(B294,clean_sales!C:C,clean_sales!Q:Q)</f>
        <v>Himmat Mani</v>
      </c>
      <c r="D294" t="str">
        <f>_xlfn.XLOOKUP(B294,clean_sales!C:C,clean_sales!R:R)</f>
        <v>Pune</v>
      </c>
      <c r="E294" t="str">
        <f>_xlfn.XLOOKUP(B294,clean_sales!C:C,clean_sales!S:S)</f>
        <v>Maharashtra</v>
      </c>
    </row>
    <row r="295" spans="1:5" x14ac:dyDescent="0.35">
      <c r="A295">
        <f t="shared" si="4"/>
        <v>294</v>
      </c>
      <c r="B295" t="s">
        <v>2081</v>
      </c>
      <c r="C295" t="str">
        <f>_xlfn.XLOOKUP(B295,clean_sales!C:C,clean_sales!Q:Q)</f>
        <v>Chirag Sharaf</v>
      </c>
      <c r="D295" t="str">
        <f>_xlfn.XLOOKUP(B295,clean_sales!C:C,clean_sales!R:R)</f>
        <v>Bengaluru</v>
      </c>
      <c r="E295" t="str">
        <f>_xlfn.XLOOKUP(B295,clean_sales!C:C,clean_sales!S:S)</f>
        <v>Karnataka</v>
      </c>
    </row>
    <row r="296" spans="1:5" x14ac:dyDescent="0.35">
      <c r="A296">
        <f t="shared" si="4"/>
        <v>295</v>
      </c>
      <c r="B296" t="s">
        <v>2082</v>
      </c>
      <c r="C296" t="str">
        <f>_xlfn.XLOOKUP(B296,clean_sales!C:C,clean_sales!Q:Q)</f>
        <v>Zoya Korpal</v>
      </c>
      <c r="D296" t="str">
        <f>_xlfn.XLOOKUP(B296,clean_sales!C:C,clean_sales!R:R)</f>
        <v>Mumbai</v>
      </c>
      <c r="E296" t="str">
        <f>_xlfn.XLOOKUP(B296,clean_sales!C:C,clean_sales!S:S)</f>
        <v>Maharashtra</v>
      </c>
    </row>
    <row r="297" spans="1:5" x14ac:dyDescent="0.35">
      <c r="A297">
        <f t="shared" si="4"/>
        <v>296</v>
      </c>
      <c r="B297" t="s">
        <v>2083</v>
      </c>
      <c r="C297" t="str">
        <f>_xlfn.XLOOKUP(B297,clean_sales!C:C,clean_sales!Q:Q)</f>
        <v>Darshit Walia</v>
      </c>
      <c r="D297" t="str">
        <f>_xlfn.XLOOKUP(B297,clean_sales!C:C,clean_sales!R:R)</f>
        <v>Bengaluru</v>
      </c>
      <c r="E297" t="str">
        <f>_xlfn.XLOOKUP(B297,clean_sales!C:C,clean_sales!S:S)</f>
        <v>Karnataka</v>
      </c>
    </row>
    <row r="298" spans="1:5" x14ac:dyDescent="0.35">
      <c r="A298">
        <f t="shared" si="4"/>
        <v>297</v>
      </c>
      <c r="B298" t="s">
        <v>2084</v>
      </c>
      <c r="C298" t="str">
        <f>_xlfn.XLOOKUP(B298,clean_sales!C:C,clean_sales!Q:Q)</f>
        <v>Indrans Singhal</v>
      </c>
      <c r="D298" t="str">
        <f>_xlfn.XLOOKUP(B298,clean_sales!C:C,clean_sales!R:R)</f>
        <v>Delhi</v>
      </c>
      <c r="E298" t="str">
        <f>_xlfn.XLOOKUP(B298,clean_sales!C:C,clean_sales!S:S)</f>
        <v>Delhi</v>
      </c>
    </row>
    <row r="299" spans="1:5" x14ac:dyDescent="0.35">
      <c r="A299">
        <f t="shared" si="4"/>
        <v>298</v>
      </c>
      <c r="B299" t="s">
        <v>2085</v>
      </c>
      <c r="C299" t="str">
        <f>_xlfn.XLOOKUP(B299,clean_sales!C:C,clean_sales!Q:Q)</f>
        <v>Arnav Vora</v>
      </c>
      <c r="D299" t="str">
        <f>_xlfn.XLOOKUP(B299,clean_sales!C:C,clean_sales!R:R)</f>
        <v>Delhi</v>
      </c>
      <c r="E299" t="str">
        <f>_xlfn.XLOOKUP(B299,clean_sales!C:C,clean_sales!S:S)</f>
        <v>Delhi</v>
      </c>
    </row>
    <row r="300" spans="1:5" x14ac:dyDescent="0.35">
      <c r="A300">
        <f t="shared" si="4"/>
        <v>299</v>
      </c>
      <c r="B300" t="s">
        <v>2086</v>
      </c>
      <c r="C300" t="str">
        <f>_xlfn.XLOOKUP(B300,clean_sales!C:C,clean_sales!Q:Q)</f>
        <v>Yuvraj Bumb</v>
      </c>
      <c r="D300" t="str">
        <f>_xlfn.XLOOKUP(B300,clean_sales!C:C,clean_sales!R:R)</f>
        <v>Hyderabad</v>
      </c>
      <c r="E300" t="str">
        <f>_xlfn.XLOOKUP(B300,clean_sales!C:C,clean_sales!S:S)</f>
        <v>Telangana</v>
      </c>
    </row>
    <row r="301" spans="1:5" x14ac:dyDescent="0.35">
      <c r="A301">
        <f t="shared" si="4"/>
        <v>300</v>
      </c>
      <c r="B301" t="s">
        <v>2087</v>
      </c>
      <c r="C301" t="str">
        <f>_xlfn.XLOOKUP(B301,clean_sales!C:C,clean_sales!Q:Q)</f>
        <v>Riaan Wason</v>
      </c>
      <c r="D301" t="str">
        <f>_xlfn.XLOOKUP(B301,clean_sales!C:C,clean_sales!R:R)</f>
        <v>Mumbai</v>
      </c>
      <c r="E301" t="str">
        <f>_xlfn.XLOOKUP(B301,clean_sales!C:C,clean_sales!S:S)</f>
        <v>Maharashtra</v>
      </c>
    </row>
    <row r="302" spans="1:5" x14ac:dyDescent="0.35">
      <c r="A302">
        <f t="shared" si="4"/>
        <v>301</v>
      </c>
      <c r="B302" t="s">
        <v>2088</v>
      </c>
      <c r="C302" t="str">
        <f>_xlfn.XLOOKUP(B302,clean_sales!C:C,clean_sales!Q:Q)</f>
        <v>Mishti Karpe</v>
      </c>
      <c r="D302" t="str">
        <f>_xlfn.XLOOKUP(B302,clean_sales!C:C,clean_sales!R:R)</f>
        <v>Pune</v>
      </c>
      <c r="E302" t="str">
        <f>_xlfn.XLOOKUP(B302,clean_sales!C:C,clean_sales!S:S)</f>
        <v>Maharashtra</v>
      </c>
    </row>
    <row r="303" spans="1:5" x14ac:dyDescent="0.35">
      <c r="A303">
        <f t="shared" si="4"/>
        <v>302</v>
      </c>
      <c r="B303" t="s">
        <v>2089</v>
      </c>
      <c r="C303" t="str">
        <f>_xlfn.XLOOKUP(B303,clean_sales!C:C,clean_sales!Q:Q)</f>
        <v>Prerak Roy</v>
      </c>
      <c r="D303" t="str">
        <f>_xlfn.XLOOKUP(B303,clean_sales!C:C,clean_sales!R:R)</f>
        <v>Chennai</v>
      </c>
      <c r="E303" t="str">
        <f>_xlfn.XLOOKUP(B303,clean_sales!C:C,clean_sales!S:S)</f>
        <v>Tamil Nadu</v>
      </c>
    </row>
    <row r="304" spans="1:5" x14ac:dyDescent="0.35">
      <c r="A304">
        <f t="shared" si="4"/>
        <v>303</v>
      </c>
      <c r="B304" t="s">
        <v>2090</v>
      </c>
      <c r="C304" t="str">
        <f>_xlfn.XLOOKUP(B304,clean_sales!C:C,clean_sales!Q:Q)</f>
        <v>Alia Vohra</v>
      </c>
      <c r="D304" t="str">
        <f>_xlfn.XLOOKUP(B304,clean_sales!C:C,clean_sales!R:R)</f>
        <v>Pune</v>
      </c>
      <c r="E304" t="str">
        <f>_xlfn.XLOOKUP(B304,clean_sales!C:C,clean_sales!S:S)</f>
        <v>Maharashtra</v>
      </c>
    </row>
    <row r="305" spans="1:5" x14ac:dyDescent="0.35">
      <c r="A305">
        <f t="shared" si="4"/>
        <v>304</v>
      </c>
      <c r="B305" t="s">
        <v>2091</v>
      </c>
      <c r="C305" t="str">
        <f>_xlfn.XLOOKUP(B305,clean_sales!C:C,clean_sales!Q:Q)</f>
        <v>Kanav Iyer</v>
      </c>
      <c r="D305" t="str">
        <f>_xlfn.XLOOKUP(B305,clean_sales!C:C,clean_sales!R:R)</f>
        <v>Chennai</v>
      </c>
      <c r="E305" t="str">
        <f>_xlfn.XLOOKUP(B305,clean_sales!C:C,clean_sales!S:S)</f>
        <v>Tamil Nadu</v>
      </c>
    </row>
    <row r="306" spans="1:5" x14ac:dyDescent="0.35">
      <c r="A306">
        <f t="shared" si="4"/>
        <v>305</v>
      </c>
      <c r="B306" t="s">
        <v>2092</v>
      </c>
      <c r="C306" t="str">
        <f>_xlfn.XLOOKUP(B306,clean_sales!C:C,clean_sales!Q:Q)</f>
        <v>Kavya Mandal</v>
      </c>
      <c r="D306" t="str">
        <f>_xlfn.XLOOKUP(B306,clean_sales!C:C,clean_sales!R:R)</f>
        <v>Bengaluru</v>
      </c>
      <c r="E306" t="str">
        <f>_xlfn.XLOOKUP(B306,clean_sales!C:C,clean_sales!S:S)</f>
        <v>Karnataka</v>
      </c>
    </row>
    <row r="307" spans="1:5" x14ac:dyDescent="0.35">
      <c r="A307">
        <f t="shared" si="4"/>
        <v>306</v>
      </c>
      <c r="B307" t="s">
        <v>2093</v>
      </c>
      <c r="C307" t="str">
        <f>_xlfn.XLOOKUP(B307,clean_sales!C:C,clean_sales!Q:Q)</f>
        <v>Mohanlal Shan</v>
      </c>
      <c r="D307" t="str">
        <f>_xlfn.XLOOKUP(B307,clean_sales!C:C,clean_sales!R:R)</f>
        <v>Hyderabad</v>
      </c>
      <c r="E307" t="str">
        <f>_xlfn.XLOOKUP(B307,clean_sales!C:C,clean_sales!S:S)</f>
        <v>Telangana</v>
      </c>
    </row>
    <row r="308" spans="1:5" x14ac:dyDescent="0.35">
      <c r="A308">
        <f t="shared" si="4"/>
        <v>307</v>
      </c>
      <c r="B308" t="s">
        <v>2094</v>
      </c>
      <c r="C308" t="str">
        <f>_xlfn.XLOOKUP(B308,clean_sales!C:C,clean_sales!Q:Q)</f>
        <v>Aarna Bala</v>
      </c>
      <c r="D308" t="str">
        <f>_xlfn.XLOOKUP(B308,clean_sales!C:C,clean_sales!R:R)</f>
        <v>Bengaluru</v>
      </c>
      <c r="E308" t="str">
        <f>_xlfn.XLOOKUP(B308,clean_sales!C:C,clean_sales!S:S)</f>
        <v>Karnataka</v>
      </c>
    </row>
    <row r="309" spans="1:5" x14ac:dyDescent="0.35">
      <c r="A309">
        <f t="shared" si="4"/>
        <v>308</v>
      </c>
      <c r="B309" t="s">
        <v>2095</v>
      </c>
      <c r="C309" t="str">
        <f>_xlfn.XLOOKUP(B309,clean_sales!C:C,clean_sales!Q:Q)</f>
        <v>Aradhya Uppal</v>
      </c>
      <c r="D309" t="str">
        <f>_xlfn.XLOOKUP(B309,clean_sales!C:C,clean_sales!R:R)</f>
        <v>Bengaluru</v>
      </c>
      <c r="E309" t="str">
        <f>_xlfn.XLOOKUP(B309,clean_sales!C:C,clean_sales!S:S)</f>
        <v>Karnataka</v>
      </c>
    </row>
    <row r="310" spans="1:5" x14ac:dyDescent="0.35">
      <c r="A310">
        <f t="shared" si="4"/>
        <v>309</v>
      </c>
      <c r="B310" t="s">
        <v>2096</v>
      </c>
      <c r="C310" t="str">
        <f>_xlfn.XLOOKUP(B310,clean_sales!C:C,clean_sales!Q:Q)</f>
        <v>Hansh Ratti</v>
      </c>
      <c r="D310" t="str">
        <f>_xlfn.XLOOKUP(B310,clean_sales!C:C,clean_sales!R:R)</f>
        <v>Delhi</v>
      </c>
      <c r="E310" t="str">
        <f>_xlfn.XLOOKUP(B310,clean_sales!C:C,clean_sales!S:S)</f>
        <v>Delhi</v>
      </c>
    </row>
    <row r="311" spans="1:5" x14ac:dyDescent="0.35">
      <c r="A311">
        <f t="shared" si="4"/>
        <v>310</v>
      </c>
      <c r="B311" t="s">
        <v>2097</v>
      </c>
      <c r="C311" t="str">
        <f>_xlfn.XLOOKUP(B311,clean_sales!C:C,clean_sales!Q:Q)</f>
        <v>Purab Bhavsar</v>
      </c>
      <c r="D311" t="str">
        <f>_xlfn.XLOOKUP(B311,clean_sales!C:C,clean_sales!R:R)</f>
        <v>Hyderabad</v>
      </c>
      <c r="E311" t="str">
        <f>_xlfn.XLOOKUP(B311,clean_sales!C:C,clean_sales!S:S)</f>
        <v>Telangana</v>
      </c>
    </row>
    <row r="312" spans="1:5" x14ac:dyDescent="0.35">
      <c r="A312">
        <f t="shared" si="4"/>
        <v>311</v>
      </c>
      <c r="B312" t="s">
        <v>2098</v>
      </c>
      <c r="C312" t="str">
        <f>_xlfn.XLOOKUP(B312,clean_sales!C:C,clean_sales!Q:Q)</f>
        <v>Vanya Sundaram</v>
      </c>
      <c r="D312" t="str">
        <f>_xlfn.XLOOKUP(B312,clean_sales!C:C,clean_sales!R:R)</f>
        <v>Delhi</v>
      </c>
      <c r="E312" t="str">
        <f>_xlfn.XLOOKUP(B312,clean_sales!C:C,clean_sales!S:S)</f>
        <v>Delhi</v>
      </c>
    </row>
    <row r="313" spans="1:5" x14ac:dyDescent="0.35">
      <c r="A313">
        <f t="shared" si="4"/>
        <v>312</v>
      </c>
      <c r="B313" t="s">
        <v>2099</v>
      </c>
      <c r="C313" t="str">
        <f>_xlfn.XLOOKUP(B313,clean_sales!C:C,clean_sales!Q:Q)</f>
        <v>Oorja Wadhwa</v>
      </c>
      <c r="D313" t="str">
        <f>_xlfn.XLOOKUP(B313,clean_sales!C:C,clean_sales!R:R)</f>
        <v>Delhi</v>
      </c>
      <c r="E313" t="str">
        <f>_xlfn.XLOOKUP(B313,clean_sales!C:C,clean_sales!S:S)</f>
        <v>Delhi</v>
      </c>
    </row>
    <row r="314" spans="1:5" x14ac:dyDescent="0.35">
      <c r="A314">
        <f t="shared" si="4"/>
        <v>313</v>
      </c>
      <c r="B314" t="s">
        <v>2100</v>
      </c>
      <c r="C314" t="str">
        <f>_xlfn.XLOOKUP(B314,clean_sales!C:C,clean_sales!Q:Q)</f>
        <v>Azad Ghose</v>
      </c>
      <c r="D314" t="str">
        <f>_xlfn.XLOOKUP(B314,clean_sales!C:C,clean_sales!R:R)</f>
        <v>Mumbai</v>
      </c>
      <c r="E314" t="str">
        <f>_xlfn.XLOOKUP(B314,clean_sales!C:C,clean_sales!S:S)</f>
        <v>Maharashtra</v>
      </c>
    </row>
    <row r="315" spans="1:5" x14ac:dyDescent="0.35">
      <c r="A315">
        <f t="shared" si="4"/>
        <v>314</v>
      </c>
      <c r="B315" t="s">
        <v>2101</v>
      </c>
      <c r="C315" t="str">
        <f>_xlfn.XLOOKUP(B315,clean_sales!C:C,clean_sales!Q:Q)</f>
        <v>Krish Maharaj</v>
      </c>
      <c r="D315" t="str">
        <f>_xlfn.XLOOKUP(B315,clean_sales!C:C,clean_sales!R:R)</f>
        <v>Chennai</v>
      </c>
      <c r="E315" t="str">
        <f>_xlfn.XLOOKUP(B315,clean_sales!C:C,clean_sales!S:S)</f>
        <v>Tamil Nadu</v>
      </c>
    </row>
    <row r="316" spans="1:5" x14ac:dyDescent="0.35">
      <c r="A316">
        <f t="shared" si="4"/>
        <v>315</v>
      </c>
      <c r="B316" t="s">
        <v>2102</v>
      </c>
      <c r="C316" t="str">
        <f>_xlfn.XLOOKUP(B316,clean_sales!C:C,clean_sales!Q:Q)</f>
        <v>Vivaan Thakur</v>
      </c>
      <c r="D316" t="str">
        <f>_xlfn.XLOOKUP(B316,clean_sales!C:C,clean_sales!R:R)</f>
        <v>Chennai</v>
      </c>
      <c r="E316" t="str">
        <f>_xlfn.XLOOKUP(B316,clean_sales!C:C,clean_sales!S:S)</f>
        <v>Tamil Nadu</v>
      </c>
    </row>
    <row r="317" spans="1:5" x14ac:dyDescent="0.35">
      <c r="A317">
        <f t="shared" si="4"/>
        <v>316</v>
      </c>
      <c r="B317" t="s">
        <v>2103</v>
      </c>
      <c r="C317" t="str">
        <f>_xlfn.XLOOKUP(B317,clean_sales!C:C,clean_sales!Q:Q)</f>
        <v>Onkar Dass</v>
      </c>
      <c r="D317" t="str">
        <f>_xlfn.XLOOKUP(B317,clean_sales!C:C,clean_sales!R:R)</f>
        <v>Mumbai</v>
      </c>
      <c r="E317" t="str">
        <f>_xlfn.XLOOKUP(B317,clean_sales!C:C,clean_sales!S:S)</f>
        <v>Maharashtra</v>
      </c>
    </row>
    <row r="318" spans="1:5" x14ac:dyDescent="0.35">
      <c r="A318">
        <f t="shared" si="4"/>
        <v>317</v>
      </c>
      <c r="B318" t="s">
        <v>2104</v>
      </c>
      <c r="C318" t="str">
        <f>_xlfn.XLOOKUP(B318,clean_sales!C:C,clean_sales!Q:Q)</f>
        <v>Anika Chaudhry</v>
      </c>
      <c r="D318" t="str">
        <f>_xlfn.XLOOKUP(B318,clean_sales!C:C,clean_sales!R:R)</f>
        <v>Kolkata</v>
      </c>
      <c r="E318" t="str">
        <f>_xlfn.XLOOKUP(B318,clean_sales!C:C,clean_sales!S:S)</f>
        <v>West Bengal</v>
      </c>
    </row>
    <row r="319" spans="1:5" x14ac:dyDescent="0.35">
      <c r="A319">
        <f t="shared" si="4"/>
        <v>318</v>
      </c>
      <c r="B319" t="s">
        <v>2105</v>
      </c>
      <c r="C319" t="str">
        <f>_xlfn.XLOOKUP(B319,clean_sales!C:C,clean_sales!Q:Q)</f>
        <v>Indranil Ramaswamy</v>
      </c>
      <c r="D319" t="str">
        <f>_xlfn.XLOOKUP(B319,clean_sales!C:C,clean_sales!R:R)</f>
        <v>Bengaluru</v>
      </c>
      <c r="E319" t="str">
        <f>_xlfn.XLOOKUP(B319,clean_sales!C:C,clean_sales!S:S)</f>
        <v>Karnataka</v>
      </c>
    </row>
    <row r="320" spans="1:5" x14ac:dyDescent="0.35">
      <c r="A320">
        <f t="shared" si="4"/>
        <v>319</v>
      </c>
      <c r="B320" t="s">
        <v>2106</v>
      </c>
      <c r="C320" t="str">
        <f>_xlfn.XLOOKUP(B320,clean_sales!C:C,clean_sales!Q:Q)</f>
        <v>Farhan Thaman</v>
      </c>
      <c r="D320" t="str">
        <f>_xlfn.XLOOKUP(B320,clean_sales!C:C,clean_sales!R:R)</f>
        <v>Pune</v>
      </c>
      <c r="E320" t="str">
        <f>_xlfn.XLOOKUP(B320,clean_sales!C:C,clean_sales!S:S)</f>
        <v>Maharashtra</v>
      </c>
    </row>
    <row r="321" spans="1:5" x14ac:dyDescent="0.35">
      <c r="A321">
        <f t="shared" si="4"/>
        <v>320</v>
      </c>
      <c r="B321" t="s">
        <v>2107</v>
      </c>
      <c r="C321" t="str">
        <f>_xlfn.XLOOKUP(B321,clean_sales!C:C,clean_sales!Q:Q)</f>
        <v>Drishya Divan</v>
      </c>
      <c r="D321" t="str">
        <f>_xlfn.XLOOKUP(B321,clean_sales!C:C,clean_sales!R:R)</f>
        <v>Chennai</v>
      </c>
      <c r="E321" t="str">
        <f>_xlfn.XLOOKUP(B321,clean_sales!C:C,clean_sales!S:S)</f>
        <v>Tamil Nadu</v>
      </c>
    </row>
    <row r="322" spans="1:5" x14ac:dyDescent="0.35">
      <c r="A322">
        <f t="shared" si="4"/>
        <v>321</v>
      </c>
      <c r="B322" t="s">
        <v>2108</v>
      </c>
      <c r="C322" t="str">
        <f>_xlfn.XLOOKUP(B322,clean_sales!C:C,clean_sales!Q:Q)</f>
        <v>Reyansh Sen</v>
      </c>
      <c r="D322" t="str">
        <f>_xlfn.XLOOKUP(B322,clean_sales!C:C,clean_sales!R:R)</f>
        <v>Delhi</v>
      </c>
      <c r="E322" t="str">
        <f>_xlfn.XLOOKUP(B322,clean_sales!C:C,clean_sales!S:S)</f>
        <v>Delhi</v>
      </c>
    </row>
    <row r="323" spans="1:5" x14ac:dyDescent="0.35">
      <c r="A323">
        <f t="shared" ref="A323:A386" si="5">ROW()-1</f>
        <v>322</v>
      </c>
      <c r="B323" t="s">
        <v>2109</v>
      </c>
      <c r="C323" t="str">
        <f>_xlfn.XLOOKUP(B323,clean_sales!C:C,clean_sales!Q:Q)</f>
        <v>Shray Tailor</v>
      </c>
      <c r="D323" t="str">
        <f>_xlfn.XLOOKUP(B323,clean_sales!C:C,clean_sales!R:R)</f>
        <v>Mumbai</v>
      </c>
      <c r="E323" t="str">
        <f>_xlfn.XLOOKUP(B323,clean_sales!C:C,clean_sales!S:S)</f>
        <v>Maharashtra</v>
      </c>
    </row>
    <row r="324" spans="1:5" x14ac:dyDescent="0.35">
      <c r="A324">
        <f t="shared" si="5"/>
        <v>323</v>
      </c>
      <c r="B324" t="s">
        <v>2110</v>
      </c>
      <c r="C324" t="str">
        <f>_xlfn.XLOOKUP(B324,clean_sales!C:C,clean_sales!Q:Q)</f>
        <v>Eva Dube</v>
      </c>
      <c r="D324" t="str">
        <f>_xlfn.XLOOKUP(B324,clean_sales!C:C,clean_sales!R:R)</f>
        <v>Kolkata</v>
      </c>
      <c r="E324" t="str">
        <f>_xlfn.XLOOKUP(B324,clean_sales!C:C,clean_sales!S:S)</f>
        <v>West Bengal</v>
      </c>
    </row>
    <row r="325" spans="1:5" x14ac:dyDescent="0.35">
      <c r="A325">
        <f t="shared" si="5"/>
        <v>324</v>
      </c>
      <c r="B325" t="s">
        <v>2111</v>
      </c>
      <c r="C325" t="str">
        <f>_xlfn.XLOOKUP(B325,clean_sales!C:C,clean_sales!Q:Q)</f>
        <v>Amira Varghese</v>
      </c>
      <c r="D325" t="str">
        <f>_xlfn.XLOOKUP(B325,clean_sales!C:C,clean_sales!R:R)</f>
        <v>Mumbai</v>
      </c>
      <c r="E325" t="str">
        <f>_xlfn.XLOOKUP(B325,clean_sales!C:C,clean_sales!S:S)</f>
        <v>Maharashtra</v>
      </c>
    </row>
    <row r="326" spans="1:5" x14ac:dyDescent="0.35">
      <c r="A326">
        <f t="shared" si="5"/>
        <v>325</v>
      </c>
      <c r="B326" t="s">
        <v>2112</v>
      </c>
      <c r="C326" t="str">
        <f>_xlfn.XLOOKUP(B326,clean_sales!C:C,clean_sales!Q:Q)</f>
        <v>Yuvaan Bawa</v>
      </c>
      <c r="D326" t="str">
        <f>_xlfn.XLOOKUP(B326,clean_sales!C:C,clean_sales!R:R)</f>
        <v>Chennai</v>
      </c>
      <c r="E326" t="str">
        <f>_xlfn.XLOOKUP(B326,clean_sales!C:C,clean_sales!S:S)</f>
        <v>Tamil Nadu</v>
      </c>
    </row>
    <row r="327" spans="1:5" x14ac:dyDescent="0.35">
      <c r="A327">
        <f t="shared" si="5"/>
        <v>326</v>
      </c>
      <c r="B327" t="s">
        <v>2113</v>
      </c>
      <c r="C327" t="str">
        <f>_xlfn.XLOOKUP(B327,clean_sales!C:C,clean_sales!Q:Q)</f>
        <v>Alia Shah</v>
      </c>
      <c r="D327" t="str">
        <f>_xlfn.XLOOKUP(B327,clean_sales!C:C,clean_sales!R:R)</f>
        <v>Mumbai</v>
      </c>
      <c r="E327" t="str">
        <f>_xlfn.XLOOKUP(B327,clean_sales!C:C,clean_sales!S:S)</f>
        <v>Maharashtra</v>
      </c>
    </row>
    <row r="328" spans="1:5" x14ac:dyDescent="0.35">
      <c r="A328">
        <f t="shared" si="5"/>
        <v>327</v>
      </c>
      <c r="B328" t="s">
        <v>2114</v>
      </c>
      <c r="C328" t="str">
        <f>_xlfn.XLOOKUP(B328,clean_sales!C:C,clean_sales!Q:Q)</f>
        <v>Renee Choudhry</v>
      </c>
      <c r="D328" t="str">
        <f>_xlfn.XLOOKUP(B328,clean_sales!C:C,clean_sales!R:R)</f>
        <v>Bengaluru</v>
      </c>
      <c r="E328" t="str">
        <f>_xlfn.XLOOKUP(B328,clean_sales!C:C,clean_sales!S:S)</f>
        <v>Karnataka</v>
      </c>
    </row>
    <row r="329" spans="1:5" x14ac:dyDescent="0.35">
      <c r="A329">
        <f t="shared" si="5"/>
        <v>328</v>
      </c>
      <c r="B329" t="s">
        <v>2115</v>
      </c>
      <c r="C329" t="str">
        <f>_xlfn.XLOOKUP(B329,clean_sales!C:C,clean_sales!Q:Q)</f>
        <v>Arhaan Venkataraman</v>
      </c>
      <c r="D329" t="str">
        <f>_xlfn.XLOOKUP(B329,clean_sales!C:C,clean_sales!R:R)</f>
        <v>Chennai</v>
      </c>
      <c r="E329" t="str">
        <f>_xlfn.XLOOKUP(B329,clean_sales!C:C,clean_sales!S:S)</f>
        <v>Tamil Nadu</v>
      </c>
    </row>
    <row r="330" spans="1:5" x14ac:dyDescent="0.35">
      <c r="A330">
        <f t="shared" si="5"/>
        <v>329</v>
      </c>
      <c r="B330" t="s">
        <v>2116</v>
      </c>
      <c r="C330" t="str">
        <f>_xlfn.XLOOKUP(B330,clean_sales!C:C,clean_sales!Q:Q)</f>
        <v>Mamooty Krishna</v>
      </c>
      <c r="D330" t="str">
        <f>_xlfn.XLOOKUP(B330,clean_sales!C:C,clean_sales!R:R)</f>
        <v>Bengaluru</v>
      </c>
      <c r="E330" t="str">
        <f>_xlfn.XLOOKUP(B330,clean_sales!C:C,clean_sales!S:S)</f>
        <v>Karnataka</v>
      </c>
    </row>
    <row r="331" spans="1:5" x14ac:dyDescent="0.35">
      <c r="A331">
        <f t="shared" si="5"/>
        <v>330</v>
      </c>
      <c r="B331" t="s">
        <v>2117</v>
      </c>
      <c r="C331" t="str">
        <f>_xlfn.XLOOKUP(B331,clean_sales!C:C,clean_sales!Q:Q)</f>
        <v>Saira Koshy</v>
      </c>
      <c r="D331" t="str">
        <f>_xlfn.XLOOKUP(B331,clean_sales!C:C,clean_sales!R:R)</f>
        <v>Hyderabad</v>
      </c>
      <c r="E331" t="str">
        <f>_xlfn.XLOOKUP(B331,clean_sales!C:C,clean_sales!S:S)</f>
        <v>Telangana</v>
      </c>
    </row>
    <row r="332" spans="1:5" x14ac:dyDescent="0.35">
      <c r="A332">
        <f t="shared" si="5"/>
        <v>331</v>
      </c>
      <c r="B332" t="s">
        <v>2118</v>
      </c>
      <c r="C332" t="str">
        <f>_xlfn.XLOOKUP(B332,clean_sales!C:C,clean_sales!Q:Q)</f>
        <v>Kabir Kala</v>
      </c>
      <c r="D332" t="str">
        <f>_xlfn.XLOOKUP(B332,clean_sales!C:C,clean_sales!R:R)</f>
        <v>Mumbai</v>
      </c>
      <c r="E332" t="str">
        <f>_xlfn.XLOOKUP(B332,clean_sales!C:C,clean_sales!S:S)</f>
        <v>Maharashtra</v>
      </c>
    </row>
    <row r="333" spans="1:5" x14ac:dyDescent="0.35">
      <c r="A333">
        <f t="shared" si="5"/>
        <v>332</v>
      </c>
      <c r="B333" t="s">
        <v>2119</v>
      </c>
      <c r="C333" t="str">
        <f>_xlfn.XLOOKUP(B333,clean_sales!C:C,clean_sales!Q:Q)</f>
        <v>Vedika Reddy</v>
      </c>
      <c r="D333" t="str">
        <f>_xlfn.XLOOKUP(B333,clean_sales!C:C,clean_sales!R:R)</f>
        <v>Delhi</v>
      </c>
      <c r="E333" t="str">
        <f>_xlfn.XLOOKUP(B333,clean_sales!C:C,clean_sales!S:S)</f>
        <v>Delhi</v>
      </c>
    </row>
    <row r="334" spans="1:5" x14ac:dyDescent="0.35">
      <c r="A334">
        <f t="shared" si="5"/>
        <v>333</v>
      </c>
      <c r="B334" t="s">
        <v>2120</v>
      </c>
      <c r="C334" t="str">
        <f>_xlfn.XLOOKUP(B334,clean_sales!C:C,clean_sales!Q:Q)</f>
        <v>Kavya Badami</v>
      </c>
      <c r="D334" t="str">
        <f>_xlfn.XLOOKUP(B334,clean_sales!C:C,clean_sales!R:R)</f>
        <v>Hyderabad</v>
      </c>
      <c r="E334" t="str">
        <f>_xlfn.XLOOKUP(B334,clean_sales!C:C,clean_sales!S:S)</f>
        <v>Telangana</v>
      </c>
    </row>
    <row r="335" spans="1:5" x14ac:dyDescent="0.35">
      <c r="A335">
        <f t="shared" si="5"/>
        <v>334</v>
      </c>
      <c r="B335" t="s">
        <v>2121</v>
      </c>
      <c r="C335" t="str">
        <f>_xlfn.XLOOKUP(B335,clean_sales!C:C,clean_sales!Q:Q)</f>
        <v>Hiran Ganesan</v>
      </c>
      <c r="D335" t="str">
        <f>_xlfn.XLOOKUP(B335,clean_sales!C:C,clean_sales!R:R)</f>
        <v>Mumbai</v>
      </c>
      <c r="E335" t="str">
        <f>_xlfn.XLOOKUP(B335,clean_sales!C:C,clean_sales!S:S)</f>
        <v>Maharashtra</v>
      </c>
    </row>
    <row r="336" spans="1:5" x14ac:dyDescent="0.35">
      <c r="A336">
        <f t="shared" si="5"/>
        <v>335</v>
      </c>
      <c r="B336" t="s">
        <v>2122</v>
      </c>
      <c r="C336" t="str">
        <f>_xlfn.XLOOKUP(B336,clean_sales!C:C,clean_sales!Q:Q)</f>
        <v>Diya Varty</v>
      </c>
      <c r="D336" t="str">
        <f>_xlfn.XLOOKUP(B336,clean_sales!C:C,clean_sales!R:R)</f>
        <v>Mumbai</v>
      </c>
      <c r="E336" t="str">
        <f>_xlfn.XLOOKUP(B336,clean_sales!C:C,clean_sales!S:S)</f>
        <v>Maharashtra</v>
      </c>
    </row>
    <row r="337" spans="1:5" x14ac:dyDescent="0.35">
      <c r="A337">
        <f t="shared" si="5"/>
        <v>336</v>
      </c>
      <c r="B337" t="s">
        <v>2123</v>
      </c>
      <c r="C337" t="str">
        <f>_xlfn.XLOOKUP(B337,clean_sales!C:C,clean_sales!Q:Q)</f>
        <v>Jhanvi Kala</v>
      </c>
      <c r="D337" t="str">
        <f>_xlfn.XLOOKUP(B337,clean_sales!C:C,clean_sales!R:R)</f>
        <v>Chennai</v>
      </c>
      <c r="E337" t="str">
        <f>_xlfn.XLOOKUP(B337,clean_sales!C:C,clean_sales!S:S)</f>
        <v>Tamil Nadu</v>
      </c>
    </row>
    <row r="338" spans="1:5" x14ac:dyDescent="0.35">
      <c r="A338">
        <f t="shared" si="5"/>
        <v>337</v>
      </c>
      <c r="B338" t="s">
        <v>2124</v>
      </c>
      <c r="C338" t="str">
        <f>_xlfn.XLOOKUP(B338,clean_sales!C:C,clean_sales!Q:Q)</f>
        <v>Divij Rastogi</v>
      </c>
      <c r="D338" t="str">
        <f>_xlfn.XLOOKUP(B338,clean_sales!C:C,clean_sales!R:R)</f>
        <v>Bengaluru</v>
      </c>
      <c r="E338" t="str">
        <f>_xlfn.XLOOKUP(B338,clean_sales!C:C,clean_sales!S:S)</f>
        <v>Karnataka</v>
      </c>
    </row>
    <row r="339" spans="1:5" x14ac:dyDescent="0.35">
      <c r="A339">
        <f t="shared" si="5"/>
        <v>338</v>
      </c>
      <c r="B339" t="s">
        <v>2125</v>
      </c>
      <c r="C339" t="str">
        <f>_xlfn.XLOOKUP(B339,clean_sales!C:C,clean_sales!Q:Q)</f>
        <v>Zain Soman</v>
      </c>
      <c r="D339" t="str">
        <f>_xlfn.XLOOKUP(B339,clean_sales!C:C,clean_sales!R:R)</f>
        <v>Kolkata</v>
      </c>
      <c r="E339" t="str">
        <f>_xlfn.XLOOKUP(B339,clean_sales!C:C,clean_sales!S:S)</f>
        <v>West Bengal</v>
      </c>
    </row>
    <row r="340" spans="1:5" x14ac:dyDescent="0.35">
      <c r="A340">
        <f t="shared" si="5"/>
        <v>339</v>
      </c>
      <c r="B340" t="s">
        <v>2126</v>
      </c>
      <c r="C340" t="str">
        <f>_xlfn.XLOOKUP(B340,clean_sales!C:C,clean_sales!Q:Q)</f>
        <v>Samar Trivedi</v>
      </c>
      <c r="D340" t="str">
        <f>_xlfn.XLOOKUP(B340,clean_sales!C:C,clean_sales!R:R)</f>
        <v>Hyderabad</v>
      </c>
      <c r="E340" t="str">
        <f>_xlfn.XLOOKUP(B340,clean_sales!C:C,clean_sales!S:S)</f>
        <v>Telangana</v>
      </c>
    </row>
    <row r="341" spans="1:5" x14ac:dyDescent="0.35">
      <c r="A341">
        <f t="shared" si="5"/>
        <v>340</v>
      </c>
      <c r="B341" t="s">
        <v>2127</v>
      </c>
      <c r="C341" t="str">
        <f>_xlfn.XLOOKUP(B341,clean_sales!C:C,clean_sales!Q:Q)</f>
        <v>Pihu Gera</v>
      </c>
      <c r="D341" t="str">
        <f>_xlfn.XLOOKUP(B341,clean_sales!C:C,clean_sales!R:R)</f>
        <v>Delhi</v>
      </c>
      <c r="E341" t="str">
        <f>_xlfn.XLOOKUP(B341,clean_sales!C:C,clean_sales!S:S)</f>
        <v>Delhi</v>
      </c>
    </row>
    <row r="342" spans="1:5" x14ac:dyDescent="0.35">
      <c r="A342">
        <f t="shared" si="5"/>
        <v>341</v>
      </c>
      <c r="B342" t="s">
        <v>2128</v>
      </c>
      <c r="C342" t="str">
        <f>_xlfn.XLOOKUP(B342,clean_sales!C:C,clean_sales!Q:Q)</f>
        <v>Nirvaan Tata</v>
      </c>
      <c r="D342" t="str">
        <f>_xlfn.XLOOKUP(B342,clean_sales!C:C,clean_sales!R:R)</f>
        <v>Mumbai</v>
      </c>
      <c r="E342" t="str">
        <f>_xlfn.XLOOKUP(B342,clean_sales!C:C,clean_sales!S:S)</f>
        <v>Maharashtra</v>
      </c>
    </row>
    <row r="343" spans="1:5" x14ac:dyDescent="0.35">
      <c r="A343">
        <f t="shared" si="5"/>
        <v>342</v>
      </c>
      <c r="B343" t="s">
        <v>2129</v>
      </c>
      <c r="C343" t="str">
        <f>_xlfn.XLOOKUP(B343,clean_sales!C:C,clean_sales!Q:Q)</f>
        <v>Yashvi Jayaraman</v>
      </c>
      <c r="D343" t="str">
        <f>_xlfn.XLOOKUP(B343,clean_sales!C:C,clean_sales!R:R)</f>
        <v>Pune</v>
      </c>
      <c r="E343" t="str">
        <f>_xlfn.XLOOKUP(B343,clean_sales!C:C,clean_sales!S:S)</f>
        <v>Maharashtra</v>
      </c>
    </row>
    <row r="344" spans="1:5" x14ac:dyDescent="0.35">
      <c r="A344">
        <f t="shared" si="5"/>
        <v>343</v>
      </c>
      <c r="B344" t="s">
        <v>2130</v>
      </c>
      <c r="C344" t="str">
        <f>_xlfn.XLOOKUP(B344,clean_sales!C:C,clean_sales!Q:Q)</f>
        <v>Anay Vora</v>
      </c>
      <c r="D344" t="str">
        <f>_xlfn.XLOOKUP(B344,clean_sales!C:C,clean_sales!R:R)</f>
        <v>Chennai</v>
      </c>
      <c r="E344" t="str">
        <f>_xlfn.XLOOKUP(B344,clean_sales!C:C,clean_sales!S:S)</f>
        <v>Tamil Nadu</v>
      </c>
    </row>
    <row r="345" spans="1:5" x14ac:dyDescent="0.35">
      <c r="A345">
        <f t="shared" si="5"/>
        <v>344</v>
      </c>
      <c r="B345" t="s">
        <v>2131</v>
      </c>
      <c r="C345" t="str">
        <f>_xlfn.XLOOKUP(B345,clean_sales!C:C,clean_sales!Q:Q)</f>
        <v>Eva Tank</v>
      </c>
      <c r="D345" t="str">
        <f>_xlfn.XLOOKUP(B345,clean_sales!C:C,clean_sales!R:R)</f>
        <v>Mumbai</v>
      </c>
      <c r="E345" t="str">
        <f>_xlfn.XLOOKUP(B345,clean_sales!C:C,clean_sales!S:S)</f>
        <v>Maharashtra</v>
      </c>
    </row>
    <row r="346" spans="1:5" x14ac:dyDescent="0.35">
      <c r="A346">
        <f t="shared" si="5"/>
        <v>345</v>
      </c>
      <c r="B346" t="s">
        <v>2132</v>
      </c>
      <c r="C346" t="str">
        <f>_xlfn.XLOOKUP(B346,clean_sales!C:C,clean_sales!Q:Q)</f>
        <v>Arhaan Tiwari</v>
      </c>
      <c r="D346" t="str">
        <f>_xlfn.XLOOKUP(B346,clean_sales!C:C,clean_sales!R:R)</f>
        <v>Mumbai</v>
      </c>
      <c r="E346" t="str">
        <f>_xlfn.XLOOKUP(B346,clean_sales!C:C,clean_sales!S:S)</f>
        <v>Maharashtra</v>
      </c>
    </row>
    <row r="347" spans="1:5" x14ac:dyDescent="0.35">
      <c r="A347">
        <f t="shared" si="5"/>
        <v>346</v>
      </c>
      <c r="B347" t="s">
        <v>2133</v>
      </c>
      <c r="C347" t="str">
        <f>_xlfn.XLOOKUP(B347,clean_sales!C:C,clean_sales!Q:Q)</f>
        <v>Riaan Dhingra</v>
      </c>
      <c r="D347" t="str">
        <f>_xlfn.XLOOKUP(B347,clean_sales!C:C,clean_sales!R:R)</f>
        <v>Bengaluru</v>
      </c>
      <c r="E347" t="str">
        <f>_xlfn.XLOOKUP(B347,clean_sales!C:C,clean_sales!S:S)</f>
        <v>Karnataka</v>
      </c>
    </row>
    <row r="348" spans="1:5" x14ac:dyDescent="0.35">
      <c r="A348">
        <f t="shared" si="5"/>
        <v>347</v>
      </c>
      <c r="B348" t="s">
        <v>2134</v>
      </c>
      <c r="C348" t="str">
        <f>_xlfn.XLOOKUP(B348,clean_sales!C:C,clean_sales!Q:Q)</f>
        <v>Nirvaan Mani</v>
      </c>
      <c r="D348" t="str">
        <f>_xlfn.XLOOKUP(B348,clean_sales!C:C,clean_sales!R:R)</f>
        <v>Hyderabad</v>
      </c>
      <c r="E348" t="str">
        <f>_xlfn.XLOOKUP(B348,clean_sales!C:C,clean_sales!S:S)</f>
        <v>Telangana</v>
      </c>
    </row>
    <row r="349" spans="1:5" x14ac:dyDescent="0.35">
      <c r="A349">
        <f t="shared" si="5"/>
        <v>348</v>
      </c>
      <c r="B349" t="s">
        <v>2135</v>
      </c>
      <c r="C349" t="str">
        <f>_xlfn.XLOOKUP(B349,clean_sales!C:C,clean_sales!Q:Q)</f>
        <v>Yuvaan Hayer</v>
      </c>
      <c r="D349" t="str">
        <f>_xlfn.XLOOKUP(B349,clean_sales!C:C,clean_sales!R:R)</f>
        <v>Kolkata</v>
      </c>
      <c r="E349" t="str">
        <f>_xlfn.XLOOKUP(B349,clean_sales!C:C,clean_sales!S:S)</f>
        <v>West Bengal</v>
      </c>
    </row>
    <row r="350" spans="1:5" x14ac:dyDescent="0.35">
      <c r="A350">
        <f t="shared" si="5"/>
        <v>349</v>
      </c>
      <c r="B350" t="s">
        <v>2136</v>
      </c>
      <c r="C350" t="str">
        <f>_xlfn.XLOOKUP(B350,clean_sales!C:C,clean_sales!Q:Q)</f>
        <v>Reyansh Dhawan</v>
      </c>
      <c r="D350" t="str">
        <f>_xlfn.XLOOKUP(B350,clean_sales!C:C,clean_sales!R:R)</f>
        <v>Bengaluru</v>
      </c>
      <c r="E350" t="str">
        <f>_xlfn.XLOOKUP(B350,clean_sales!C:C,clean_sales!S:S)</f>
        <v>Karnataka</v>
      </c>
    </row>
    <row r="351" spans="1:5" x14ac:dyDescent="0.35">
      <c r="A351">
        <f t="shared" si="5"/>
        <v>350</v>
      </c>
      <c r="B351" t="s">
        <v>2137</v>
      </c>
      <c r="C351" t="str">
        <f>_xlfn.XLOOKUP(B351,clean_sales!C:C,clean_sales!Q:Q)</f>
        <v>Inaaya Chana</v>
      </c>
      <c r="D351" t="str">
        <f>_xlfn.XLOOKUP(B351,clean_sales!C:C,clean_sales!R:R)</f>
        <v>Hyderabad</v>
      </c>
      <c r="E351" t="str">
        <f>_xlfn.XLOOKUP(B351,clean_sales!C:C,clean_sales!S:S)</f>
        <v>Telangana</v>
      </c>
    </row>
    <row r="352" spans="1:5" x14ac:dyDescent="0.35">
      <c r="A352">
        <f t="shared" si="5"/>
        <v>351</v>
      </c>
      <c r="B352" t="s">
        <v>2138</v>
      </c>
      <c r="C352" t="str">
        <f>_xlfn.XLOOKUP(B352,clean_sales!C:C,clean_sales!Q:Q)</f>
        <v>Dharmajan Sant</v>
      </c>
      <c r="D352" t="str">
        <f>_xlfn.XLOOKUP(B352,clean_sales!C:C,clean_sales!R:R)</f>
        <v>Delhi</v>
      </c>
      <c r="E352" t="str">
        <f>_xlfn.XLOOKUP(B352,clean_sales!C:C,clean_sales!S:S)</f>
        <v>Delhi</v>
      </c>
    </row>
    <row r="353" spans="1:5" x14ac:dyDescent="0.35">
      <c r="A353">
        <f t="shared" si="5"/>
        <v>352</v>
      </c>
      <c r="B353" t="s">
        <v>2139</v>
      </c>
      <c r="C353" t="str">
        <f>_xlfn.XLOOKUP(B353,clean_sales!C:C,clean_sales!Q:Q)</f>
        <v>Himmat Madan</v>
      </c>
      <c r="D353" t="str">
        <f>_xlfn.XLOOKUP(B353,clean_sales!C:C,clean_sales!R:R)</f>
        <v>Kolkata</v>
      </c>
      <c r="E353" t="str">
        <f>_xlfn.XLOOKUP(B353,clean_sales!C:C,clean_sales!S:S)</f>
        <v>West Bengal</v>
      </c>
    </row>
    <row r="354" spans="1:5" x14ac:dyDescent="0.35">
      <c r="A354">
        <f t="shared" si="5"/>
        <v>353</v>
      </c>
      <c r="B354" t="s">
        <v>2140</v>
      </c>
      <c r="C354" t="str">
        <f>_xlfn.XLOOKUP(B354,clean_sales!C:C,clean_sales!Q:Q)</f>
        <v>Bhavin Dhar</v>
      </c>
      <c r="D354" t="str">
        <f>_xlfn.XLOOKUP(B354,clean_sales!C:C,clean_sales!R:R)</f>
        <v>Bengaluru</v>
      </c>
      <c r="E354" t="str">
        <f>_xlfn.XLOOKUP(B354,clean_sales!C:C,clean_sales!S:S)</f>
        <v>Karnataka</v>
      </c>
    </row>
    <row r="355" spans="1:5" x14ac:dyDescent="0.35">
      <c r="A355">
        <f t="shared" si="5"/>
        <v>354</v>
      </c>
      <c r="B355" t="s">
        <v>2141</v>
      </c>
      <c r="C355" t="str">
        <f>_xlfn.XLOOKUP(B355,clean_sales!C:C,clean_sales!Q:Q)</f>
        <v>Eshani Gokhale</v>
      </c>
      <c r="D355" t="str">
        <f>_xlfn.XLOOKUP(B355,clean_sales!C:C,clean_sales!R:R)</f>
        <v>Kolkata</v>
      </c>
      <c r="E355" t="str">
        <f>_xlfn.XLOOKUP(B355,clean_sales!C:C,clean_sales!S:S)</f>
        <v>West Bengal</v>
      </c>
    </row>
    <row r="356" spans="1:5" x14ac:dyDescent="0.35">
      <c r="A356">
        <f t="shared" si="5"/>
        <v>355</v>
      </c>
      <c r="B356" t="s">
        <v>2142</v>
      </c>
      <c r="C356" t="str">
        <f>_xlfn.XLOOKUP(B356,clean_sales!C:C,clean_sales!Q:Q)</f>
        <v>Gatik Bhandari</v>
      </c>
      <c r="D356" t="str">
        <f>_xlfn.XLOOKUP(B356,clean_sales!C:C,clean_sales!R:R)</f>
        <v>Delhi</v>
      </c>
      <c r="E356" t="str">
        <f>_xlfn.XLOOKUP(B356,clean_sales!C:C,clean_sales!S:S)</f>
        <v>Delhi</v>
      </c>
    </row>
    <row r="357" spans="1:5" x14ac:dyDescent="0.35">
      <c r="A357">
        <f t="shared" si="5"/>
        <v>356</v>
      </c>
      <c r="B357" t="s">
        <v>2143</v>
      </c>
      <c r="C357" t="str">
        <f>_xlfn.XLOOKUP(B357,clean_sales!C:C,clean_sales!Q:Q)</f>
        <v>Umang Gole</v>
      </c>
      <c r="D357" t="str">
        <f>_xlfn.XLOOKUP(B357,clean_sales!C:C,clean_sales!R:R)</f>
        <v>Kolkata</v>
      </c>
      <c r="E357" t="str">
        <f>_xlfn.XLOOKUP(B357,clean_sales!C:C,clean_sales!S:S)</f>
        <v>West Bengal</v>
      </c>
    </row>
    <row r="358" spans="1:5" x14ac:dyDescent="0.35">
      <c r="A358">
        <f t="shared" si="5"/>
        <v>357</v>
      </c>
      <c r="B358" t="s">
        <v>2144</v>
      </c>
      <c r="C358" t="str">
        <f>_xlfn.XLOOKUP(B358,clean_sales!C:C,clean_sales!Q:Q)</f>
        <v>Fateh Dugal</v>
      </c>
      <c r="D358" t="str">
        <f>_xlfn.XLOOKUP(B358,clean_sales!C:C,clean_sales!R:R)</f>
        <v>Hyderabad</v>
      </c>
      <c r="E358" t="str">
        <f>_xlfn.XLOOKUP(B358,clean_sales!C:C,clean_sales!S:S)</f>
        <v>Telangana</v>
      </c>
    </row>
    <row r="359" spans="1:5" x14ac:dyDescent="0.35">
      <c r="A359">
        <f t="shared" si="5"/>
        <v>358</v>
      </c>
      <c r="B359" t="s">
        <v>2145</v>
      </c>
      <c r="C359" t="str">
        <f>_xlfn.XLOOKUP(B359,clean_sales!C:C,clean_sales!Q:Q)</f>
        <v>Azad Aggarwal</v>
      </c>
      <c r="D359" t="str">
        <f>_xlfn.XLOOKUP(B359,clean_sales!C:C,clean_sales!R:R)</f>
        <v>Hyderabad</v>
      </c>
      <c r="E359" t="str">
        <f>_xlfn.XLOOKUP(B359,clean_sales!C:C,clean_sales!S:S)</f>
        <v>Telangana</v>
      </c>
    </row>
    <row r="360" spans="1:5" x14ac:dyDescent="0.35">
      <c r="A360">
        <f t="shared" si="5"/>
        <v>359</v>
      </c>
      <c r="B360" t="s">
        <v>2146</v>
      </c>
      <c r="C360" t="str">
        <f>_xlfn.XLOOKUP(B360,clean_sales!C:C,clean_sales!Q:Q)</f>
        <v>Hridaan Ravel</v>
      </c>
      <c r="D360" t="str">
        <f>_xlfn.XLOOKUP(B360,clean_sales!C:C,clean_sales!R:R)</f>
        <v>Hyderabad</v>
      </c>
      <c r="E360" t="str">
        <f>_xlfn.XLOOKUP(B360,clean_sales!C:C,clean_sales!S:S)</f>
        <v>Telangana</v>
      </c>
    </row>
    <row r="361" spans="1:5" x14ac:dyDescent="0.35">
      <c r="A361">
        <f t="shared" si="5"/>
        <v>360</v>
      </c>
      <c r="B361" t="s">
        <v>2147</v>
      </c>
      <c r="C361" t="str">
        <f>_xlfn.XLOOKUP(B361,clean_sales!C:C,clean_sales!Q:Q)</f>
        <v>Riya Rau</v>
      </c>
      <c r="D361" t="str">
        <f>_xlfn.XLOOKUP(B361,clean_sales!C:C,clean_sales!R:R)</f>
        <v>Kolkata</v>
      </c>
      <c r="E361" t="str">
        <f>_xlfn.XLOOKUP(B361,clean_sales!C:C,clean_sales!S:S)</f>
        <v>West Bengal</v>
      </c>
    </row>
    <row r="362" spans="1:5" x14ac:dyDescent="0.35">
      <c r="A362">
        <f t="shared" si="5"/>
        <v>361</v>
      </c>
      <c r="B362" t="s">
        <v>2148</v>
      </c>
      <c r="C362" t="str">
        <f>_xlfn.XLOOKUP(B362,clean_sales!C:C,clean_sales!Q:Q)</f>
        <v>Khushi Chanda</v>
      </c>
      <c r="D362" t="str">
        <f>_xlfn.XLOOKUP(B362,clean_sales!C:C,clean_sales!R:R)</f>
        <v>Mumbai</v>
      </c>
      <c r="E362" t="str">
        <f>_xlfn.XLOOKUP(B362,clean_sales!C:C,clean_sales!S:S)</f>
        <v>Maharashtra</v>
      </c>
    </row>
    <row r="363" spans="1:5" x14ac:dyDescent="0.35">
      <c r="A363">
        <f t="shared" si="5"/>
        <v>362</v>
      </c>
      <c r="B363" t="s">
        <v>2149</v>
      </c>
      <c r="C363" t="str">
        <f>_xlfn.XLOOKUP(B363,clean_sales!C:C,clean_sales!Q:Q)</f>
        <v>Lakshay Karpe</v>
      </c>
      <c r="D363" t="str">
        <f>_xlfn.XLOOKUP(B363,clean_sales!C:C,clean_sales!R:R)</f>
        <v>Mumbai</v>
      </c>
      <c r="E363" t="str">
        <f>_xlfn.XLOOKUP(B363,clean_sales!C:C,clean_sales!S:S)</f>
        <v>Maharashtra</v>
      </c>
    </row>
    <row r="364" spans="1:5" x14ac:dyDescent="0.35">
      <c r="A364">
        <f t="shared" si="5"/>
        <v>363</v>
      </c>
      <c r="B364" t="s">
        <v>2150</v>
      </c>
      <c r="C364" t="str">
        <f>_xlfn.XLOOKUP(B364,clean_sales!C:C,clean_sales!Q:Q)</f>
        <v>Miraan Balakrishnan</v>
      </c>
      <c r="D364" t="str">
        <f>_xlfn.XLOOKUP(B364,clean_sales!C:C,clean_sales!R:R)</f>
        <v>Mumbai</v>
      </c>
      <c r="E364" t="str">
        <f>_xlfn.XLOOKUP(B364,clean_sales!C:C,clean_sales!S:S)</f>
        <v>Maharashtra</v>
      </c>
    </row>
    <row r="365" spans="1:5" x14ac:dyDescent="0.35">
      <c r="A365">
        <f t="shared" si="5"/>
        <v>364</v>
      </c>
      <c r="B365" t="s">
        <v>2151</v>
      </c>
      <c r="C365" t="str">
        <f>_xlfn.XLOOKUP(B365,clean_sales!C:C,clean_sales!Q:Q)</f>
        <v>Pihu Choudhury</v>
      </c>
      <c r="D365" t="str">
        <f>_xlfn.XLOOKUP(B365,clean_sales!C:C,clean_sales!R:R)</f>
        <v>Mumbai</v>
      </c>
      <c r="E365" t="str">
        <f>_xlfn.XLOOKUP(B365,clean_sales!C:C,clean_sales!S:S)</f>
        <v>Maharashtra</v>
      </c>
    </row>
    <row r="366" spans="1:5" x14ac:dyDescent="0.35">
      <c r="A366">
        <f t="shared" si="5"/>
        <v>365</v>
      </c>
      <c r="B366" t="s">
        <v>2152</v>
      </c>
      <c r="C366" t="str">
        <f>_xlfn.XLOOKUP(B366,clean_sales!C:C,clean_sales!Q:Q)</f>
        <v>Mamooty Suri</v>
      </c>
      <c r="D366" t="str">
        <f>_xlfn.XLOOKUP(B366,clean_sales!C:C,clean_sales!R:R)</f>
        <v>Bengaluru</v>
      </c>
      <c r="E366" t="str">
        <f>_xlfn.XLOOKUP(B366,clean_sales!C:C,clean_sales!S:S)</f>
        <v>Karnataka</v>
      </c>
    </row>
    <row r="367" spans="1:5" x14ac:dyDescent="0.35">
      <c r="A367">
        <f t="shared" si="5"/>
        <v>366</v>
      </c>
      <c r="B367" t="s">
        <v>2153</v>
      </c>
      <c r="C367" t="str">
        <f>_xlfn.XLOOKUP(B367,clean_sales!C:C,clean_sales!Q:Q)</f>
        <v>Trisha Konda</v>
      </c>
      <c r="D367" t="str">
        <f>_xlfn.XLOOKUP(B367,clean_sales!C:C,clean_sales!R:R)</f>
        <v>Hyderabad</v>
      </c>
      <c r="E367" t="str">
        <f>_xlfn.XLOOKUP(B367,clean_sales!C:C,clean_sales!S:S)</f>
        <v>Telangana</v>
      </c>
    </row>
    <row r="368" spans="1:5" x14ac:dyDescent="0.35">
      <c r="A368">
        <f t="shared" si="5"/>
        <v>367</v>
      </c>
      <c r="B368" t="s">
        <v>2154</v>
      </c>
      <c r="C368" t="str">
        <f>_xlfn.XLOOKUP(B368,clean_sales!C:C,clean_sales!Q:Q)</f>
        <v>Hiran Golla</v>
      </c>
      <c r="D368" t="str">
        <f>_xlfn.XLOOKUP(B368,clean_sales!C:C,clean_sales!R:R)</f>
        <v>Bengaluru</v>
      </c>
      <c r="E368" t="str">
        <f>_xlfn.XLOOKUP(B368,clean_sales!C:C,clean_sales!S:S)</f>
        <v>Karnataka</v>
      </c>
    </row>
    <row r="369" spans="1:5" x14ac:dyDescent="0.35">
      <c r="A369">
        <f t="shared" si="5"/>
        <v>368</v>
      </c>
      <c r="B369" t="s">
        <v>2155</v>
      </c>
      <c r="C369" t="str">
        <f>_xlfn.XLOOKUP(B369,clean_sales!C:C,clean_sales!Q:Q)</f>
        <v>Baiju Saxena</v>
      </c>
      <c r="D369" t="str">
        <f>_xlfn.XLOOKUP(B369,clean_sales!C:C,clean_sales!R:R)</f>
        <v>Delhi</v>
      </c>
      <c r="E369" t="str">
        <f>_xlfn.XLOOKUP(B369,clean_sales!C:C,clean_sales!S:S)</f>
        <v>Delhi</v>
      </c>
    </row>
    <row r="370" spans="1:5" x14ac:dyDescent="0.35">
      <c r="A370">
        <f t="shared" si="5"/>
        <v>369</v>
      </c>
      <c r="B370" t="s">
        <v>2156</v>
      </c>
      <c r="C370" t="str">
        <f>_xlfn.XLOOKUP(B370,clean_sales!C:C,clean_sales!Q:Q)</f>
        <v>Nirvi Srinivasan</v>
      </c>
      <c r="D370" t="str">
        <f>_xlfn.XLOOKUP(B370,clean_sales!C:C,clean_sales!R:R)</f>
        <v>Kolkata</v>
      </c>
      <c r="E370" t="str">
        <f>_xlfn.XLOOKUP(B370,clean_sales!C:C,clean_sales!S:S)</f>
        <v>West Bengal</v>
      </c>
    </row>
    <row r="371" spans="1:5" x14ac:dyDescent="0.35">
      <c r="A371">
        <f t="shared" si="5"/>
        <v>370</v>
      </c>
      <c r="B371" t="s">
        <v>2157</v>
      </c>
      <c r="C371" t="str">
        <f>_xlfn.XLOOKUP(B371,clean_sales!C:C,clean_sales!Q:Q)</f>
        <v>Aarav Raja</v>
      </c>
      <c r="D371" t="str">
        <f>_xlfn.XLOOKUP(B371,clean_sales!C:C,clean_sales!R:R)</f>
        <v>Bengaluru</v>
      </c>
      <c r="E371" t="str">
        <f>_xlfn.XLOOKUP(B371,clean_sales!C:C,clean_sales!S:S)</f>
        <v>Karnataka</v>
      </c>
    </row>
    <row r="372" spans="1:5" x14ac:dyDescent="0.35">
      <c r="A372">
        <f t="shared" si="5"/>
        <v>371</v>
      </c>
      <c r="B372" t="s">
        <v>2158</v>
      </c>
      <c r="C372" t="str">
        <f>_xlfn.XLOOKUP(B372,clean_sales!C:C,clean_sales!Q:Q)</f>
        <v>Ritvik Shukla</v>
      </c>
      <c r="D372" t="str">
        <f>_xlfn.XLOOKUP(B372,clean_sales!C:C,clean_sales!R:R)</f>
        <v>Kolkata</v>
      </c>
      <c r="E372" t="str">
        <f>_xlfn.XLOOKUP(B372,clean_sales!C:C,clean_sales!S:S)</f>
        <v>West Bengal</v>
      </c>
    </row>
    <row r="373" spans="1:5" x14ac:dyDescent="0.35">
      <c r="A373">
        <f t="shared" si="5"/>
        <v>372</v>
      </c>
      <c r="B373" t="s">
        <v>2159</v>
      </c>
      <c r="C373" t="str">
        <f>_xlfn.XLOOKUP(B373,clean_sales!C:C,clean_sales!Q:Q)</f>
        <v>Elakshi Kothari</v>
      </c>
      <c r="D373" t="str">
        <f>_xlfn.XLOOKUP(B373,clean_sales!C:C,clean_sales!R:R)</f>
        <v>Bengaluru</v>
      </c>
      <c r="E373" t="str">
        <f>_xlfn.XLOOKUP(B373,clean_sales!C:C,clean_sales!S:S)</f>
        <v>Karnataka</v>
      </c>
    </row>
    <row r="374" spans="1:5" x14ac:dyDescent="0.35">
      <c r="A374">
        <f t="shared" si="5"/>
        <v>373</v>
      </c>
      <c r="B374" t="s">
        <v>2160</v>
      </c>
      <c r="C374" t="str">
        <f>_xlfn.XLOOKUP(B374,clean_sales!C:C,clean_sales!Q:Q)</f>
        <v>Vihaan Kaul</v>
      </c>
      <c r="D374" t="str">
        <f>_xlfn.XLOOKUP(B374,clean_sales!C:C,clean_sales!R:R)</f>
        <v>Hyderabad</v>
      </c>
      <c r="E374" t="str">
        <f>_xlfn.XLOOKUP(B374,clean_sales!C:C,clean_sales!S:S)</f>
        <v>Telangana</v>
      </c>
    </row>
    <row r="375" spans="1:5" x14ac:dyDescent="0.35">
      <c r="A375">
        <f t="shared" si="5"/>
        <v>374</v>
      </c>
      <c r="B375" t="s">
        <v>2161</v>
      </c>
      <c r="C375" t="str">
        <f>_xlfn.XLOOKUP(B375,clean_sales!C:C,clean_sales!Q:Q)</f>
        <v>Raunak Bobal</v>
      </c>
      <c r="D375" t="str">
        <f>_xlfn.XLOOKUP(B375,clean_sales!C:C,clean_sales!R:R)</f>
        <v>Kolkata</v>
      </c>
      <c r="E375" t="str">
        <f>_xlfn.XLOOKUP(B375,clean_sales!C:C,clean_sales!S:S)</f>
        <v>West Bengal</v>
      </c>
    </row>
    <row r="376" spans="1:5" x14ac:dyDescent="0.35">
      <c r="A376">
        <f t="shared" si="5"/>
        <v>375</v>
      </c>
      <c r="B376" t="s">
        <v>2162</v>
      </c>
      <c r="C376" t="str">
        <f>_xlfn.XLOOKUP(B376,clean_sales!C:C,clean_sales!Q:Q)</f>
        <v>Indranil Wali</v>
      </c>
      <c r="D376" t="str">
        <f>_xlfn.XLOOKUP(B376,clean_sales!C:C,clean_sales!R:R)</f>
        <v>Chennai</v>
      </c>
      <c r="E376" t="str">
        <f>_xlfn.XLOOKUP(B376,clean_sales!C:C,clean_sales!S:S)</f>
        <v>Tamil Nadu</v>
      </c>
    </row>
    <row r="377" spans="1:5" x14ac:dyDescent="0.35">
      <c r="A377">
        <f t="shared" si="5"/>
        <v>376</v>
      </c>
      <c r="B377" t="s">
        <v>2163</v>
      </c>
      <c r="C377" t="str">
        <f>_xlfn.XLOOKUP(B377,clean_sales!C:C,clean_sales!Q:Q)</f>
        <v>Aayush Sagar</v>
      </c>
      <c r="D377" t="str">
        <f>_xlfn.XLOOKUP(B377,clean_sales!C:C,clean_sales!R:R)</f>
        <v>Mumbai</v>
      </c>
      <c r="E377" t="str">
        <f>_xlfn.XLOOKUP(B377,clean_sales!C:C,clean_sales!S:S)</f>
        <v>Maharashtra</v>
      </c>
    </row>
    <row r="378" spans="1:5" x14ac:dyDescent="0.35">
      <c r="A378">
        <f t="shared" si="5"/>
        <v>377</v>
      </c>
      <c r="B378" t="s">
        <v>2164</v>
      </c>
      <c r="C378" t="str">
        <f>_xlfn.XLOOKUP(B378,clean_sales!C:C,clean_sales!Q:Q)</f>
        <v>Eshani Master</v>
      </c>
      <c r="D378" t="str">
        <f>_xlfn.XLOOKUP(B378,clean_sales!C:C,clean_sales!R:R)</f>
        <v>Pune</v>
      </c>
      <c r="E378" t="str">
        <f>_xlfn.XLOOKUP(B378,clean_sales!C:C,clean_sales!S:S)</f>
        <v>Maharashtra</v>
      </c>
    </row>
    <row r="379" spans="1:5" x14ac:dyDescent="0.35">
      <c r="A379">
        <f t="shared" si="5"/>
        <v>378</v>
      </c>
      <c r="B379" t="s">
        <v>2165</v>
      </c>
      <c r="C379" t="str">
        <f>_xlfn.XLOOKUP(B379,clean_sales!C:C,clean_sales!Q:Q)</f>
        <v>Vivaan Toor</v>
      </c>
      <c r="D379" t="str">
        <f>_xlfn.XLOOKUP(B379,clean_sales!C:C,clean_sales!R:R)</f>
        <v>Delhi</v>
      </c>
      <c r="E379" t="str">
        <f>_xlfn.XLOOKUP(B379,clean_sales!C:C,clean_sales!S:S)</f>
        <v>Delhi</v>
      </c>
    </row>
    <row r="380" spans="1:5" x14ac:dyDescent="0.35">
      <c r="A380">
        <f t="shared" si="5"/>
        <v>379</v>
      </c>
      <c r="B380" t="s">
        <v>2166</v>
      </c>
      <c r="C380" t="str">
        <f>_xlfn.XLOOKUP(B380,clean_sales!C:C,clean_sales!Q:Q)</f>
        <v>Ayesha Kapadia</v>
      </c>
      <c r="D380" t="str">
        <f>_xlfn.XLOOKUP(B380,clean_sales!C:C,clean_sales!R:R)</f>
        <v>Kolkata</v>
      </c>
      <c r="E380" t="str">
        <f>_xlfn.XLOOKUP(B380,clean_sales!C:C,clean_sales!S:S)</f>
        <v>West Bengal</v>
      </c>
    </row>
    <row r="381" spans="1:5" x14ac:dyDescent="0.35">
      <c r="A381">
        <f t="shared" si="5"/>
        <v>380</v>
      </c>
      <c r="B381" t="s">
        <v>2167</v>
      </c>
      <c r="C381" t="str">
        <f>_xlfn.XLOOKUP(B381,clean_sales!C:C,clean_sales!Q:Q)</f>
        <v>Adah Gara</v>
      </c>
      <c r="D381" t="str">
        <f>_xlfn.XLOOKUP(B381,clean_sales!C:C,clean_sales!R:R)</f>
        <v>Kolkata</v>
      </c>
      <c r="E381" t="str">
        <f>_xlfn.XLOOKUP(B381,clean_sales!C:C,clean_sales!S:S)</f>
        <v>West Bengal</v>
      </c>
    </row>
    <row r="382" spans="1:5" x14ac:dyDescent="0.35">
      <c r="A382">
        <f t="shared" si="5"/>
        <v>381</v>
      </c>
      <c r="B382" t="s">
        <v>2168</v>
      </c>
      <c r="C382" t="str">
        <f>_xlfn.XLOOKUP(B382,clean_sales!C:C,clean_sales!Q:Q)</f>
        <v>Kartik Toor</v>
      </c>
      <c r="D382" t="str">
        <f>_xlfn.XLOOKUP(B382,clean_sales!C:C,clean_sales!R:R)</f>
        <v>Hyderabad</v>
      </c>
      <c r="E382" t="str">
        <f>_xlfn.XLOOKUP(B382,clean_sales!C:C,clean_sales!S:S)</f>
        <v>Telangana</v>
      </c>
    </row>
    <row r="383" spans="1:5" x14ac:dyDescent="0.35">
      <c r="A383">
        <f t="shared" si="5"/>
        <v>382</v>
      </c>
      <c r="B383" t="s">
        <v>2169</v>
      </c>
      <c r="C383" t="str">
        <f>_xlfn.XLOOKUP(B383,clean_sales!C:C,clean_sales!Q:Q)</f>
        <v>Advika Kuruvilla</v>
      </c>
      <c r="D383" t="str">
        <f>_xlfn.XLOOKUP(B383,clean_sales!C:C,clean_sales!R:R)</f>
        <v>Delhi</v>
      </c>
      <c r="E383" t="str">
        <f>_xlfn.XLOOKUP(B383,clean_sales!C:C,clean_sales!S:S)</f>
        <v>Delhi</v>
      </c>
    </row>
    <row r="384" spans="1:5" x14ac:dyDescent="0.35">
      <c r="A384">
        <f t="shared" si="5"/>
        <v>383</v>
      </c>
      <c r="B384" t="s">
        <v>2170</v>
      </c>
      <c r="C384" t="str">
        <f>_xlfn.XLOOKUP(B384,clean_sales!C:C,clean_sales!Q:Q)</f>
        <v>Hridaan Verma</v>
      </c>
      <c r="D384" t="str">
        <f>_xlfn.XLOOKUP(B384,clean_sales!C:C,clean_sales!R:R)</f>
        <v>Mumbai</v>
      </c>
      <c r="E384" t="str">
        <f>_xlfn.XLOOKUP(B384,clean_sales!C:C,clean_sales!S:S)</f>
        <v>Maharashtra</v>
      </c>
    </row>
    <row r="385" spans="1:5" x14ac:dyDescent="0.35">
      <c r="A385">
        <f t="shared" si="5"/>
        <v>384</v>
      </c>
      <c r="B385" t="s">
        <v>2171</v>
      </c>
      <c r="C385" t="str">
        <f>_xlfn.XLOOKUP(B385,clean_sales!C:C,clean_sales!Q:Q)</f>
        <v>Saanvi Bains</v>
      </c>
      <c r="D385" t="str">
        <f>_xlfn.XLOOKUP(B385,clean_sales!C:C,clean_sales!R:R)</f>
        <v>Hyderabad</v>
      </c>
      <c r="E385" t="str">
        <f>_xlfn.XLOOKUP(B385,clean_sales!C:C,clean_sales!S:S)</f>
        <v>Telangana</v>
      </c>
    </row>
    <row r="386" spans="1:5" x14ac:dyDescent="0.35">
      <c r="A386">
        <f t="shared" si="5"/>
        <v>385</v>
      </c>
      <c r="B386" t="s">
        <v>2172</v>
      </c>
      <c r="C386" t="str">
        <f>_xlfn.XLOOKUP(B386,clean_sales!C:C,clean_sales!Q:Q)</f>
        <v>Hazel Rama</v>
      </c>
      <c r="D386" t="str">
        <f>_xlfn.XLOOKUP(B386,clean_sales!C:C,clean_sales!R:R)</f>
        <v>Chennai</v>
      </c>
      <c r="E386" t="str">
        <f>_xlfn.XLOOKUP(B386,clean_sales!C:C,clean_sales!S:S)</f>
        <v>Tamil Nadu</v>
      </c>
    </row>
    <row r="387" spans="1:5" x14ac:dyDescent="0.35">
      <c r="A387">
        <f t="shared" ref="A387:A450" si="6">ROW()-1</f>
        <v>386</v>
      </c>
      <c r="B387" t="s">
        <v>2173</v>
      </c>
      <c r="C387" t="str">
        <f>_xlfn.XLOOKUP(B387,clean_sales!C:C,clean_sales!Q:Q)</f>
        <v>Eva Kohli</v>
      </c>
      <c r="D387" t="str">
        <f>_xlfn.XLOOKUP(B387,clean_sales!C:C,clean_sales!R:R)</f>
        <v>Mumbai</v>
      </c>
      <c r="E387" t="str">
        <f>_xlfn.XLOOKUP(B387,clean_sales!C:C,clean_sales!S:S)</f>
        <v>Maharashtra</v>
      </c>
    </row>
    <row r="388" spans="1:5" x14ac:dyDescent="0.35">
      <c r="A388">
        <f t="shared" si="6"/>
        <v>387</v>
      </c>
      <c r="B388" t="s">
        <v>2174</v>
      </c>
      <c r="C388" t="str">
        <f>_xlfn.XLOOKUP(B388,clean_sales!C:C,clean_sales!Q:Q)</f>
        <v>Aarush Lanka</v>
      </c>
      <c r="D388" t="str">
        <f>_xlfn.XLOOKUP(B388,clean_sales!C:C,clean_sales!R:R)</f>
        <v>Chennai</v>
      </c>
      <c r="E388" t="str">
        <f>_xlfn.XLOOKUP(B388,clean_sales!C:C,clean_sales!S:S)</f>
        <v>Tamil Nadu</v>
      </c>
    </row>
    <row r="389" spans="1:5" x14ac:dyDescent="0.35">
      <c r="A389">
        <f t="shared" si="6"/>
        <v>388</v>
      </c>
      <c r="B389" t="s">
        <v>2175</v>
      </c>
      <c r="C389" t="str">
        <f>_xlfn.XLOOKUP(B389,clean_sales!C:C,clean_sales!Q:Q)</f>
        <v>Aniruddh Chawla</v>
      </c>
      <c r="D389" t="str">
        <f>_xlfn.XLOOKUP(B389,clean_sales!C:C,clean_sales!R:R)</f>
        <v>Delhi</v>
      </c>
      <c r="E389" t="str">
        <f>_xlfn.XLOOKUP(B389,clean_sales!C:C,clean_sales!S:S)</f>
        <v>Delhi</v>
      </c>
    </row>
    <row r="390" spans="1:5" x14ac:dyDescent="0.35">
      <c r="A390">
        <f t="shared" si="6"/>
        <v>389</v>
      </c>
      <c r="B390" t="s">
        <v>2176</v>
      </c>
      <c r="C390" t="str">
        <f>_xlfn.XLOOKUP(B390,clean_sales!C:C,clean_sales!Q:Q)</f>
        <v>Prerak Uppal</v>
      </c>
      <c r="D390" t="str">
        <f>_xlfn.XLOOKUP(B390,clean_sales!C:C,clean_sales!R:R)</f>
        <v>Bengaluru</v>
      </c>
      <c r="E390" t="str">
        <f>_xlfn.XLOOKUP(B390,clean_sales!C:C,clean_sales!S:S)</f>
        <v>Karnataka</v>
      </c>
    </row>
    <row r="391" spans="1:5" x14ac:dyDescent="0.35">
      <c r="A391">
        <f t="shared" si="6"/>
        <v>390</v>
      </c>
      <c r="B391" t="s">
        <v>2177</v>
      </c>
      <c r="C391" t="str">
        <f>_xlfn.XLOOKUP(B391,clean_sales!C:C,clean_sales!Q:Q)</f>
        <v>Ira Sharma</v>
      </c>
      <c r="D391" t="str">
        <f>_xlfn.XLOOKUP(B391,clean_sales!C:C,clean_sales!R:R)</f>
        <v>Mumbai</v>
      </c>
      <c r="E391" t="str">
        <f>_xlfn.XLOOKUP(B391,clean_sales!C:C,clean_sales!S:S)</f>
        <v>Maharashtra</v>
      </c>
    </row>
    <row r="392" spans="1:5" x14ac:dyDescent="0.35">
      <c r="A392">
        <f t="shared" si="6"/>
        <v>391</v>
      </c>
      <c r="B392" t="s">
        <v>2178</v>
      </c>
      <c r="C392" t="str">
        <f>_xlfn.XLOOKUP(B392,clean_sales!C:C,clean_sales!Q:Q)</f>
        <v>Pari Mani</v>
      </c>
      <c r="D392" t="str">
        <f>_xlfn.XLOOKUP(B392,clean_sales!C:C,clean_sales!R:R)</f>
        <v>Kolkata</v>
      </c>
      <c r="E392" t="str">
        <f>_xlfn.XLOOKUP(B392,clean_sales!C:C,clean_sales!S:S)</f>
        <v>West Bengal</v>
      </c>
    </row>
    <row r="393" spans="1:5" x14ac:dyDescent="0.35">
      <c r="A393">
        <f t="shared" si="6"/>
        <v>392</v>
      </c>
      <c r="B393" t="s">
        <v>2179</v>
      </c>
      <c r="C393" t="str">
        <f>_xlfn.XLOOKUP(B393,clean_sales!C:C,clean_sales!Q:Q)</f>
        <v>Dhanush Chakrabarti</v>
      </c>
      <c r="D393" t="str">
        <f>_xlfn.XLOOKUP(B393,clean_sales!C:C,clean_sales!R:R)</f>
        <v>Delhi</v>
      </c>
      <c r="E393" t="str">
        <f>_xlfn.XLOOKUP(B393,clean_sales!C:C,clean_sales!S:S)</f>
        <v>Delhi</v>
      </c>
    </row>
    <row r="394" spans="1:5" x14ac:dyDescent="0.35">
      <c r="A394">
        <f t="shared" si="6"/>
        <v>393</v>
      </c>
      <c r="B394" t="s">
        <v>2180</v>
      </c>
      <c r="C394" t="str">
        <f>_xlfn.XLOOKUP(B394,clean_sales!C:C,clean_sales!Q:Q)</f>
        <v>Trisha Aggarwal</v>
      </c>
      <c r="D394" t="str">
        <f>_xlfn.XLOOKUP(B394,clean_sales!C:C,clean_sales!R:R)</f>
        <v>Bengaluru</v>
      </c>
      <c r="E394" t="str">
        <f>_xlfn.XLOOKUP(B394,clean_sales!C:C,clean_sales!S:S)</f>
        <v>Karnataka</v>
      </c>
    </row>
    <row r="395" spans="1:5" x14ac:dyDescent="0.35">
      <c r="A395">
        <f t="shared" si="6"/>
        <v>394</v>
      </c>
      <c r="B395" t="s">
        <v>2181</v>
      </c>
      <c r="C395" t="str">
        <f>_xlfn.XLOOKUP(B395,clean_sales!C:C,clean_sales!Q:Q)</f>
        <v>Jayan Rattan</v>
      </c>
      <c r="D395" t="str">
        <f>_xlfn.XLOOKUP(B395,clean_sales!C:C,clean_sales!R:R)</f>
        <v>Delhi</v>
      </c>
      <c r="E395" t="str">
        <f>_xlfn.XLOOKUP(B395,clean_sales!C:C,clean_sales!S:S)</f>
        <v>Delhi</v>
      </c>
    </row>
    <row r="396" spans="1:5" x14ac:dyDescent="0.35">
      <c r="A396">
        <f t="shared" si="6"/>
        <v>395</v>
      </c>
      <c r="B396" t="s">
        <v>2182</v>
      </c>
      <c r="C396" t="str">
        <f>_xlfn.XLOOKUP(B396,clean_sales!C:C,clean_sales!Q:Q)</f>
        <v>Kiaan Raju</v>
      </c>
      <c r="D396" t="str">
        <f>_xlfn.XLOOKUP(B396,clean_sales!C:C,clean_sales!R:R)</f>
        <v>Delhi</v>
      </c>
      <c r="E396" t="str">
        <f>_xlfn.XLOOKUP(B396,clean_sales!C:C,clean_sales!S:S)</f>
        <v>Delhi</v>
      </c>
    </row>
    <row r="397" spans="1:5" x14ac:dyDescent="0.35">
      <c r="A397">
        <f t="shared" si="6"/>
        <v>396</v>
      </c>
      <c r="B397" t="s">
        <v>2183</v>
      </c>
      <c r="C397" t="str">
        <f>_xlfn.XLOOKUP(B397,clean_sales!C:C,clean_sales!Q:Q)</f>
        <v>Anya Varghese</v>
      </c>
      <c r="D397" t="str">
        <f>_xlfn.XLOOKUP(B397,clean_sales!C:C,clean_sales!R:R)</f>
        <v>Hyderabad</v>
      </c>
      <c r="E397" t="str">
        <f>_xlfn.XLOOKUP(B397,clean_sales!C:C,clean_sales!S:S)</f>
        <v>Telangana</v>
      </c>
    </row>
    <row r="398" spans="1:5" x14ac:dyDescent="0.35">
      <c r="A398">
        <f t="shared" si="6"/>
        <v>397</v>
      </c>
      <c r="B398" t="s">
        <v>2184</v>
      </c>
      <c r="C398" t="str">
        <f>_xlfn.XLOOKUP(B398,clean_sales!C:C,clean_sales!Q:Q)</f>
        <v>Badal Bhatia</v>
      </c>
      <c r="D398" t="str">
        <f>_xlfn.XLOOKUP(B398,clean_sales!C:C,clean_sales!R:R)</f>
        <v>Pune</v>
      </c>
      <c r="E398" t="str">
        <f>_xlfn.XLOOKUP(B398,clean_sales!C:C,clean_sales!S:S)</f>
        <v>Maharashtra</v>
      </c>
    </row>
    <row r="399" spans="1:5" x14ac:dyDescent="0.35">
      <c r="A399">
        <f t="shared" si="6"/>
        <v>398</v>
      </c>
      <c r="B399" t="s">
        <v>2185</v>
      </c>
      <c r="C399" t="str">
        <f>_xlfn.XLOOKUP(B399,clean_sales!C:C,clean_sales!Q:Q)</f>
        <v>Kashvi Mandal</v>
      </c>
      <c r="D399" t="str">
        <f>_xlfn.XLOOKUP(B399,clean_sales!C:C,clean_sales!R:R)</f>
        <v>Chennai</v>
      </c>
      <c r="E399" t="str">
        <f>_xlfn.XLOOKUP(B399,clean_sales!C:C,clean_sales!S:S)</f>
        <v>Tamil Nadu</v>
      </c>
    </row>
    <row r="400" spans="1:5" x14ac:dyDescent="0.35">
      <c r="A400">
        <f t="shared" si="6"/>
        <v>399</v>
      </c>
      <c r="B400" t="s">
        <v>2186</v>
      </c>
      <c r="C400" t="str">
        <f>_xlfn.XLOOKUP(B400,clean_sales!C:C,clean_sales!Q:Q)</f>
        <v>Ishita Hans</v>
      </c>
      <c r="D400" t="str">
        <f>_xlfn.XLOOKUP(B400,clean_sales!C:C,clean_sales!R:R)</f>
        <v>Bengaluru</v>
      </c>
      <c r="E400" t="str">
        <f>_xlfn.XLOOKUP(B400,clean_sales!C:C,clean_sales!S:S)</f>
        <v>Karnataka</v>
      </c>
    </row>
    <row r="401" spans="1:5" x14ac:dyDescent="0.35">
      <c r="A401">
        <f t="shared" si="6"/>
        <v>400</v>
      </c>
      <c r="B401" t="s">
        <v>2187</v>
      </c>
      <c r="C401" t="str">
        <f>_xlfn.XLOOKUP(B401,clean_sales!C:C,clean_sales!Q:Q)</f>
        <v>Yuvraj Dey</v>
      </c>
      <c r="D401" t="str">
        <f>_xlfn.XLOOKUP(B401,clean_sales!C:C,clean_sales!R:R)</f>
        <v>Delhi</v>
      </c>
      <c r="E401" t="str">
        <f>_xlfn.XLOOKUP(B401,clean_sales!C:C,clean_sales!S:S)</f>
        <v>Delhi</v>
      </c>
    </row>
    <row r="402" spans="1:5" x14ac:dyDescent="0.35">
      <c r="A402">
        <f t="shared" si="6"/>
        <v>401</v>
      </c>
      <c r="B402" t="s">
        <v>2188</v>
      </c>
      <c r="C402" t="str">
        <f>_xlfn.XLOOKUP(B402,clean_sales!C:C,clean_sales!Q:Q)</f>
        <v>Renee Loke</v>
      </c>
      <c r="D402" t="str">
        <f>_xlfn.XLOOKUP(B402,clean_sales!C:C,clean_sales!R:R)</f>
        <v>Mumbai</v>
      </c>
      <c r="E402" t="str">
        <f>_xlfn.XLOOKUP(B402,clean_sales!C:C,clean_sales!S:S)</f>
        <v>Maharashtra</v>
      </c>
    </row>
    <row r="403" spans="1:5" x14ac:dyDescent="0.35">
      <c r="A403">
        <f t="shared" si="6"/>
        <v>402</v>
      </c>
      <c r="B403" t="s">
        <v>2189</v>
      </c>
      <c r="C403" t="str">
        <f>_xlfn.XLOOKUP(B403,clean_sales!C:C,clean_sales!Q:Q)</f>
        <v>Nayantara Kohli</v>
      </c>
      <c r="D403" t="str">
        <f>_xlfn.XLOOKUP(B403,clean_sales!C:C,clean_sales!R:R)</f>
        <v>Hyderabad</v>
      </c>
      <c r="E403" t="str">
        <f>_xlfn.XLOOKUP(B403,clean_sales!C:C,clean_sales!S:S)</f>
        <v>Telangana</v>
      </c>
    </row>
    <row r="404" spans="1:5" x14ac:dyDescent="0.35">
      <c r="A404">
        <f t="shared" si="6"/>
        <v>403</v>
      </c>
      <c r="B404" t="s">
        <v>2190</v>
      </c>
      <c r="C404" t="str">
        <f>_xlfn.XLOOKUP(B404,clean_sales!C:C,clean_sales!Q:Q)</f>
        <v>Samiha Tella</v>
      </c>
      <c r="D404" t="str">
        <f>_xlfn.XLOOKUP(B404,clean_sales!C:C,clean_sales!R:R)</f>
        <v>Delhi</v>
      </c>
      <c r="E404" t="str">
        <f>_xlfn.XLOOKUP(B404,clean_sales!C:C,clean_sales!S:S)</f>
        <v>Delhi</v>
      </c>
    </row>
    <row r="405" spans="1:5" x14ac:dyDescent="0.35">
      <c r="A405">
        <f t="shared" si="6"/>
        <v>404</v>
      </c>
      <c r="B405" t="s">
        <v>2191</v>
      </c>
      <c r="C405" t="str">
        <f>_xlfn.XLOOKUP(B405,clean_sales!C:C,clean_sales!Q:Q)</f>
        <v>Jayant Thaman</v>
      </c>
      <c r="D405" t="str">
        <f>_xlfn.XLOOKUP(B405,clean_sales!C:C,clean_sales!R:R)</f>
        <v>Bengaluru</v>
      </c>
      <c r="E405" t="str">
        <f>_xlfn.XLOOKUP(B405,clean_sales!C:C,clean_sales!S:S)</f>
        <v>Karnataka</v>
      </c>
    </row>
    <row r="406" spans="1:5" x14ac:dyDescent="0.35">
      <c r="A406">
        <f t="shared" si="6"/>
        <v>405</v>
      </c>
      <c r="B406" t="s">
        <v>2192</v>
      </c>
      <c r="C406" t="str">
        <f>_xlfn.XLOOKUP(B406,clean_sales!C:C,clean_sales!Q:Q)</f>
        <v>Shamik Cherian</v>
      </c>
      <c r="D406" t="str">
        <f>_xlfn.XLOOKUP(B406,clean_sales!C:C,clean_sales!R:R)</f>
        <v>Delhi</v>
      </c>
      <c r="E406" t="str">
        <f>_xlfn.XLOOKUP(B406,clean_sales!C:C,clean_sales!S:S)</f>
        <v>Delhi</v>
      </c>
    </row>
    <row r="407" spans="1:5" x14ac:dyDescent="0.35">
      <c r="A407">
        <f t="shared" si="6"/>
        <v>406</v>
      </c>
      <c r="B407" t="s">
        <v>2193</v>
      </c>
      <c r="C407" t="str">
        <f>_xlfn.XLOOKUP(B407,clean_sales!C:C,clean_sales!Q:Q)</f>
        <v>Urvi Varkey</v>
      </c>
      <c r="D407" t="str">
        <f>_xlfn.XLOOKUP(B407,clean_sales!C:C,clean_sales!R:R)</f>
        <v>Delhi</v>
      </c>
      <c r="E407" t="str">
        <f>_xlfn.XLOOKUP(B407,clean_sales!C:C,clean_sales!S:S)</f>
        <v>Delhi</v>
      </c>
    </row>
    <row r="408" spans="1:5" x14ac:dyDescent="0.35">
      <c r="A408">
        <f t="shared" si="6"/>
        <v>407</v>
      </c>
      <c r="B408" t="s">
        <v>2194</v>
      </c>
      <c r="C408" t="str">
        <f>_xlfn.XLOOKUP(B408,clean_sales!C:C,clean_sales!Q:Q)</f>
        <v>Ojas Savant</v>
      </c>
      <c r="D408" t="str">
        <f>_xlfn.XLOOKUP(B408,clean_sales!C:C,clean_sales!R:R)</f>
        <v>Delhi</v>
      </c>
      <c r="E408" t="str">
        <f>_xlfn.XLOOKUP(B408,clean_sales!C:C,clean_sales!S:S)</f>
        <v>Delhi</v>
      </c>
    </row>
    <row r="409" spans="1:5" x14ac:dyDescent="0.35">
      <c r="A409">
        <f t="shared" si="6"/>
        <v>408</v>
      </c>
      <c r="B409" t="s">
        <v>2195</v>
      </c>
      <c r="C409" t="str">
        <f>_xlfn.XLOOKUP(B409,clean_sales!C:C,clean_sales!Q:Q)</f>
        <v>Jayesh Dave</v>
      </c>
      <c r="D409" t="str">
        <f>_xlfn.XLOOKUP(B409,clean_sales!C:C,clean_sales!R:R)</f>
        <v>Hyderabad</v>
      </c>
      <c r="E409" t="str">
        <f>_xlfn.XLOOKUP(B409,clean_sales!C:C,clean_sales!S:S)</f>
        <v>Telangana</v>
      </c>
    </row>
    <row r="410" spans="1:5" x14ac:dyDescent="0.35">
      <c r="A410">
        <f t="shared" si="6"/>
        <v>409</v>
      </c>
      <c r="B410" t="s">
        <v>2196</v>
      </c>
      <c r="C410" t="str">
        <f>_xlfn.XLOOKUP(B410,clean_sales!C:C,clean_sales!Q:Q)</f>
        <v>Darshit Soni</v>
      </c>
      <c r="D410" t="str">
        <f>_xlfn.XLOOKUP(B410,clean_sales!C:C,clean_sales!R:R)</f>
        <v>Kolkata</v>
      </c>
      <c r="E410" t="str">
        <f>_xlfn.XLOOKUP(B410,clean_sales!C:C,clean_sales!S:S)</f>
        <v>West Bengal</v>
      </c>
    </row>
    <row r="411" spans="1:5" x14ac:dyDescent="0.35">
      <c r="A411">
        <f t="shared" si="6"/>
        <v>410</v>
      </c>
      <c r="B411" t="s">
        <v>2197</v>
      </c>
      <c r="C411" t="str">
        <f>_xlfn.XLOOKUP(B411,clean_sales!C:C,clean_sales!Q:Q)</f>
        <v>Zain Sen</v>
      </c>
      <c r="D411" t="str">
        <f>_xlfn.XLOOKUP(B411,clean_sales!C:C,clean_sales!R:R)</f>
        <v>Mumbai</v>
      </c>
      <c r="E411" t="str">
        <f>_xlfn.XLOOKUP(B411,clean_sales!C:C,clean_sales!S:S)</f>
        <v>Maharashtra</v>
      </c>
    </row>
    <row r="412" spans="1:5" x14ac:dyDescent="0.35">
      <c r="A412">
        <f t="shared" si="6"/>
        <v>411</v>
      </c>
      <c r="B412" t="s">
        <v>2198</v>
      </c>
      <c r="C412" t="str">
        <f>_xlfn.XLOOKUP(B412,clean_sales!C:C,clean_sales!Q:Q)</f>
        <v>Yuvraj Bhalla</v>
      </c>
      <c r="D412" t="str">
        <f>_xlfn.XLOOKUP(B412,clean_sales!C:C,clean_sales!R:R)</f>
        <v>Delhi</v>
      </c>
      <c r="E412" t="str">
        <f>_xlfn.XLOOKUP(B412,clean_sales!C:C,clean_sales!S:S)</f>
        <v>Delhi</v>
      </c>
    </row>
    <row r="413" spans="1:5" x14ac:dyDescent="0.35">
      <c r="A413">
        <f t="shared" si="6"/>
        <v>412</v>
      </c>
      <c r="B413" t="s">
        <v>2199</v>
      </c>
      <c r="C413" t="str">
        <f>_xlfn.XLOOKUP(B413,clean_sales!C:C,clean_sales!Q:Q)</f>
        <v>Tiya Shan</v>
      </c>
      <c r="D413" t="str">
        <f>_xlfn.XLOOKUP(B413,clean_sales!C:C,clean_sales!R:R)</f>
        <v>Mumbai</v>
      </c>
      <c r="E413" t="str">
        <f>_xlfn.XLOOKUP(B413,clean_sales!C:C,clean_sales!S:S)</f>
        <v>Maharashtra</v>
      </c>
    </row>
    <row r="414" spans="1:5" x14ac:dyDescent="0.35">
      <c r="A414">
        <f t="shared" si="6"/>
        <v>413</v>
      </c>
      <c r="B414" t="s">
        <v>2200</v>
      </c>
      <c r="C414" t="str">
        <f>_xlfn.XLOOKUP(B414,clean_sales!C:C,clean_sales!Q:Q)</f>
        <v>Raunak Dayal</v>
      </c>
      <c r="D414" t="str">
        <f>_xlfn.XLOOKUP(B414,clean_sales!C:C,clean_sales!R:R)</f>
        <v>Hyderabad</v>
      </c>
      <c r="E414" t="str">
        <f>_xlfn.XLOOKUP(B414,clean_sales!C:C,clean_sales!S:S)</f>
        <v>Telangana</v>
      </c>
    </row>
    <row r="415" spans="1:5" x14ac:dyDescent="0.35">
      <c r="A415">
        <f t="shared" si="6"/>
        <v>414</v>
      </c>
      <c r="B415" t="s">
        <v>2201</v>
      </c>
      <c r="C415" t="str">
        <f>_xlfn.XLOOKUP(B415,clean_sales!C:C,clean_sales!Q:Q)</f>
        <v>Madhup Kale</v>
      </c>
      <c r="D415" t="str">
        <f>_xlfn.XLOOKUP(B415,clean_sales!C:C,clean_sales!R:R)</f>
        <v>Delhi</v>
      </c>
      <c r="E415" t="str">
        <f>_xlfn.XLOOKUP(B415,clean_sales!C:C,clean_sales!S:S)</f>
        <v>Delhi</v>
      </c>
    </row>
    <row r="416" spans="1:5" x14ac:dyDescent="0.35">
      <c r="A416">
        <f t="shared" si="6"/>
        <v>415</v>
      </c>
      <c r="B416" t="s">
        <v>2202</v>
      </c>
      <c r="C416" t="str">
        <f>_xlfn.XLOOKUP(B416,clean_sales!C:C,clean_sales!Q:Q)</f>
        <v>Eva Sharaf</v>
      </c>
      <c r="D416" t="str">
        <f>_xlfn.XLOOKUP(B416,clean_sales!C:C,clean_sales!R:R)</f>
        <v>Bengaluru</v>
      </c>
      <c r="E416" t="str">
        <f>_xlfn.XLOOKUP(B416,clean_sales!C:C,clean_sales!S:S)</f>
        <v>Karnataka</v>
      </c>
    </row>
    <row r="417" spans="1:5" x14ac:dyDescent="0.35">
      <c r="A417">
        <f t="shared" si="6"/>
        <v>416</v>
      </c>
      <c r="B417" t="s">
        <v>2203</v>
      </c>
      <c r="C417" t="str">
        <f>_xlfn.XLOOKUP(B417,clean_sales!C:C,clean_sales!Q:Q)</f>
        <v>Samiha Toor</v>
      </c>
      <c r="D417" t="str">
        <f>_xlfn.XLOOKUP(B417,clean_sales!C:C,clean_sales!R:R)</f>
        <v>Hyderabad</v>
      </c>
      <c r="E417" t="str">
        <f>_xlfn.XLOOKUP(B417,clean_sales!C:C,clean_sales!S:S)</f>
        <v>Telangana</v>
      </c>
    </row>
    <row r="418" spans="1:5" x14ac:dyDescent="0.35">
      <c r="A418">
        <f t="shared" si="6"/>
        <v>417</v>
      </c>
      <c r="B418" t="s">
        <v>2204</v>
      </c>
      <c r="C418" t="str">
        <f>_xlfn.XLOOKUP(B418,clean_sales!C:C,clean_sales!Q:Q)</f>
        <v>Stuvan Buch</v>
      </c>
      <c r="D418" t="str">
        <f>_xlfn.XLOOKUP(B418,clean_sales!C:C,clean_sales!R:R)</f>
        <v>Bengaluru</v>
      </c>
      <c r="E418" t="str">
        <f>_xlfn.XLOOKUP(B418,clean_sales!C:C,clean_sales!S:S)</f>
        <v>Karnataka</v>
      </c>
    </row>
    <row r="419" spans="1:5" x14ac:dyDescent="0.35">
      <c r="A419">
        <f t="shared" si="6"/>
        <v>418</v>
      </c>
      <c r="B419" t="s">
        <v>2205</v>
      </c>
      <c r="C419" t="str">
        <f>_xlfn.XLOOKUP(B419,clean_sales!C:C,clean_sales!Q:Q)</f>
        <v>Nehmat Sarin</v>
      </c>
      <c r="D419" t="str">
        <f>_xlfn.XLOOKUP(B419,clean_sales!C:C,clean_sales!R:R)</f>
        <v>Pune</v>
      </c>
      <c r="E419" t="str">
        <f>_xlfn.XLOOKUP(B419,clean_sales!C:C,clean_sales!S:S)</f>
        <v>Maharashtra</v>
      </c>
    </row>
    <row r="420" spans="1:5" x14ac:dyDescent="0.35">
      <c r="A420">
        <f t="shared" si="6"/>
        <v>419</v>
      </c>
      <c r="B420" t="s">
        <v>2206</v>
      </c>
      <c r="C420" t="str">
        <f>_xlfn.XLOOKUP(B420,clean_sales!C:C,clean_sales!Q:Q)</f>
        <v>Ela Kalla</v>
      </c>
      <c r="D420" t="str">
        <f>_xlfn.XLOOKUP(B420,clean_sales!C:C,clean_sales!R:R)</f>
        <v>Mumbai</v>
      </c>
      <c r="E420" t="str">
        <f>_xlfn.XLOOKUP(B420,clean_sales!C:C,clean_sales!S:S)</f>
        <v>Maharashtra</v>
      </c>
    </row>
    <row r="421" spans="1:5" x14ac:dyDescent="0.35">
      <c r="A421">
        <f t="shared" si="6"/>
        <v>420</v>
      </c>
      <c r="B421" t="s">
        <v>2207</v>
      </c>
      <c r="C421" t="str">
        <f>_xlfn.XLOOKUP(B421,clean_sales!C:C,clean_sales!Q:Q)</f>
        <v>Reyansh Banerjee</v>
      </c>
      <c r="D421" t="str">
        <f>_xlfn.XLOOKUP(B421,clean_sales!C:C,clean_sales!R:R)</f>
        <v>Kolkata</v>
      </c>
      <c r="E421" t="str">
        <f>_xlfn.XLOOKUP(B421,clean_sales!C:C,clean_sales!S:S)</f>
        <v>West Bengal</v>
      </c>
    </row>
    <row r="422" spans="1:5" x14ac:dyDescent="0.35">
      <c r="A422">
        <f t="shared" si="6"/>
        <v>421</v>
      </c>
      <c r="B422" t="s">
        <v>2208</v>
      </c>
      <c r="C422" t="str">
        <f>_xlfn.XLOOKUP(B422,clean_sales!C:C,clean_sales!Q:Q)</f>
        <v>Amani Sem</v>
      </c>
      <c r="D422" t="str">
        <f>_xlfn.XLOOKUP(B422,clean_sales!C:C,clean_sales!R:R)</f>
        <v>Pune</v>
      </c>
      <c r="E422" t="str">
        <f>_xlfn.XLOOKUP(B422,clean_sales!C:C,clean_sales!S:S)</f>
        <v>Maharashtra</v>
      </c>
    </row>
    <row r="423" spans="1:5" x14ac:dyDescent="0.35">
      <c r="A423">
        <f t="shared" si="6"/>
        <v>422</v>
      </c>
      <c r="B423" t="s">
        <v>2209</v>
      </c>
      <c r="C423" t="str">
        <f>_xlfn.XLOOKUP(B423,clean_sales!C:C,clean_sales!Q:Q)</f>
        <v>Aarna Kibe</v>
      </c>
      <c r="D423" t="str">
        <f>_xlfn.XLOOKUP(B423,clean_sales!C:C,clean_sales!R:R)</f>
        <v>Mumbai</v>
      </c>
      <c r="E423" t="str">
        <f>_xlfn.XLOOKUP(B423,clean_sales!C:C,clean_sales!S:S)</f>
        <v>Maharashtra</v>
      </c>
    </row>
    <row r="424" spans="1:5" x14ac:dyDescent="0.35">
      <c r="A424">
        <f t="shared" si="6"/>
        <v>423</v>
      </c>
      <c r="B424" t="s">
        <v>2210</v>
      </c>
      <c r="C424" t="str">
        <f>_xlfn.XLOOKUP(B424,clean_sales!C:C,clean_sales!Q:Q)</f>
        <v>Purab Walla</v>
      </c>
      <c r="D424" t="str">
        <f>_xlfn.XLOOKUP(B424,clean_sales!C:C,clean_sales!R:R)</f>
        <v>Pune</v>
      </c>
      <c r="E424" t="str">
        <f>_xlfn.XLOOKUP(B424,clean_sales!C:C,clean_sales!S:S)</f>
        <v>Maharashtra</v>
      </c>
    </row>
    <row r="425" spans="1:5" x14ac:dyDescent="0.35">
      <c r="A425">
        <f t="shared" si="6"/>
        <v>424</v>
      </c>
      <c r="B425" t="s">
        <v>2211</v>
      </c>
      <c r="C425" t="str">
        <f>_xlfn.XLOOKUP(B425,clean_sales!C:C,clean_sales!Q:Q)</f>
        <v>Heer Lala</v>
      </c>
      <c r="D425" t="str">
        <f>_xlfn.XLOOKUP(B425,clean_sales!C:C,clean_sales!R:R)</f>
        <v>Bengaluru</v>
      </c>
      <c r="E425" t="str">
        <f>_xlfn.XLOOKUP(B425,clean_sales!C:C,clean_sales!S:S)</f>
        <v>Karnataka</v>
      </c>
    </row>
    <row r="426" spans="1:5" x14ac:dyDescent="0.35">
      <c r="A426">
        <f t="shared" si="6"/>
        <v>425</v>
      </c>
      <c r="B426" t="s">
        <v>2212</v>
      </c>
      <c r="C426" t="str">
        <f>_xlfn.XLOOKUP(B426,clean_sales!C:C,clean_sales!Q:Q)</f>
        <v>Indrajit Madan</v>
      </c>
      <c r="D426" t="str">
        <f>_xlfn.XLOOKUP(B426,clean_sales!C:C,clean_sales!R:R)</f>
        <v>Chennai</v>
      </c>
      <c r="E426" t="str">
        <f>_xlfn.XLOOKUP(B426,clean_sales!C:C,clean_sales!S:S)</f>
        <v>Tamil Nadu</v>
      </c>
    </row>
    <row r="427" spans="1:5" x14ac:dyDescent="0.35">
      <c r="A427">
        <f t="shared" si="6"/>
        <v>426</v>
      </c>
      <c r="B427" t="s">
        <v>2213</v>
      </c>
      <c r="C427" t="str">
        <f>_xlfn.XLOOKUP(B427,clean_sales!C:C,clean_sales!Q:Q)</f>
        <v>Alia Sundaram</v>
      </c>
      <c r="D427" t="str">
        <f>_xlfn.XLOOKUP(B427,clean_sales!C:C,clean_sales!R:R)</f>
        <v>Kolkata</v>
      </c>
      <c r="E427" t="str">
        <f>_xlfn.XLOOKUP(B427,clean_sales!C:C,clean_sales!S:S)</f>
        <v>West Bengal</v>
      </c>
    </row>
    <row r="428" spans="1:5" x14ac:dyDescent="0.35">
      <c r="A428">
        <f t="shared" si="6"/>
        <v>427</v>
      </c>
      <c r="B428" t="s">
        <v>2214</v>
      </c>
      <c r="C428" t="str">
        <f>_xlfn.XLOOKUP(B428,clean_sales!C:C,clean_sales!Q:Q)</f>
        <v>Sahil Dewan</v>
      </c>
      <c r="D428" t="str">
        <f>_xlfn.XLOOKUP(B428,clean_sales!C:C,clean_sales!R:R)</f>
        <v>Chennai</v>
      </c>
      <c r="E428" t="str">
        <f>_xlfn.XLOOKUP(B428,clean_sales!C:C,clean_sales!S:S)</f>
        <v>Tamil Nadu</v>
      </c>
    </row>
    <row r="429" spans="1:5" x14ac:dyDescent="0.35">
      <c r="A429">
        <f t="shared" si="6"/>
        <v>428</v>
      </c>
      <c r="B429" t="s">
        <v>2215</v>
      </c>
      <c r="C429" t="str">
        <f>_xlfn.XLOOKUP(B429,clean_sales!C:C,clean_sales!Q:Q)</f>
        <v>Zaina Bhardwaj</v>
      </c>
      <c r="D429" t="str">
        <f>_xlfn.XLOOKUP(B429,clean_sales!C:C,clean_sales!R:R)</f>
        <v>Mumbai</v>
      </c>
      <c r="E429" t="str">
        <f>_xlfn.XLOOKUP(B429,clean_sales!C:C,clean_sales!S:S)</f>
        <v>Maharashtra</v>
      </c>
    </row>
    <row r="430" spans="1:5" x14ac:dyDescent="0.35">
      <c r="A430">
        <f t="shared" si="6"/>
        <v>429</v>
      </c>
      <c r="B430" t="s">
        <v>2216</v>
      </c>
      <c r="C430" t="str">
        <f>_xlfn.XLOOKUP(B430,clean_sales!C:C,clean_sales!Q:Q)</f>
        <v>Adah Raja</v>
      </c>
      <c r="D430" t="str">
        <f>_xlfn.XLOOKUP(B430,clean_sales!C:C,clean_sales!R:R)</f>
        <v>Chennai</v>
      </c>
      <c r="E430" t="str">
        <f>_xlfn.XLOOKUP(B430,clean_sales!C:C,clean_sales!S:S)</f>
        <v>Tamil Nadu</v>
      </c>
    </row>
    <row r="431" spans="1:5" x14ac:dyDescent="0.35">
      <c r="A431">
        <f t="shared" si="6"/>
        <v>430</v>
      </c>
      <c r="B431" t="s">
        <v>2217</v>
      </c>
      <c r="C431" t="str">
        <f>_xlfn.XLOOKUP(B431,clean_sales!C:C,clean_sales!Q:Q)</f>
        <v>Anay Dada</v>
      </c>
      <c r="D431" t="str">
        <f>_xlfn.XLOOKUP(B431,clean_sales!C:C,clean_sales!R:R)</f>
        <v>Hyderabad</v>
      </c>
      <c r="E431" t="str">
        <f>_xlfn.XLOOKUP(B431,clean_sales!C:C,clean_sales!S:S)</f>
        <v>Telangana</v>
      </c>
    </row>
    <row r="432" spans="1:5" x14ac:dyDescent="0.35">
      <c r="A432">
        <f t="shared" si="6"/>
        <v>431</v>
      </c>
      <c r="B432" t="s">
        <v>2218</v>
      </c>
      <c r="C432" t="str">
        <f>_xlfn.XLOOKUP(B432,clean_sales!C:C,clean_sales!Q:Q)</f>
        <v>Aarna Sachdev</v>
      </c>
      <c r="D432" t="str">
        <f>_xlfn.XLOOKUP(B432,clean_sales!C:C,clean_sales!R:R)</f>
        <v>Hyderabad</v>
      </c>
      <c r="E432" t="str">
        <f>_xlfn.XLOOKUP(B432,clean_sales!C:C,clean_sales!S:S)</f>
        <v>Telangana</v>
      </c>
    </row>
    <row r="433" spans="1:5" x14ac:dyDescent="0.35">
      <c r="A433">
        <f t="shared" si="6"/>
        <v>432</v>
      </c>
      <c r="B433" t="s">
        <v>2219</v>
      </c>
      <c r="C433" t="str">
        <f>_xlfn.XLOOKUP(B433,clean_sales!C:C,clean_sales!Q:Q)</f>
        <v>Nakul Wagle</v>
      </c>
      <c r="D433" t="str">
        <f>_xlfn.XLOOKUP(B433,clean_sales!C:C,clean_sales!R:R)</f>
        <v>Bengaluru</v>
      </c>
      <c r="E433" t="str">
        <f>_xlfn.XLOOKUP(B433,clean_sales!C:C,clean_sales!S:S)</f>
        <v>Karnataka</v>
      </c>
    </row>
    <row r="434" spans="1:5" x14ac:dyDescent="0.35">
      <c r="A434">
        <f t="shared" si="6"/>
        <v>433</v>
      </c>
      <c r="B434" t="s">
        <v>2220</v>
      </c>
      <c r="C434" t="str">
        <f>_xlfn.XLOOKUP(B434,clean_sales!C:C,clean_sales!Q:Q)</f>
        <v>Ritvik Iyer</v>
      </c>
      <c r="D434" t="str">
        <f>_xlfn.XLOOKUP(B434,clean_sales!C:C,clean_sales!R:R)</f>
        <v>Hyderabad</v>
      </c>
      <c r="E434" t="str">
        <f>_xlfn.XLOOKUP(B434,clean_sales!C:C,clean_sales!S:S)</f>
        <v>Telangana</v>
      </c>
    </row>
    <row r="435" spans="1:5" x14ac:dyDescent="0.35">
      <c r="A435">
        <f t="shared" si="6"/>
        <v>434</v>
      </c>
      <c r="B435" t="s">
        <v>2221</v>
      </c>
      <c r="C435" t="str">
        <f>_xlfn.XLOOKUP(B435,clean_sales!C:C,clean_sales!Q:Q)</f>
        <v>Amira Bains</v>
      </c>
      <c r="D435" t="str">
        <f>_xlfn.XLOOKUP(B435,clean_sales!C:C,clean_sales!R:R)</f>
        <v>Bengaluru</v>
      </c>
      <c r="E435" t="str">
        <f>_xlfn.XLOOKUP(B435,clean_sales!C:C,clean_sales!S:S)</f>
        <v>Karnataka</v>
      </c>
    </row>
    <row r="436" spans="1:5" x14ac:dyDescent="0.35">
      <c r="A436">
        <f t="shared" si="6"/>
        <v>435</v>
      </c>
      <c r="B436" t="s">
        <v>2222</v>
      </c>
      <c r="C436" t="str">
        <f>_xlfn.XLOOKUP(B436,clean_sales!C:C,clean_sales!Q:Q)</f>
        <v>Mishti Dugar</v>
      </c>
      <c r="D436" t="str">
        <f>_xlfn.XLOOKUP(B436,clean_sales!C:C,clean_sales!R:R)</f>
        <v>Chennai</v>
      </c>
      <c r="E436" t="str">
        <f>_xlfn.XLOOKUP(B436,clean_sales!C:C,clean_sales!S:S)</f>
        <v>Tamil Nadu</v>
      </c>
    </row>
    <row r="437" spans="1:5" x14ac:dyDescent="0.35">
      <c r="A437">
        <f t="shared" si="6"/>
        <v>436</v>
      </c>
      <c r="B437" t="s">
        <v>2223</v>
      </c>
      <c r="C437" t="str">
        <f>_xlfn.XLOOKUP(B437,clean_sales!C:C,clean_sales!Q:Q)</f>
        <v>Shamik Viswanathan</v>
      </c>
      <c r="D437" t="str">
        <f>_xlfn.XLOOKUP(B437,clean_sales!C:C,clean_sales!R:R)</f>
        <v>Hyderabad</v>
      </c>
      <c r="E437" t="str">
        <f>_xlfn.XLOOKUP(B437,clean_sales!C:C,clean_sales!S:S)</f>
        <v>Telangana</v>
      </c>
    </row>
    <row r="438" spans="1:5" x14ac:dyDescent="0.35">
      <c r="A438">
        <f t="shared" si="6"/>
        <v>437</v>
      </c>
      <c r="B438" t="s">
        <v>2224</v>
      </c>
      <c r="C438" t="str">
        <f>_xlfn.XLOOKUP(B438,clean_sales!C:C,clean_sales!Q:Q)</f>
        <v>Nirvaan Chada</v>
      </c>
      <c r="D438" t="str">
        <f>_xlfn.XLOOKUP(B438,clean_sales!C:C,clean_sales!R:R)</f>
        <v>Delhi</v>
      </c>
      <c r="E438" t="str">
        <f>_xlfn.XLOOKUP(B438,clean_sales!C:C,clean_sales!S:S)</f>
        <v>Delhi</v>
      </c>
    </row>
    <row r="439" spans="1:5" x14ac:dyDescent="0.35">
      <c r="A439">
        <f t="shared" si="6"/>
        <v>438</v>
      </c>
      <c r="B439" t="s">
        <v>2225</v>
      </c>
      <c r="C439" t="str">
        <f>_xlfn.XLOOKUP(B439,clean_sales!C:C,clean_sales!Q:Q)</f>
        <v>Adah Behl</v>
      </c>
      <c r="D439" t="str">
        <f>_xlfn.XLOOKUP(B439,clean_sales!C:C,clean_sales!R:R)</f>
        <v>Bengaluru</v>
      </c>
      <c r="E439" t="str">
        <f>_xlfn.XLOOKUP(B439,clean_sales!C:C,clean_sales!S:S)</f>
        <v>Karnataka</v>
      </c>
    </row>
    <row r="440" spans="1:5" x14ac:dyDescent="0.35">
      <c r="A440">
        <f t="shared" si="6"/>
        <v>439</v>
      </c>
      <c r="B440" t="s">
        <v>2226</v>
      </c>
      <c r="C440" t="str">
        <f>_xlfn.XLOOKUP(B440,clean_sales!C:C,clean_sales!Q:Q)</f>
        <v>Purab Goswami</v>
      </c>
      <c r="D440" t="str">
        <f>_xlfn.XLOOKUP(B440,clean_sales!C:C,clean_sales!R:R)</f>
        <v>Pune</v>
      </c>
      <c r="E440" t="str">
        <f>_xlfn.XLOOKUP(B440,clean_sales!C:C,clean_sales!S:S)</f>
        <v>Maharashtra</v>
      </c>
    </row>
    <row r="441" spans="1:5" x14ac:dyDescent="0.35">
      <c r="A441">
        <f t="shared" si="6"/>
        <v>440</v>
      </c>
      <c r="B441" t="s">
        <v>2227</v>
      </c>
      <c r="C441" t="str">
        <f>_xlfn.XLOOKUP(B441,clean_sales!C:C,clean_sales!Q:Q)</f>
        <v>Ryan Dixit</v>
      </c>
      <c r="D441" t="str">
        <f>_xlfn.XLOOKUP(B441,clean_sales!C:C,clean_sales!R:R)</f>
        <v>Chennai</v>
      </c>
      <c r="E441" t="str">
        <f>_xlfn.XLOOKUP(B441,clean_sales!C:C,clean_sales!S:S)</f>
        <v>Tamil Nadu</v>
      </c>
    </row>
    <row r="442" spans="1:5" x14ac:dyDescent="0.35">
      <c r="A442">
        <f t="shared" si="6"/>
        <v>441</v>
      </c>
      <c r="B442" t="s">
        <v>2228</v>
      </c>
      <c r="C442" t="str">
        <f>_xlfn.XLOOKUP(B442,clean_sales!C:C,clean_sales!Q:Q)</f>
        <v>Hridaan Andra</v>
      </c>
      <c r="D442" t="str">
        <f>_xlfn.XLOOKUP(B442,clean_sales!C:C,clean_sales!R:R)</f>
        <v>Bengaluru</v>
      </c>
      <c r="E442" t="str">
        <f>_xlfn.XLOOKUP(B442,clean_sales!C:C,clean_sales!S:S)</f>
        <v>Karnataka</v>
      </c>
    </row>
    <row r="443" spans="1:5" x14ac:dyDescent="0.35">
      <c r="A443">
        <f t="shared" si="6"/>
        <v>442</v>
      </c>
      <c r="B443" t="s">
        <v>2229</v>
      </c>
      <c r="C443" t="str">
        <f>_xlfn.XLOOKUP(B443,clean_sales!C:C,clean_sales!Q:Q)</f>
        <v>Riaan Trivedi</v>
      </c>
      <c r="D443" t="str">
        <f>_xlfn.XLOOKUP(B443,clean_sales!C:C,clean_sales!R:R)</f>
        <v>Chennai</v>
      </c>
      <c r="E443" t="str">
        <f>_xlfn.XLOOKUP(B443,clean_sales!C:C,clean_sales!S:S)</f>
        <v>Tamil Nadu</v>
      </c>
    </row>
    <row r="444" spans="1:5" x14ac:dyDescent="0.35">
      <c r="A444">
        <f t="shared" si="6"/>
        <v>443</v>
      </c>
      <c r="B444" t="s">
        <v>2230</v>
      </c>
      <c r="C444" t="str">
        <f>_xlfn.XLOOKUP(B444,clean_sales!C:C,clean_sales!Q:Q)</f>
        <v>Eva Varghese</v>
      </c>
      <c r="D444" t="str">
        <f>_xlfn.XLOOKUP(B444,clean_sales!C:C,clean_sales!R:R)</f>
        <v>Delhi</v>
      </c>
      <c r="E444" t="str">
        <f>_xlfn.XLOOKUP(B444,clean_sales!C:C,clean_sales!S:S)</f>
        <v>Delhi</v>
      </c>
    </row>
    <row r="445" spans="1:5" x14ac:dyDescent="0.35">
      <c r="A445">
        <f t="shared" si="6"/>
        <v>444</v>
      </c>
      <c r="B445" t="s">
        <v>2231</v>
      </c>
      <c r="C445" t="str">
        <f>_xlfn.XLOOKUP(B445,clean_sales!C:C,clean_sales!Q:Q)</f>
        <v>Kiaan Basak</v>
      </c>
      <c r="D445" t="str">
        <f>_xlfn.XLOOKUP(B445,clean_sales!C:C,clean_sales!R:R)</f>
        <v>Chennai</v>
      </c>
      <c r="E445" t="str">
        <f>_xlfn.XLOOKUP(B445,clean_sales!C:C,clean_sales!S:S)</f>
        <v>Tamil Nadu</v>
      </c>
    </row>
    <row r="446" spans="1:5" x14ac:dyDescent="0.35">
      <c r="A446">
        <f t="shared" si="6"/>
        <v>445</v>
      </c>
      <c r="B446" t="s">
        <v>2232</v>
      </c>
      <c r="C446" t="str">
        <f>_xlfn.XLOOKUP(B446,clean_sales!C:C,clean_sales!Q:Q)</f>
        <v>Amani Saha</v>
      </c>
      <c r="D446" t="str">
        <f>_xlfn.XLOOKUP(B446,clean_sales!C:C,clean_sales!R:R)</f>
        <v>Bengaluru</v>
      </c>
      <c r="E446" t="str">
        <f>_xlfn.XLOOKUP(B446,clean_sales!C:C,clean_sales!S:S)</f>
        <v>Karnataka</v>
      </c>
    </row>
    <row r="447" spans="1:5" x14ac:dyDescent="0.35">
      <c r="A447">
        <f t="shared" si="6"/>
        <v>446</v>
      </c>
      <c r="B447" t="s">
        <v>2233</v>
      </c>
      <c r="C447" t="str">
        <f>_xlfn.XLOOKUP(B447,clean_sales!C:C,clean_sales!Q:Q)</f>
        <v>Stuvan Joshi</v>
      </c>
      <c r="D447" t="str">
        <f>_xlfn.XLOOKUP(B447,clean_sales!C:C,clean_sales!R:R)</f>
        <v>Kolkata</v>
      </c>
      <c r="E447" t="str">
        <f>_xlfn.XLOOKUP(B447,clean_sales!C:C,clean_sales!S:S)</f>
        <v>West Bengal</v>
      </c>
    </row>
    <row r="448" spans="1:5" x14ac:dyDescent="0.35">
      <c r="A448">
        <f t="shared" si="6"/>
        <v>447</v>
      </c>
      <c r="B448" t="s">
        <v>2234</v>
      </c>
      <c r="C448" t="str">
        <f>_xlfn.XLOOKUP(B448,clean_sales!C:C,clean_sales!Q:Q)</f>
        <v>Kavya Bajaj</v>
      </c>
      <c r="D448" t="str">
        <f>_xlfn.XLOOKUP(B448,clean_sales!C:C,clean_sales!R:R)</f>
        <v>Pune</v>
      </c>
      <c r="E448" t="str">
        <f>_xlfn.XLOOKUP(B448,clean_sales!C:C,clean_sales!S:S)</f>
        <v>Maharashtra</v>
      </c>
    </row>
    <row r="449" spans="1:5" x14ac:dyDescent="0.35">
      <c r="A449">
        <f t="shared" si="6"/>
        <v>448</v>
      </c>
      <c r="B449" t="s">
        <v>2235</v>
      </c>
      <c r="C449" t="str">
        <f>_xlfn.XLOOKUP(B449,clean_sales!C:C,clean_sales!Q:Q)</f>
        <v>Hansh Batra</v>
      </c>
      <c r="D449" t="str">
        <f>_xlfn.XLOOKUP(B449,clean_sales!C:C,clean_sales!R:R)</f>
        <v>Mumbai</v>
      </c>
      <c r="E449" t="str">
        <f>_xlfn.XLOOKUP(B449,clean_sales!C:C,clean_sales!S:S)</f>
        <v>Maharashtra</v>
      </c>
    </row>
    <row r="450" spans="1:5" x14ac:dyDescent="0.35">
      <c r="A450">
        <f t="shared" si="6"/>
        <v>449</v>
      </c>
      <c r="B450" t="s">
        <v>2236</v>
      </c>
      <c r="C450" t="str">
        <f>_xlfn.XLOOKUP(B450,clean_sales!C:C,clean_sales!Q:Q)</f>
        <v>Amani Kurian</v>
      </c>
      <c r="D450" t="str">
        <f>_xlfn.XLOOKUP(B450,clean_sales!C:C,clean_sales!R:R)</f>
        <v>Kolkata</v>
      </c>
      <c r="E450" t="str">
        <f>_xlfn.XLOOKUP(B450,clean_sales!C:C,clean_sales!S:S)</f>
        <v>West Bengal</v>
      </c>
    </row>
    <row r="451" spans="1:5" x14ac:dyDescent="0.35">
      <c r="A451">
        <f t="shared" ref="A451:A514" si="7">ROW()-1</f>
        <v>450</v>
      </c>
      <c r="B451" t="s">
        <v>2237</v>
      </c>
      <c r="C451" t="str">
        <f>_xlfn.XLOOKUP(B451,clean_sales!C:C,clean_sales!Q:Q)</f>
        <v>Veer Kashyap</v>
      </c>
      <c r="D451" t="str">
        <f>_xlfn.XLOOKUP(B451,clean_sales!C:C,clean_sales!R:R)</f>
        <v>Hyderabad</v>
      </c>
      <c r="E451" t="str">
        <f>_xlfn.XLOOKUP(B451,clean_sales!C:C,clean_sales!S:S)</f>
        <v>Telangana</v>
      </c>
    </row>
    <row r="452" spans="1:5" x14ac:dyDescent="0.35">
      <c r="A452">
        <f t="shared" si="7"/>
        <v>451</v>
      </c>
      <c r="B452" t="s">
        <v>2238</v>
      </c>
      <c r="C452" t="str">
        <f>_xlfn.XLOOKUP(B452,clean_sales!C:C,clean_sales!Q:Q)</f>
        <v>Lavanya Kakar</v>
      </c>
      <c r="D452" t="str">
        <f>_xlfn.XLOOKUP(B452,clean_sales!C:C,clean_sales!R:R)</f>
        <v>Pune</v>
      </c>
      <c r="E452" t="str">
        <f>_xlfn.XLOOKUP(B452,clean_sales!C:C,clean_sales!S:S)</f>
        <v>Maharashtra</v>
      </c>
    </row>
    <row r="453" spans="1:5" x14ac:dyDescent="0.35">
      <c r="A453">
        <f t="shared" si="7"/>
        <v>452</v>
      </c>
      <c r="B453" t="s">
        <v>2239</v>
      </c>
      <c r="C453" t="str">
        <f>_xlfn.XLOOKUP(B453,clean_sales!C:C,clean_sales!Q:Q)</f>
        <v>Tushar Dixit</v>
      </c>
      <c r="D453" t="str">
        <f>_xlfn.XLOOKUP(B453,clean_sales!C:C,clean_sales!R:R)</f>
        <v>Chennai</v>
      </c>
      <c r="E453" t="str">
        <f>_xlfn.XLOOKUP(B453,clean_sales!C:C,clean_sales!S:S)</f>
        <v>Tamil Nadu</v>
      </c>
    </row>
    <row r="454" spans="1:5" x14ac:dyDescent="0.35">
      <c r="A454">
        <f t="shared" si="7"/>
        <v>453</v>
      </c>
      <c r="B454" t="s">
        <v>2240</v>
      </c>
      <c r="C454" t="str">
        <f>_xlfn.XLOOKUP(B454,clean_sales!C:C,clean_sales!Q:Q)</f>
        <v>Yasmin Garde</v>
      </c>
      <c r="D454" t="str">
        <f>_xlfn.XLOOKUP(B454,clean_sales!C:C,clean_sales!R:R)</f>
        <v>Hyderabad</v>
      </c>
      <c r="E454" t="str">
        <f>_xlfn.XLOOKUP(B454,clean_sales!C:C,clean_sales!S:S)</f>
        <v>Telangana</v>
      </c>
    </row>
    <row r="455" spans="1:5" x14ac:dyDescent="0.35">
      <c r="A455">
        <f t="shared" si="7"/>
        <v>454</v>
      </c>
      <c r="B455" t="s">
        <v>2241</v>
      </c>
      <c r="C455" t="str">
        <f>_xlfn.XLOOKUP(B455,clean_sales!C:C,clean_sales!Q:Q)</f>
        <v>Jayan Dass</v>
      </c>
      <c r="D455" t="str">
        <f>_xlfn.XLOOKUP(B455,clean_sales!C:C,clean_sales!R:R)</f>
        <v>Pune</v>
      </c>
      <c r="E455" t="str">
        <f>_xlfn.XLOOKUP(B455,clean_sales!C:C,clean_sales!S:S)</f>
        <v>Maharashtra</v>
      </c>
    </row>
    <row r="456" spans="1:5" x14ac:dyDescent="0.35">
      <c r="A456">
        <f t="shared" si="7"/>
        <v>455</v>
      </c>
      <c r="B456" t="s">
        <v>2242</v>
      </c>
      <c r="C456" t="str">
        <f>_xlfn.XLOOKUP(B456,clean_sales!C:C,clean_sales!Q:Q)</f>
        <v>Drishya Butala</v>
      </c>
      <c r="D456" t="str">
        <f>_xlfn.XLOOKUP(B456,clean_sales!C:C,clean_sales!R:R)</f>
        <v>Delhi</v>
      </c>
      <c r="E456" t="str">
        <f>_xlfn.XLOOKUP(B456,clean_sales!C:C,clean_sales!S:S)</f>
        <v>Delhi</v>
      </c>
    </row>
    <row r="457" spans="1:5" x14ac:dyDescent="0.35">
      <c r="A457">
        <f t="shared" si="7"/>
        <v>456</v>
      </c>
      <c r="B457" t="s">
        <v>2243</v>
      </c>
      <c r="C457" t="str">
        <f>_xlfn.XLOOKUP(B457,clean_sales!C:C,clean_sales!Q:Q)</f>
        <v>Dhanuk Garde</v>
      </c>
      <c r="D457" t="str">
        <f>_xlfn.XLOOKUP(B457,clean_sales!C:C,clean_sales!R:R)</f>
        <v>Mumbai</v>
      </c>
      <c r="E457" t="str">
        <f>_xlfn.XLOOKUP(B457,clean_sales!C:C,clean_sales!S:S)</f>
        <v>Maharashtra</v>
      </c>
    </row>
    <row r="458" spans="1:5" x14ac:dyDescent="0.35">
      <c r="A458">
        <f t="shared" si="7"/>
        <v>457</v>
      </c>
      <c r="B458" t="s">
        <v>2244</v>
      </c>
      <c r="C458" t="str">
        <f>_xlfn.XLOOKUP(B458,clean_sales!C:C,clean_sales!Q:Q)</f>
        <v>Sahil Kala</v>
      </c>
      <c r="D458" t="str">
        <f>_xlfn.XLOOKUP(B458,clean_sales!C:C,clean_sales!R:R)</f>
        <v>Chennai</v>
      </c>
      <c r="E458" t="str">
        <f>_xlfn.XLOOKUP(B458,clean_sales!C:C,clean_sales!S:S)</f>
        <v>Tamil Nadu</v>
      </c>
    </row>
    <row r="459" spans="1:5" x14ac:dyDescent="0.35">
      <c r="A459">
        <f t="shared" si="7"/>
        <v>458</v>
      </c>
      <c r="B459" t="s">
        <v>2245</v>
      </c>
      <c r="C459" t="str">
        <f>_xlfn.XLOOKUP(B459,clean_sales!C:C,clean_sales!Q:Q)</f>
        <v>Mahika Srinivas</v>
      </c>
      <c r="D459" t="str">
        <f>_xlfn.XLOOKUP(B459,clean_sales!C:C,clean_sales!R:R)</f>
        <v>Hyderabad</v>
      </c>
      <c r="E459" t="str">
        <f>_xlfn.XLOOKUP(B459,clean_sales!C:C,clean_sales!S:S)</f>
        <v>Telangana</v>
      </c>
    </row>
    <row r="460" spans="1:5" x14ac:dyDescent="0.35">
      <c r="A460">
        <f t="shared" si="7"/>
        <v>459</v>
      </c>
      <c r="B460" t="s">
        <v>2246</v>
      </c>
      <c r="C460" t="str">
        <f>_xlfn.XLOOKUP(B460,clean_sales!C:C,clean_sales!Q:Q)</f>
        <v>Onkar Rama</v>
      </c>
      <c r="D460" t="str">
        <f>_xlfn.XLOOKUP(B460,clean_sales!C:C,clean_sales!R:R)</f>
        <v>Chennai</v>
      </c>
      <c r="E460" t="str">
        <f>_xlfn.XLOOKUP(B460,clean_sales!C:C,clean_sales!S:S)</f>
        <v>Tamil Nadu</v>
      </c>
    </row>
    <row r="461" spans="1:5" x14ac:dyDescent="0.35">
      <c r="A461">
        <f t="shared" si="7"/>
        <v>460</v>
      </c>
      <c r="B461" t="s">
        <v>2247</v>
      </c>
      <c r="C461" t="str">
        <f>_xlfn.XLOOKUP(B461,clean_sales!C:C,clean_sales!Q:Q)</f>
        <v>Aaina Amble</v>
      </c>
      <c r="D461" t="str">
        <f>_xlfn.XLOOKUP(B461,clean_sales!C:C,clean_sales!R:R)</f>
        <v>Pune</v>
      </c>
      <c r="E461" t="str">
        <f>_xlfn.XLOOKUP(B461,clean_sales!C:C,clean_sales!S:S)</f>
        <v>Maharashtra</v>
      </c>
    </row>
    <row r="462" spans="1:5" x14ac:dyDescent="0.35">
      <c r="A462">
        <f t="shared" si="7"/>
        <v>461</v>
      </c>
      <c r="B462" t="s">
        <v>2248</v>
      </c>
      <c r="C462" t="str">
        <f>_xlfn.XLOOKUP(B462,clean_sales!C:C,clean_sales!Q:Q)</f>
        <v>Kashvi Chakraborty</v>
      </c>
      <c r="D462" t="str">
        <f>_xlfn.XLOOKUP(B462,clean_sales!C:C,clean_sales!R:R)</f>
        <v>Kolkata</v>
      </c>
      <c r="E462" t="str">
        <f>_xlfn.XLOOKUP(B462,clean_sales!C:C,clean_sales!S:S)</f>
        <v>West Bengal</v>
      </c>
    </row>
    <row r="463" spans="1:5" x14ac:dyDescent="0.35">
      <c r="A463">
        <f t="shared" si="7"/>
        <v>462</v>
      </c>
      <c r="B463" t="s">
        <v>2249</v>
      </c>
      <c r="C463" t="str">
        <f>_xlfn.XLOOKUP(B463,clean_sales!C:C,clean_sales!Q:Q)</f>
        <v>Samar Subramaniam</v>
      </c>
      <c r="D463" t="str">
        <f>_xlfn.XLOOKUP(B463,clean_sales!C:C,clean_sales!R:R)</f>
        <v>Kolkata</v>
      </c>
      <c r="E463" t="str">
        <f>_xlfn.XLOOKUP(B463,clean_sales!C:C,clean_sales!S:S)</f>
        <v>West Bengal</v>
      </c>
    </row>
    <row r="464" spans="1:5" x14ac:dyDescent="0.35">
      <c r="A464">
        <f t="shared" si="7"/>
        <v>463</v>
      </c>
      <c r="B464" t="s">
        <v>2250</v>
      </c>
      <c r="C464" t="str">
        <f>_xlfn.XLOOKUP(B464,clean_sales!C:C,clean_sales!Q:Q)</f>
        <v>Drishya Dyal</v>
      </c>
      <c r="D464" t="str">
        <f>_xlfn.XLOOKUP(B464,clean_sales!C:C,clean_sales!R:R)</f>
        <v>Chennai</v>
      </c>
      <c r="E464" t="str">
        <f>_xlfn.XLOOKUP(B464,clean_sales!C:C,clean_sales!S:S)</f>
        <v>Tamil Nadu</v>
      </c>
    </row>
    <row r="465" spans="1:5" x14ac:dyDescent="0.35">
      <c r="A465">
        <f t="shared" si="7"/>
        <v>464</v>
      </c>
      <c r="B465" t="s">
        <v>2251</v>
      </c>
      <c r="C465" t="str">
        <f>_xlfn.XLOOKUP(B465,clean_sales!C:C,clean_sales!Q:Q)</f>
        <v>Siya Ahluwalia</v>
      </c>
      <c r="D465" t="str">
        <f>_xlfn.XLOOKUP(B465,clean_sales!C:C,clean_sales!R:R)</f>
        <v>Delhi</v>
      </c>
      <c r="E465" t="str">
        <f>_xlfn.XLOOKUP(B465,clean_sales!C:C,clean_sales!S:S)</f>
        <v>Delhi</v>
      </c>
    </row>
    <row r="466" spans="1:5" x14ac:dyDescent="0.35">
      <c r="A466">
        <f t="shared" si="7"/>
        <v>465</v>
      </c>
      <c r="B466" t="s">
        <v>2252</v>
      </c>
      <c r="C466" t="str">
        <f>_xlfn.XLOOKUP(B466,clean_sales!C:C,clean_sales!Q:Q)</f>
        <v>Inaaya Bains</v>
      </c>
      <c r="D466" t="str">
        <f>_xlfn.XLOOKUP(B466,clean_sales!C:C,clean_sales!R:R)</f>
        <v>Kolkata</v>
      </c>
      <c r="E466" t="str">
        <f>_xlfn.XLOOKUP(B466,clean_sales!C:C,clean_sales!S:S)</f>
        <v>West Bengal</v>
      </c>
    </row>
    <row r="467" spans="1:5" x14ac:dyDescent="0.35">
      <c r="A467">
        <f t="shared" si="7"/>
        <v>466</v>
      </c>
      <c r="B467" t="s">
        <v>2253</v>
      </c>
      <c r="C467" t="str">
        <f>_xlfn.XLOOKUP(B467,clean_sales!C:C,clean_sales!Q:Q)</f>
        <v>Heer Batta</v>
      </c>
      <c r="D467" t="str">
        <f>_xlfn.XLOOKUP(B467,clean_sales!C:C,clean_sales!R:R)</f>
        <v>Mumbai</v>
      </c>
      <c r="E467" t="str">
        <f>_xlfn.XLOOKUP(B467,clean_sales!C:C,clean_sales!S:S)</f>
        <v>Maharashtra</v>
      </c>
    </row>
    <row r="468" spans="1:5" x14ac:dyDescent="0.35">
      <c r="A468">
        <f t="shared" si="7"/>
        <v>467</v>
      </c>
      <c r="B468" t="s">
        <v>2254</v>
      </c>
      <c r="C468" t="str">
        <f>_xlfn.XLOOKUP(B468,clean_sales!C:C,clean_sales!Q:Q)</f>
        <v>Tejas Solanki</v>
      </c>
      <c r="D468" t="str">
        <f>_xlfn.XLOOKUP(B468,clean_sales!C:C,clean_sales!R:R)</f>
        <v>Hyderabad</v>
      </c>
      <c r="E468" t="str">
        <f>_xlfn.XLOOKUP(B468,clean_sales!C:C,clean_sales!S:S)</f>
        <v>Telangana</v>
      </c>
    </row>
    <row r="469" spans="1:5" x14ac:dyDescent="0.35">
      <c r="A469">
        <f t="shared" si="7"/>
        <v>468</v>
      </c>
      <c r="B469" t="s">
        <v>2255</v>
      </c>
      <c r="C469" t="str">
        <f>_xlfn.XLOOKUP(B469,clean_sales!C:C,clean_sales!Q:Q)</f>
        <v>Yuvraj Tak</v>
      </c>
      <c r="D469" t="str">
        <f>_xlfn.XLOOKUP(B469,clean_sales!C:C,clean_sales!R:R)</f>
        <v>Pune</v>
      </c>
      <c r="E469" t="str">
        <f>_xlfn.XLOOKUP(B469,clean_sales!C:C,clean_sales!S:S)</f>
        <v>Maharashtra</v>
      </c>
    </row>
    <row r="470" spans="1:5" x14ac:dyDescent="0.35">
      <c r="A470">
        <f t="shared" si="7"/>
        <v>469</v>
      </c>
      <c r="B470" t="s">
        <v>2256</v>
      </c>
      <c r="C470" t="str">
        <f>_xlfn.XLOOKUP(B470,clean_sales!C:C,clean_sales!Q:Q)</f>
        <v>Trisha Chacko</v>
      </c>
      <c r="D470" t="str">
        <f>_xlfn.XLOOKUP(B470,clean_sales!C:C,clean_sales!R:R)</f>
        <v>Kolkata</v>
      </c>
      <c r="E470" t="str">
        <f>_xlfn.XLOOKUP(B470,clean_sales!C:C,clean_sales!S:S)</f>
        <v>West Bengal</v>
      </c>
    </row>
    <row r="471" spans="1:5" x14ac:dyDescent="0.35">
      <c r="A471">
        <f t="shared" si="7"/>
        <v>470</v>
      </c>
      <c r="B471" t="s">
        <v>2257</v>
      </c>
      <c r="C471" t="str">
        <f>_xlfn.XLOOKUP(B471,clean_sales!C:C,clean_sales!Q:Q)</f>
        <v>Advik Lall</v>
      </c>
      <c r="D471" t="str">
        <f>_xlfn.XLOOKUP(B471,clean_sales!C:C,clean_sales!R:R)</f>
        <v>Bengaluru</v>
      </c>
      <c r="E471" t="str">
        <f>_xlfn.XLOOKUP(B471,clean_sales!C:C,clean_sales!S:S)</f>
        <v>Karnataka</v>
      </c>
    </row>
    <row r="472" spans="1:5" x14ac:dyDescent="0.35">
      <c r="A472">
        <f t="shared" si="7"/>
        <v>471</v>
      </c>
      <c r="B472" t="s">
        <v>2258</v>
      </c>
      <c r="C472" t="str">
        <f>_xlfn.XLOOKUP(B472,clean_sales!C:C,clean_sales!Q:Q)</f>
        <v>Aarav Char</v>
      </c>
      <c r="D472" t="str">
        <f>_xlfn.XLOOKUP(B472,clean_sales!C:C,clean_sales!R:R)</f>
        <v>Mumbai</v>
      </c>
      <c r="E472" t="str">
        <f>_xlfn.XLOOKUP(B472,clean_sales!C:C,clean_sales!S:S)</f>
        <v>Maharashtra</v>
      </c>
    </row>
    <row r="473" spans="1:5" x14ac:dyDescent="0.35">
      <c r="A473">
        <f t="shared" si="7"/>
        <v>472</v>
      </c>
      <c r="B473" t="s">
        <v>2259</v>
      </c>
      <c r="C473" t="str">
        <f>_xlfn.XLOOKUP(B473,clean_sales!C:C,clean_sales!Q:Q)</f>
        <v>Mamooty Gala</v>
      </c>
      <c r="D473" t="str">
        <f>_xlfn.XLOOKUP(B473,clean_sales!C:C,clean_sales!R:R)</f>
        <v>Hyderabad</v>
      </c>
      <c r="E473" t="str">
        <f>_xlfn.XLOOKUP(B473,clean_sales!C:C,clean_sales!S:S)</f>
        <v>Telangana</v>
      </c>
    </row>
    <row r="474" spans="1:5" x14ac:dyDescent="0.35">
      <c r="A474">
        <f t="shared" si="7"/>
        <v>473</v>
      </c>
      <c r="B474" t="s">
        <v>2260</v>
      </c>
      <c r="C474" t="str">
        <f>_xlfn.XLOOKUP(B474,clean_sales!C:C,clean_sales!Q:Q)</f>
        <v>Vritika Sathe</v>
      </c>
      <c r="D474" t="str">
        <f>_xlfn.XLOOKUP(B474,clean_sales!C:C,clean_sales!R:R)</f>
        <v>Mumbai</v>
      </c>
      <c r="E474" t="str">
        <f>_xlfn.XLOOKUP(B474,clean_sales!C:C,clean_sales!S:S)</f>
        <v>Maharashtra</v>
      </c>
    </row>
    <row r="475" spans="1:5" x14ac:dyDescent="0.35">
      <c r="A475">
        <f t="shared" si="7"/>
        <v>474</v>
      </c>
      <c r="B475" t="s">
        <v>2261</v>
      </c>
      <c r="C475" t="str">
        <f>_xlfn.XLOOKUP(B475,clean_sales!C:C,clean_sales!Q:Q)</f>
        <v>Sahil Hayre</v>
      </c>
      <c r="D475" t="str">
        <f>_xlfn.XLOOKUP(B475,clean_sales!C:C,clean_sales!R:R)</f>
        <v>Pune</v>
      </c>
      <c r="E475" t="str">
        <f>_xlfn.XLOOKUP(B475,clean_sales!C:C,clean_sales!S:S)</f>
        <v>Maharashtra</v>
      </c>
    </row>
    <row r="476" spans="1:5" x14ac:dyDescent="0.35">
      <c r="A476">
        <f t="shared" si="7"/>
        <v>475</v>
      </c>
      <c r="B476" t="s">
        <v>2262</v>
      </c>
      <c r="C476" t="str">
        <f>_xlfn.XLOOKUP(B476,clean_sales!C:C,clean_sales!Q:Q)</f>
        <v>Lakshit Ahluwalia</v>
      </c>
      <c r="D476" t="str">
        <f>_xlfn.XLOOKUP(B476,clean_sales!C:C,clean_sales!R:R)</f>
        <v>Mumbai</v>
      </c>
      <c r="E476" t="str">
        <f>_xlfn.XLOOKUP(B476,clean_sales!C:C,clean_sales!S:S)</f>
        <v>Maharashtra</v>
      </c>
    </row>
    <row r="477" spans="1:5" x14ac:dyDescent="0.35">
      <c r="A477">
        <f t="shared" si="7"/>
        <v>476</v>
      </c>
      <c r="B477" t="s">
        <v>2263</v>
      </c>
      <c r="C477" t="str">
        <f>_xlfn.XLOOKUP(B477,clean_sales!C:C,clean_sales!Q:Q)</f>
        <v>Shalv Dayal</v>
      </c>
      <c r="D477" t="str">
        <f>_xlfn.XLOOKUP(B477,clean_sales!C:C,clean_sales!R:R)</f>
        <v>Mumbai</v>
      </c>
      <c r="E477" t="str">
        <f>_xlfn.XLOOKUP(B477,clean_sales!C:C,clean_sales!S:S)</f>
        <v>Maharashtra</v>
      </c>
    </row>
    <row r="478" spans="1:5" x14ac:dyDescent="0.35">
      <c r="A478">
        <f t="shared" si="7"/>
        <v>477</v>
      </c>
      <c r="B478" t="s">
        <v>2264</v>
      </c>
      <c r="C478" t="str">
        <f>_xlfn.XLOOKUP(B478,clean_sales!C:C,clean_sales!Q:Q)</f>
        <v>Himmat Shanker</v>
      </c>
      <c r="D478" t="str">
        <f>_xlfn.XLOOKUP(B478,clean_sales!C:C,clean_sales!R:R)</f>
        <v>Mumbai</v>
      </c>
      <c r="E478" t="str">
        <f>_xlfn.XLOOKUP(B478,clean_sales!C:C,clean_sales!S:S)</f>
        <v>Maharashtra</v>
      </c>
    </row>
    <row r="479" spans="1:5" x14ac:dyDescent="0.35">
      <c r="A479">
        <f t="shared" si="7"/>
        <v>478</v>
      </c>
      <c r="B479" t="s">
        <v>2265</v>
      </c>
      <c r="C479" t="str">
        <f>_xlfn.XLOOKUP(B479,clean_sales!C:C,clean_sales!Q:Q)</f>
        <v>Arhaan Saha</v>
      </c>
      <c r="D479" t="str">
        <f>_xlfn.XLOOKUP(B479,clean_sales!C:C,clean_sales!R:R)</f>
        <v>Bengaluru</v>
      </c>
      <c r="E479" t="str">
        <f>_xlfn.XLOOKUP(B479,clean_sales!C:C,clean_sales!S:S)</f>
        <v>Karnataka</v>
      </c>
    </row>
    <row r="480" spans="1:5" x14ac:dyDescent="0.35">
      <c r="A480">
        <f t="shared" si="7"/>
        <v>479</v>
      </c>
      <c r="B480" t="s">
        <v>2266</v>
      </c>
      <c r="C480" t="str">
        <f>_xlfn.XLOOKUP(B480,clean_sales!C:C,clean_sales!Q:Q)</f>
        <v>Jayant Saraf</v>
      </c>
      <c r="D480" t="str">
        <f>_xlfn.XLOOKUP(B480,clean_sales!C:C,clean_sales!R:R)</f>
        <v>Kolkata</v>
      </c>
      <c r="E480" t="str">
        <f>_xlfn.XLOOKUP(B480,clean_sales!C:C,clean_sales!S:S)</f>
        <v>West Bengal</v>
      </c>
    </row>
    <row r="481" spans="1:5" x14ac:dyDescent="0.35">
      <c r="A481">
        <f t="shared" si="7"/>
        <v>480</v>
      </c>
      <c r="B481" t="s">
        <v>2267</v>
      </c>
      <c r="C481" t="str">
        <f>_xlfn.XLOOKUP(B481,clean_sales!C:C,clean_sales!Q:Q)</f>
        <v>Neelofar Aggarwal</v>
      </c>
      <c r="D481" t="str">
        <f>_xlfn.XLOOKUP(B481,clean_sales!C:C,clean_sales!R:R)</f>
        <v>Mumbai</v>
      </c>
      <c r="E481" t="str">
        <f>_xlfn.XLOOKUP(B481,clean_sales!C:C,clean_sales!S:S)</f>
        <v>Maharashtra</v>
      </c>
    </row>
    <row r="482" spans="1:5" x14ac:dyDescent="0.35">
      <c r="A482">
        <f t="shared" si="7"/>
        <v>481</v>
      </c>
      <c r="B482" t="s">
        <v>2268</v>
      </c>
      <c r="C482" t="str">
        <f>_xlfn.XLOOKUP(B482,clean_sales!C:C,clean_sales!Q:Q)</f>
        <v>Amani Soman</v>
      </c>
      <c r="D482" t="str">
        <f>_xlfn.XLOOKUP(B482,clean_sales!C:C,clean_sales!R:R)</f>
        <v>Kolkata</v>
      </c>
      <c r="E482" t="str">
        <f>_xlfn.XLOOKUP(B482,clean_sales!C:C,clean_sales!S:S)</f>
        <v>West Bengal</v>
      </c>
    </row>
    <row r="483" spans="1:5" x14ac:dyDescent="0.35">
      <c r="A483">
        <f t="shared" si="7"/>
        <v>482</v>
      </c>
      <c r="B483" t="s">
        <v>2269</v>
      </c>
      <c r="C483" t="str">
        <f>_xlfn.XLOOKUP(B483,clean_sales!C:C,clean_sales!Q:Q)</f>
        <v>Madhav Rattan</v>
      </c>
      <c r="D483" t="str">
        <f>_xlfn.XLOOKUP(B483,clean_sales!C:C,clean_sales!R:R)</f>
        <v>Bengaluru</v>
      </c>
      <c r="E483" t="str">
        <f>_xlfn.XLOOKUP(B483,clean_sales!C:C,clean_sales!S:S)</f>
        <v>Karnataka</v>
      </c>
    </row>
    <row r="484" spans="1:5" x14ac:dyDescent="0.35">
      <c r="A484">
        <f t="shared" si="7"/>
        <v>483</v>
      </c>
      <c r="B484" t="s">
        <v>2270</v>
      </c>
      <c r="C484" t="str">
        <f>_xlfn.XLOOKUP(B484,clean_sales!C:C,clean_sales!Q:Q)</f>
        <v>Baiju Ahluwalia</v>
      </c>
      <c r="D484" t="str">
        <f>_xlfn.XLOOKUP(B484,clean_sales!C:C,clean_sales!R:R)</f>
        <v>Delhi</v>
      </c>
      <c r="E484" t="str">
        <f>_xlfn.XLOOKUP(B484,clean_sales!C:C,clean_sales!S:S)</f>
        <v>Delhi</v>
      </c>
    </row>
    <row r="485" spans="1:5" x14ac:dyDescent="0.35">
      <c r="A485">
        <f t="shared" si="7"/>
        <v>484</v>
      </c>
      <c r="B485" t="s">
        <v>2271</v>
      </c>
      <c r="C485" t="str">
        <f>_xlfn.XLOOKUP(B485,clean_sales!C:C,clean_sales!Q:Q)</f>
        <v>Anahi Johal</v>
      </c>
      <c r="D485" t="str">
        <f>_xlfn.XLOOKUP(B485,clean_sales!C:C,clean_sales!R:R)</f>
        <v>Delhi</v>
      </c>
      <c r="E485" t="str">
        <f>_xlfn.XLOOKUP(B485,clean_sales!C:C,clean_sales!S:S)</f>
        <v>Delhi</v>
      </c>
    </row>
    <row r="486" spans="1:5" x14ac:dyDescent="0.35">
      <c r="A486">
        <f t="shared" si="7"/>
        <v>485</v>
      </c>
      <c r="B486" t="s">
        <v>2272</v>
      </c>
      <c r="C486" t="str">
        <f>_xlfn.XLOOKUP(B486,clean_sales!C:C,clean_sales!Q:Q)</f>
        <v>Akarsh Batra</v>
      </c>
      <c r="D486" t="str">
        <f>_xlfn.XLOOKUP(B486,clean_sales!C:C,clean_sales!R:R)</f>
        <v>Mumbai</v>
      </c>
      <c r="E486" t="str">
        <f>_xlfn.XLOOKUP(B486,clean_sales!C:C,clean_sales!S:S)</f>
        <v>Maharashtra</v>
      </c>
    </row>
    <row r="487" spans="1:5" x14ac:dyDescent="0.35">
      <c r="A487">
        <f t="shared" si="7"/>
        <v>486</v>
      </c>
      <c r="B487" t="s">
        <v>2273</v>
      </c>
      <c r="C487" t="str">
        <f>_xlfn.XLOOKUP(B487,clean_sales!C:C,clean_sales!Q:Q)</f>
        <v>Umang Vig</v>
      </c>
      <c r="D487" t="str">
        <f>_xlfn.XLOOKUP(B487,clean_sales!C:C,clean_sales!R:R)</f>
        <v>Chennai</v>
      </c>
      <c r="E487" t="str">
        <f>_xlfn.XLOOKUP(B487,clean_sales!C:C,clean_sales!S:S)</f>
        <v>Tamil Nadu</v>
      </c>
    </row>
    <row r="488" spans="1:5" x14ac:dyDescent="0.35">
      <c r="A488">
        <f t="shared" si="7"/>
        <v>487</v>
      </c>
      <c r="B488" t="s">
        <v>2274</v>
      </c>
      <c r="C488" t="str">
        <f>_xlfn.XLOOKUP(B488,clean_sales!C:C,clean_sales!Q:Q)</f>
        <v>Amira Acharya</v>
      </c>
      <c r="D488" t="str">
        <f>_xlfn.XLOOKUP(B488,clean_sales!C:C,clean_sales!R:R)</f>
        <v>Chennai</v>
      </c>
      <c r="E488" t="str">
        <f>_xlfn.XLOOKUP(B488,clean_sales!C:C,clean_sales!S:S)</f>
        <v>Tamil Nadu</v>
      </c>
    </row>
    <row r="489" spans="1:5" x14ac:dyDescent="0.35">
      <c r="A489">
        <f t="shared" si="7"/>
        <v>488</v>
      </c>
      <c r="B489" t="s">
        <v>2275</v>
      </c>
      <c r="C489" t="str">
        <f>_xlfn.XLOOKUP(B489,clean_sales!C:C,clean_sales!Q:Q)</f>
        <v>Ivana Cherian</v>
      </c>
      <c r="D489" t="str">
        <f>_xlfn.XLOOKUP(B489,clean_sales!C:C,clean_sales!R:R)</f>
        <v>Pune</v>
      </c>
      <c r="E489" t="str">
        <f>_xlfn.XLOOKUP(B489,clean_sales!C:C,clean_sales!S:S)</f>
        <v>Maharashtra</v>
      </c>
    </row>
    <row r="490" spans="1:5" x14ac:dyDescent="0.35">
      <c r="A490">
        <f t="shared" si="7"/>
        <v>489</v>
      </c>
      <c r="B490" t="s">
        <v>2276</v>
      </c>
      <c r="C490" t="str">
        <f>_xlfn.XLOOKUP(B490,clean_sales!C:C,clean_sales!Q:Q)</f>
        <v>Kiara Mane</v>
      </c>
      <c r="D490" t="str">
        <f>_xlfn.XLOOKUP(B490,clean_sales!C:C,clean_sales!R:R)</f>
        <v>Chennai</v>
      </c>
      <c r="E490" t="str">
        <f>_xlfn.XLOOKUP(B490,clean_sales!C:C,clean_sales!S:S)</f>
        <v>Tamil Nadu</v>
      </c>
    </row>
    <row r="491" spans="1:5" x14ac:dyDescent="0.35">
      <c r="A491">
        <f t="shared" si="7"/>
        <v>490</v>
      </c>
      <c r="B491" t="s">
        <v>2277</v>
      </c>
      <c r="C491" t="str">
        <f>_xlfn.XLOOKUP(B491,clean_sales!C:C,clean_sales!Q:Q)</f>
        <v>Neelofar Cherian</v>
      </c>
      <c r="D491" t="str">
        <f>_xlfn.XLOOKUP(B491,clean_sales!C:C,clean_sales!R:R)</f>
        <v>Pune</v>
      </c>
      <c r="E491" t="str">
        <f>_xlfn.XLOOKUP(B491,clean_sales!C:C,clean_sales!S:S)</f>
        <v>Maharashtra</v>
      </c>
    </row>
    <row r="492" spans="1:5" x14ac:dyDescent="0.35">
      <c r="A492">
        <f t="shared" si="7"/>
        <v>491</v>
      </c>
      <c r="B492" t="s">
        <v>2278</v>
      </c>
      <c r="C492" t="str">
        <f>_xlfn.XLOOKUP(B492,clean_sales!C:C,clean_sales!Q:Q)</f>
        <v>Madhav Toor</v>
      </c>
      <c r="D492" t="str">
        <f>_xlfn.XLOOKUP(B492,clean_sales!C:C,clean_sales!R:R)</f>
        <v>Delhi</v>
      </c>
      <c r="E492" t="str">
        <f>_xlfn.XLOOKUP(B492,clean_sales!C:C,clean_sales!S:S)</f>
        <v>Delhi</v>
      </c>
    </row>
    <row r="493" spans="1:5" x14ac:dyDescent="0.35">
      <c r="A493">
        <f t="shared" si="7"/>
        <v>492</v>
      </c>
      <c r="B493" t="s">
        <v>2279</v>
      </c>
      <c r="C493" t="str">
        <f>_xlfn.XLOOKUP(B493,clean_sales!C:C,clean_sales!Q:Q)</f>
        <v>Kashvi Amble</v>
      </c>
      <c r="D493" t="str">
        <f>_xlfn.XLOOKUP(B493,clean_sales!C:C,clean_sales!R:R)</f>
        <v>Chennai</v>
      </c>
      <c r="E493" t="str">
        <f>_xlfn.XLOOKUP(B493,clean_sales!C:C,clean_sales!S:S)</f>
        <v>Tamil Nadu</v>
      </c>
    </row>
    <row r="494" spans="1:5" x14ac:dyDescent="0.35">
      <c r="A494">
        <f t="shared" si="7"/>
        <v>493</v>
      </c>
      <c r="B494" t="s">
        <v>2280</v>
      </c>
      <c r="C494" t="str">
        <f>_xlfn.XLOOKUP(B494,clean_sales!C:C,clean_sales!Q:Q)</f>
        <v>Tanya Desai</v>
      </c>
      <c r="D494" t="str">
        <f>_xlfn.XLOOKUP(B494,clean_sales!C:C,clean_sales!R:R)</f>
        <v>Hyderabad</v>
      </c>
      <c r="E494" t="str">
        <f>_xlfn.XLOOKUP(B494,clean_sales!C:C,clean_sales!S:S)</f>
        <v>Telangana</v>
      </c>
    </row>
    <row r="495" spans="1:5" x14ac:dyDescent="0.35">
      <c r="A495">
        <f t="shared" si="7"/>
        <v>494</v>
      </c>
      <c r="B495" t="s">
        <v>2281</v>
      </c>
      <c r="C495" t="str">
        <f>_xlfn.XLOOKUP(B495,clean_sales!C:C,clean_sales!Q:Q)</f>
        <v>Devansh Sharaf</v>
      </c>
      <c r="D495" t="str">
        <f>_xlfn.XLOOKUP(B495,clean_sales!C:C,clean_sales!R:R)</f>
        <v>Hyderabad</v>
      </c>
      <c r="E495" t="str">
        <f>_xlfn.XLOOKUP(B495,clean_sales!C:C,clean_sales!S:S)</f>
        <v>Telangana</v>
      </c>
    </row>
    <row r="496" spans="1:5" x14ac:dyDescent="0.35">
      <c r="A496">
        <f t="shared" si="7"/>
        <v>495</v>
      </c>
      <c r="B496" t="s">
        <v>2282</v>
      </c>
      <c r="C496" t="str">
        <f>_xlfn.XLOOKUP(B496,clean_sales!C:C,clean_sales!Q:Q)</f>
        <v>Adira Majumdar</v>
      </c>
      <c r="D496" t="str">
        <f>_xlfn.XLOOKUP(B496,clean_sales!C:C,clean_sales!R:R)</f>
        <v>Mumbai</v>
      </c>
      <c r="E496" t="str">
        <f>_xlfn.XLOOKUP(B496,clean_sales!C:C,clean_sales!S:S)</f>
        <v>Maharashtra</v>
      </c>
    </row>
    <row r="497" spans="1:5" x14ac:dyDescent="0.35">
      <c r="A497">
        <f t="shared" si="7"/>
        <v>496</v>
      </c>
      <c r="B497" t="s">
        <v>2283</v>
      </c>
      <c r="C497" t="str">
        <f>_xlfn.XLOOKUP(B497,clean_sales!C:C,clean_sales!Q:Q)</f>
        <v>Ehsaan Sachdeva</v>
      </c>
      <c r="D497" t="str">
        <f>_xlfn.XLOOKUP(B497,clean_sales!C:C,clean_sales!R:R)</f>
        <v>Kolkata</v>
      </c>
      <c r="E497" t="str">
        <f>_xlfn.XLOOKUP(B497,clean_sales!C:C,clean_sales!S:S)</f>
        <v>West Bengal</v>
      </c>
    </row>
    <row r="498" spans="1:5" x14ac:dyDescent="0.35">
      <c r="A498">
        <f t="shared" si="7"/>
        <v>497</v>
      </c>
      <c r="B498" t="s">
        <v>2284</v>
      </c>
      <c r="C498" t="str">
        <f>_xlfn.XLOOKUP(B498,clean_sales!C:C,clean_sales!Q:Q)</f>
        <v>Badal Keer</v>
      </c>
      <c r="D498" t="str">
        <f>_xlfn.XLOOKUP(B498,clean_sales!C:C,clean_sales!R:R)</f>
        <v>Delhi</v>
      </c>
      <c r="E498" t="str">
        <f>_xlfn.XLOOKUP(B498,clean_sales!C:C,clean_sales!S:S)</f>
        <v>Delhi</v>
      </c>
    </row>
    <row r="499" spans="1:5" x14ac:dyDescent="0.35">
      <c r="A499">
        <f t="shared" si="7"/>
        <v>498</v>
      </c>
      <c r="B499" t="s">
        <v>2285</v>
      </c>
      <c r="C499" t="str">
        <f>_xlfn.XLOOKUP(B499,clean_sales!C:C,clean_sales!Q:Q)</f>
        <v>Anika Dora</v>
      </c>
      <c r="D499" t="str">
        <f>_xlfn.XLOOKUP(B499,clean_sales!C:C,clean_sales!R:R)</f>
        <v>Chennai</v>
      </c>
      <c r="E499" t="str">
        <f>_xlfn.XLOOKUP(B499,clean_sales!C:C,clean_sales!S:S)</f>
        <v>Tamil Nadu</v>
      </c>
    </row>
    <row r="500" spans="1:5" x14ac:dyDescent="0.35">
      <c r="A500">
        <f t="shared" si="7"/>
        <v>499</v>
      </c>
      <c r="B500" t="s">
        <v>2286</v>
      </c>
      <c r="C500" t="str">
        <f>_xlfn.XLOOKUP(B500,clean_sales!C:C,clean_sales!Q:Q)</f>
        <v>Jayant Taneja</v>
      </c>
      <c r="D500" t="str">
        <f>_xlfn.XLOOKUP(B500,clean_sales!C:C,clean_sales!R:R)</f>
        <v>Pune</v>
      </c>
      <c r="E500" t="str">
        <f>_xlfn.XLOOKUP(B500,clean_sales!C:C,clean_sales!S:S)</f>
        <v>Maharashtra</v>
      </c>
    </row>
    <row r="501" spans="1:5" x14ac:dyDescent="0.35">
      <c r="A501">
        <f t="shared" si="7"/>
        <v>500</v>
      </c>
      <c r="B501" t="s">
        <v>2287</v>
      </c>
      <c r="C501" t="str">
        <f>_xlfn.XLOOKUP(B501,clean_sales!C:C,clean_sales!Q:Q)</f>
        <v>Purab Sami</v>
      </c>
      <c r="D501" t="str">
        <f>_xlfn.XLOOKUP(B501,clean_sales!C:C,clean_sales!R:R)</f>
        <v>Mumbai</v>
      </c>
      <c r="E501" t="str">
        <f>_xlfn.XLOOKUP(B501,clean_sales!C:C,clean_sales!S:S)</f>
        <v>Maharashtra</v>
      </c>
    </row>
    <row r="502" spans="1:5" x14ac:dyDescent="0.35">
      <c r="A502">
        <f t="shared" si="7"/>
        <v>501</v>
      </c>
      <c r="B502" t="s">
        <v>2288</v>
      </c>
      <c r="C502" t="str">
        <f>_xlfn.XLOOKUP(B502,clean_sales!C:C,clean_sales!Q:Q)</f>
        <v>Alia Basu</v>
      </c>
      <c r="D502" t="str">
        <f>_xlfn.XLOOKUP(B502,clean_sales!C:C,clean_sales!R:R)</f>
        <v>Kolkata</v>
      </c>
      <c r="E502" t="str">
        <f>_xlfn.XLOOKUP(B502,clean_sales!C:C,clean_sales!S:S)</f>
        <v>West Bengal</v>
      </c>
    </row>
    <row r="503" spans="1:5" x14ac:dyDescent="0.35">
      <c r="A503">
        <f t="shared" si="7"/>
        <v>502</v>
      </c>
      <c r="B503" t="s">
        <v>2289</v>
      </c>
      <c r="C503" t="str">
        <f>_xlfn.XLOOKUP(B503,clean_sales!C:C,clean_sales!Q:Q)</f>
        <v>Sumer Rege</v>
      </c>
      <c r="D503" t="str">
        <f>_xlfn.XLOOKUP(B503,clean_sales!C:C,clean_sales!R:R)</f>
        <v>Kolkata</v>
      </c>
      <c r="E503" t="str">
        <f>_xlfn.XLOOKUP(B503,clean_sales!C:C,clean_sales!S:S)</f>
        <v>West Bengal</v>
      </c>
    </row>
    <row r="504" spans="1:5" x14ac:dyDescent="0.35">
      <c r="A504">
        <f t="shared" si="7"/>
        <v>503</v>
      </c>
      <c r="B504" t="s">
        <v>2290</v>
      </c>
      <c r="C504" t="str">
        <f>_xlfn.XLOOKUP(B504,clean_sales!C:C,clean_sales!Q:Q)</f>
        <v>Dhanush Hegde</v>
      </c>
      <c r="D504" t="str">
        <f>_xlfn.XLOOKUP(B504,clean_sales!C:C,clean_sales!R:R)</f>
        <v>Pune</v>
      </c>
      <c r="E504" t="str">
        <f>_xlfn.XLOOKUP(B504,clean_sales!C:C,clean_sales!S:S)</f>
        <v>Maharashtra</v>
      </c>
    </row>
    <row r="505" spans="1:5" x14ac:dyDescent="0.35">
      <c r="A505">
        <f t="shared" si="7"/>
        <v>504</v>
      </c>
      <c r="B505" t="s">
        <v>2291</v>
      </c>
      <c r="C505" t="str">
        <f>_xlfn.XLOOKUP(B505,clean_sales!C:C,clean_sales!Q:Q)</f>
        <v>Ryan Sinha</v>
      </c>
      <c r="D505" t="str">
        <f>_xlfn.XLOOKUP(B505,clean_sales!C:C,clean_sales!R:R)</f>
        <v>Mumbai</v>
      </c>
      <c r="E505" t="str">
        <f>_xlfn.XLOOKUP(B505,clean_sales!C:C,clean_sales!S:S)</f>
        <v>Maharashtra</v>
      </c>
    </row>
    <row r="506" spans="1:5" x14ac:dyDescent="0.35">
      <c r="A506">
        <f t="shared" si="7"/>
        <v>505</v>
      </c>
      <c r="B506" t="s">
        <v>2292</v>
      </c>
      <c r="C506" t="str">
        <f>_xlfn.XLOOKUP(B506,clean_sales!C:C,clean_sales!Q:Q)</f>
        <v>Raunak Bobal</v>
      </c>
      <c r="D506" t="str">
        <f>_xlfn.XLOOKUP(B506,clean_sales!C:C,clean_sales!R:R)</f>
        <v>Chennai</v>
      </c>
      <c r="E506" t="str">
        <f>_xlfn.XLOOKUP(B506,clean_sales!C:C,clean_sales!S:S)</f>
        <v>Tamil Nadu</v>
      </c>
    </row>
    <row r="507" spans="1:5" x14ac:dyDescent="0.35">
      <c r="A507">
        <f t="shared" si="7"/>
        <v>506</v>
      </c>
      <c r="B507" t="s">
        <v>2293</v>
      </c>
      <c r="C507" t="str">
        <f>_xlfn.XLOOKUP(B507,clean_sales!C:C,clean_sales!Q:Q)</f>
        <v>Biju Desai</v>
      </c>
      <c r="D507" t="str">
        <f>_xlfn.XLOOKUP(B507,clean_sales!C:C,clean_sales!R:R)</f>
        <v>Pune</v>
      </c>
      <c r="E507" t="str">
        <f>_xlfn.XLOOKUP(B507,clean_sales!C:C,clean_sales!S:S)</f>
        <v>Maharashtra</v>
      </c>
    </row>
    <row r="508" spans="1:5" x14ac:dyDescent="0.35">
      <c r="A508">
        <f t="shared" si="7"/>
        <v>507</v>
      </c>
      <c r="B508" t="s">
        <v>2294</v>
      </c>
      <c r="C508" t="str">
        <f>_xlfn.XLOOKUP(B508,clean_sales!C:C,clean_sales!Q:Q)</f>
        <v>Neysa Sridhar</v>
      </c>
      <c r="D508" t="str">
        <f>_xlfn.XLOOKUP(B508,clean_sales!C:C,clean_sales!R:R)</f>
        <v>Kolkata</v>
      </c>
      <c r="E508" t="str">
        <f>_xlfn.XLOOKUP(B508,clean_sales!C:C,clean_sales!S:S)</f>
        <v>West Bengal</v>
      </c>
    </row>
    <row r="509" spans="1:5" x14ac:dyDescent="0.35">
      <c r="A509">
        <f t="shared" si="7"/>
        <v>508</v>
      </c>
      <c r="B509" t="s">
        <v>2295</v>
      </c>
      <c r="C509" t="str">
        <f>_xlfn.XLOOKUP(B509,clean_sales!C:C,clean_sales!Q:Q)</f>
        <v>Diya Bhargava</v>
      </c>
      <c r="D509" t="str">
        <f>_xlfn.XLOOKUP(B509,clean_sales!C:C,clean_sales!R:R)</f>
        <v>Mumbai</v>
      </c>
      <c r="E509" t="str">
        <f>_xlfn.XLOOKUP(B509,clean_sales!C:C,clean_sales!S:S)</f>
        <v>Maharashtra</v>
      </c>
    </row>
    <row r="510" spans="1:5" x14ac:dyDescent="0.35">
      <c r="A510">
        <f t="shared" si="7"/>
        <v>509</v>
      </c>
      <c r="B510" t="s">
        <v>2296</v>
      </c>
      <c r="C510" t="str">
        <f>_xlfn.XLOOKUP(B510,clean_sales!C:C,clean_sales!Q:Q)</f>
        <v>Indrajit Choudhry</v>
      </c>
      <c r="D510" t="str">
        <f>_xlfn.XLOOKUP(B510,clean_sales!C:C,clean_sales!R:R)</f>
        <v>Chennai</v>
      </c>
      <c r="E510" t="str">
        <f>_xlfn.XLOOKUP(B510,clean_sales!C:C,clean_sales!S:S)</f>
        <v>Tamil Nadu</v>
      </c>
    </row>
    <row r="511" spans="1:5" x14ac:dyDescent="0.35">
      <c r="A511">
        <f t="shared" si="7"/>
        <v>510</v>
      </c>
      <c r="B511" t="s">
        <v>2297</v>
      </c>
      <c r="C511" t="str">
        <f>_xlfn.XLOOKUP(B511,clean_sales!C:C,clean_sales!Q:Q)</f>
        <v>Badal Deol</v>
      </c>
      <c r="D511" t="str">
        <f>_xlfn.XLOOKUP(B511,clean_sales!C:C,clean_sales!R:R)</f>
        <v>Hyderabad</v>
      </c>
      <c r="E511" t="str">
        <f>_xlfn.XLOOKUP(B511,clean_sales!C:C,clean_sales!S:S)</f>
        <v>Telangana</v>
      </c>
    </row>
    <row r="512" spans="1:5" x14ac:dyDescent="0.35">
      <c r="A512">
        <f t="shared" si="7"/>
        <v>511</v>
      </c>
      <c r="B512" t="s">
        <v>2298</v>
      </c>
      <c r="C512" t="str">
        <f>_xlfn.XLOOKUP(B512,clean_sales!C:C,clean_sales!Q:Q)</f>
        <v>Shamik Vohra</v>
      </c>
      <c r="D512" t="str">
        <f>_xlfn.XLOOKUP(B512,clean_sales!C:C,clean_sales!R:R)</f>
        <v>Chennai</v>
      </c>
      <c r="E512" t="str">
        <f>_xlfn.XLOOKUP(B512,clean_sales!C:C,clean_sales!S:S)</f>
        <v>Tamil Nadu</v>
      </c>
    </row>
    <row r="513" spans="1:5" x14ac:dyDescent="0.35">
      <c r="A513">
        <f t="shared" si="7"/>
        <v>512</v>
      </c>
      <c r="B513" t="s">
        <v>2299</v>
      </c>
      <c r="C513" t="str">
        <f>_xlfn.XLOOKUP(B513,clean_sales!C:C,clean_sales!Q:Q)</f>
        <v>Indranil Lalla</v>
      </c>
      <c r="D513" t="str">
        <f>_xlfn.XLOOKUP(B513,clean_sales!C:C,clean_sales!R:R)</f>
        <v>Chennai</v>
      </c>
      <c r="E513" t="str">
        <f>_xlfn.XLOOKUP(B513,clean_sales!C:C,clean_sales!S:S)</f>
        <v>Tamil Nadu</v>
      </c>
    </row>
    <row r="514" spans="1:5" x14ac:dyDescent="0.35">
      <c r="A514">
        <f t="shared" si="7"/>
        <v>513</v>
      </c>
      <c r="B514" t="s">
        <v>2300</v>
      </c>
      <c r="C514" t="str">
        <f>_xlfn.XLOOKUP(B514,clean_sales!C:C,clean_sales!Q:Q)</f>
        <v>Biju Barad</v>
      </c>
      <c r="D514" t="str">
        <f>_xlfn.XLOOKUP(B514,clean_sales!C:C,clean_sales!R:R)</f>
        <v>Kolkata</v>
      </c>
      <c r="E514" t="str">
        <f>_xlfn.XLOOKUP(B514,clean_sales!C:C,clean_sales!S:S)</f>
        <v>West Bengal</v>
      </c>
    </row>
    <row r="515" spans="1:5" x14ac:dyDescent="0.35">
      <c r="A515">
        <f t="shared" ref="A515:A578" si="8">ROW()-1</f>
        <v>514</v>
      </c>
      <c r="B515" t="s">
        <v>2301</v>
      </c>
      <c r="C515" t="str">
        <f>_xlfn.XLOOKUP(B515,clean_sales!C:C,clean_sales!Q:Q)</f>
        <v>Anya Comar</v>
      </c>
      <c r="D515" t="str">
        <f>_xlfn.XLOOKUP(B515,clean_sales!C:C,clean_sales!R:R)</f>
        <v>Mumbai</v>
      </c>
      <c r="E515" t="str">
        <f>_xlfn.XLOOKUP(B515,clean_sales!C:C,clean_sales!S:S)</f>
        <v>Maharashtra</v>
      </c>
    </row>
    <row r="516" spans="1:5" x14ac:dyDescent="0.35">
      <c r="A516">
        <f t="shared" si="8"/>
        <v>515</v>
      </c>
      <c r="B516" t="s">
        <v>2302</v>
      </c>
      <c r="C516" t="str">
        <f>_xlfn.XLOOKUP(B516,clean_sales!C:C,clean_sales!Q:Q)</f>
        <v>Ryan Bail</v>
      </c>
      <c r="D516" t="str">
        <f>_xlfn.XLOOKUP(B516,clean_sales!C:C,clean_sales!R:R)</f>
        <v>Chennai</v>
      </c>
      <c r="E516" t="str">
        <f>_xlfn.XLOOKUP(B516,clean_sales!C:C,clean_sales!S:S)</f>
        <v>Tamil Nadu</v>
      </c>
    </row>
    <row r="517" spans="1:5" x14ac:dyDescent="0.35">
      <c r="A517">
        <f t="shared" si="8"/>
        <v>516</v>
      </c>
      <c r="B517" t="s">
        <v>2303</v>
      </c>
      <c r="C517" t="str">
        <f>_xlfn.XLOOKUP(B517,clean_sales!C:C,clean_sales!Q:Q)</f>
        <v>Dishani Batta</v>
      </c>
      <c r="D517" t="str">
        <f>_xlfn.XLOOKUP(B517,clean_sales!C:C,clean_sales!R:R)</f>
        <v>Pune</v>
      </c>
      <c r="E517" t="str">
        <f>_xlfn.XLOOKUP(B517,clean_sales!C:C,clean_sales!S:S)</f>
        <v>Maharashtra</v>
      </c>
    </row>
    <row r="518" spans="1:5" x14ac:dyDescent="0.35">
      <c r="A518">
        <f t="shared" si="8"/>
        <v>517</v>
      </c>
      <c r="B518" t="s">
        <v>2304</v>
      </c>
      <c r="C518" t="str">
        <f>_xlfn.XLOOKUP(B518,clean_sales!C:C,clean_sales!Q:Q)</f>
        <v>Dhanush Rajagopalan</v>
      </c>
      <c r="D518" t="str">
        <f>_xlfn.XLOOKUP(B518,clean_sales!C:C,clean_sales!R:R)</f>
        <v>Mumbai</v>
      </c>
      <c r="E518" t="str">
        <f>_xlfn.XLOOKUP(B518,clean_sales!C:C,clean_sales!S:S)</f>
        <v>Maharashtra</v>
      </c>
    </row>
    <row r="519" spans="1:5" x14ac:dyDescent="0.35">
      <c r="A519">
        <f t="shared" si="8"/>
        <v>518</v>
      </c>
      <c r="B519" t="s">
        <v>2305</v>
      </c>
      <c r="C519" t="str">
        <f>_xlfn.XLOOKUP(B519,clean_sales!C:C,clean_sales!Q:Q)</f>
        <v>Eva Dube</v>
      </c>
      <c r="D519" t="str">
        <f>_xlfn.XLOOKUP(B519,clean_sales!C:C,clean_sales!R:R)</f>
        <v>Bengaluru</v>
      </c>
      <c r="E519" t="str">
        <f>_xlfn.XLOOKUP(B519,clean_sales!C:C,clean_sales!S:S)</f>
        <v>Karnataka</v>
      </c>
    </row>
    <row r="520" spans="1:5" x14ac:dyDescent="0.35">
      <c r="A520">
        <f t="shared" si="8"/>
        <v>519</v>
      </c>
      <c r="B520" t="s">
        <v>2306</v>
      </c>
      <c r="C520" t="str">
        <f>_xlfn.XLOOKUP(B520,clean_sales!C:C,clean_sales!Q:Q)</f>
        <v>Samar Sahni</v>
      </c>
      <c r="D520" t="str">
        <f>_xlfn.XLOOKUP(B520,clean_sales!C:C,clean_sales!R:R)</f>
        <v>Bengaluru</v>
      </c>
      <c r="E520" t="str">
        <f>_xlfn.XLOOKUP(B520,clean_sales!C:C,clean_sales!S:S)</f>
        <v>Karnataka</v>
      </c>
    </row>
    <row r="521" spans="1:5" x14ac:dyDescent="0.35">
      <c r="A521">
        <f t="shared" si="8"/>
        <v>520</v>
      </c>
      <c r="B521" t="s">
        <v>2307</v>
      </c>
      <c r="C521" t="str">
        <f>_xlfn.XLOOKUP(B521,clean_sales!C:C,clean_sales!Q:Q)</f>
        <v>Anya Sarna</v>
      </c>
      <c r="D521" t="str">
        <f>_xlfn.XLOOKUP(B521,clean_sales!C:C,clean_sales!R:R)</f>
        <v>Bengaluru</v>
      </c>
      <c r="E521" t="str">
        <f>_xlfn.XLOOKUP(B521,clean_sales!C:C,clean_sales!S:S)</f>
        <v>Karnataka</v>
      </c>
    </row>
    <row r="522" spans="1:5" x14ac:dyDescent="0.35">
      <c r="A522">
        <f t="shared" si="8"/>
        <v>521</v>
      </c>
      <c r="B522" t="s">
        <v>2308</v>
      </c>
      <c r="C522" t="str">
        <f>_xlfn.XLOOKUP(B522,clean_sales!C:C,clean_sales!Q:Q)</f>
        <v>Indranil Jayaraman</v>
      </c>
      <c r="D522" t="str">
        <f>_xlfn.XLOOKUP(B522,clean_sales!C:C,clean_sales!R:R)</f>
        <v>Pune</v>
      </c>
      <c r="E522" t="str">
        <f>_xlfn.XLOOKUP(B522,clean_sales!C:C,clean_sales!S:S)</f>
        <v>Maharashtra</v>
      </c>
    </row>
    <row r="523" spans="1:5" x14ac:dyDescent="0.35">
      <c r="A523">
        <f t="shared" si="8"/>
        <v>522</v>
      </c>
      <c r="B523" t="s">
        <v>2309</v>
      </c>
      <c r="C523" t="str">
        <f>_xlfn.XLOOKUP(B523,clean_sales!C:C,clean_sales!Q:Q)</f>
        <v>Fateh Contractor</v>
      </c>
      <c r="D523" t="str">
        <f>_xlfn.XLOOKUP(B523,clean_sales!C:C,clean_sales!R:R)</f>
        <v>Kolkata</v>
      </c>
      <c r="E523" t="str">
        <f>_xlfn.XLOOKUP(B523,clean_sales!C:C,clean_sales!S:S)</f>
        <v>West Bengal</v>
      </c>
    </row>
    <row r="524" spans="1:5" x14ac:dyDescent="0.35">
      <c r="A524">
        <f t="shared" si="8"/>
        <v>523</v>
      </c>
      <c r="B524" t="s">
        <v>2310</v>
      </c>
      <c r="C524" t="str">
        <f>_xlfn.XLOOKUP(B524,clean_sales!C:C,clean_sales!Q:Q)</f>
        <v>Nakul Sem</v>
      </c>
      <c r="D524" t="str">
        <f>_xlfn.XLOOKUP(B524,clean_sales!C:C,clean_sales!R:R)</f>
        <v>Mumbai</v>
      </c>
      <c r="E524" t="str">
        <f>_xlfn.XLOOKUP(B524,clean_sales!C:C,clean_sales!S:S)</f>
        <v>Maharashtra</v>
      </c>
    </row>
    <row r="525" spans="1:5" x14ac:dyDescent="0.35">
      <c r="A525">
        <f t="shared" si="8"/>
        <v>524</v>
      </c>
      <c r="B525" t="s">
        <v>2311</v>
      </c>
      <c r="C525" t="str">
        <f>_xlfn.XLOOKUP(B525,clean_sales!C:C,clean_sales!Q:Q)</f>
        <v>Ojas Bajwa</v>
      </c>
      <c r="D525" t="str">
        <f>_xlfn.XLOOKUP(B525,clean_sales!C:C,clean_sales!R:R)</f>
        <v>Bengaluru</v>
      </c>
      <c r="E525" t="str">
        <f>_xlfn.XLOOKUP(B525,clean_sales!C:C,clean_sales!S:S)</f>
        <v>Karnataka</v>
      </c>
    </row>
    <row r="526" spans="1:5" x14ac:dyDescent="0.35">
      <c r="A526">
        <f t="shared" si="8"/>
        <v>525</v>
      </c>
      <c r="B526" t="s">
        <v>2312</v>
      </c>
      <c r="C526" t="str">
        <f>_xlfn.XLOOKUP(B526,clean_sales!C:C,clean_sales!Q:Q)</f>
        <v>Lavanya Apte</v>
      </c>
      <c r="D526" t="str">
        <f>_xlfn.XLOOKUP(B526,clean_sales!C:C,clean_sales!R:R)</f>
        <v>Bengaluru</v>
      </c>
      <c r="E526" t="str">
        <f>_xlfn.XLOOKUP(B526,clean_sales!C:C,clean_sales!S:S)</f>
        <v>Karnataka</v>
      </c>
    </row>
    <row r="527" spans="1:5" x14ac:dyDescent="0.35">
      <c r="A527">
        <f t="shared" si="8"/>
        <v>526</v>
      </c>
      <c r="B527" t="s">
        <v>2313</v>
      </c>
      <c r="C527" t="str">
        <f>_xlfn.XLOOKUP(B527,clean_sales!C:C,clean_sales!Q:Q)</f>
        <v>Prerak Lad</v>
      </c>
      <c r="D527" t="str">
        <f>_xlfn.XLOOKUP(B527,clean_sales!C:C,clean_sales!R:R)</f>
        <v>Delhi</v>
      </c>
      <c r="E527" t="str">
        <f>_xlfn.XLOOKUP(B527,clean_sales!C:C,clean_sales!S:S)</f>
        <v>Delhi</v>
      </c>
    </row>
    <row r="528" spans="1:5" x14ac:dyDescent="0.35">
      <c r="A528">
        <f t="shared" si="8"/>
        <v>527</v>
      </c>
      <c r="B528" t="s">
        <v>2314</v>
      </c>
      <c r="C528" t="str">
        <f>_xlfn.XLOOKUP(B528,clean_sales!C:C,clean_sales!Q:Q)</f>
        <v>Lavanya Agate</v>
      </c>
      <c r="D528" t="str">
        <f>_xlfn.XLOOKUP(B528,clean_sales!C:C,clean_sales!R:R)</f>
        <v>Delhi</v>
      </c>
      <c r="E528" t="str">
        <f>_xlfn.XLOOKUP(B528,clean_sales!C:C,clean_sales!S:S)</f>
        <v>Delhi</v>
      </c>
    </row>
    <row r="529" spans="1:5" x14ac:dyDescent="0.35">
      <c r="A529">
        <f t="shared" si="8"/>
        <v>528</v>
      </c>
      <c r="B529" t="s">
        <v>2315</v>
      </c>
      <c r="C529" t="str">
        <f>_xlfn.XLOOKUP(B529,clean_sales!C:C,clean_sales!Q:Q)</f>
        <v>Siya Soni</v>
      </c>
      <c r="D529" t="str">
        <f>_xlfn.XLOOKUP(B529,clean_sales!C:C,clean_sales!R:R)</f>
        <v>Delhi</v>
      </c>
      <c r="E529" t="str">
        <f>_xlfn.XLOOKUP(B529,clean_sales!C:C,clean_sales!S:S)</f>
        <v>Delhi</v>
      </c>
    </row>
    <row r="530" spans="1:5" x14ac:dyDescent="0.35">
      <c r="A530">
        <f t="shared" si="8"/>
        <v>529</v>
      </c>
      <c r="B530" t="s">
        <v>2316</v>
      </c>
      <c r="C530" t="str">
        <f>_xlfn.XLOOKUP(B530,clean_sales!C:C,clean_sales!Q:Q)</f>
        <v>Anvi Kaur</v>
      </c>
      <c r="D530" t="str">
        <f>_xlfn.XLOOKUP(B530,clean_sales!C:C,clean_sales!R:R)</f>
        <v>Kolkata</v>
      </c>
      <c r="E530" t="str">
        <f>_xlfn.XLOOKUP(B530,clean_sales!C:C,clean_sales!S:S)</f>
        <v>West Bengal</v>
      </c>
    </row>
    <row r="531" spans="1:5" x14ac:dyDescent="0.35">
      <c r="A531">
        <f t="shared" si="8"/>
        <v>530</v>
      </c>
      <c r="B531" t="s">
        <v>2317</v>
      </c>
      <c r="C531" t="str">
        <f>_xlfn.XLOOKUP(B531,clean_sales!C:C,clean_sales!Q:Q)</f>
        <v>Indrans Kamdar</v>
      </c>
      <c r="D531" t="str">
        <f>_xlfn.XLOOKUP(B531,clean_sales!C:C,clean_sales!R:R)</f>
        <v>Hyderabad</v>
      </c>
      <c r="E531" t="str">
        <f>_xlfn.XLOOKUP(B531,clean_sales!C:C,clean_sales!S:S)</f>
        <v>Telangana</v>
      </c>
    </row>
    <row r="532" spans="1:5" x14ac:dyDescent="0.35">
      <c r="A532">
        <f t="shared" si="8"/>
        <v>531</v>
      </c>
      <c r="B532" t="s">
        <v>2318</v>
      </c>
      <c r="C532" t="str">
        <f>_xlfn.XLOOKUP(B532,clean_sales!C:C,clean_sales!Q:Q)</f>
        <v>Neelofar Verma</v>
      </c>
      <c r="D532" t="str">
        <f>_xlfn.XLOOKUP(B532,clean_sales!C:C,clean_sales!R:R)</f>
        <v>Kolkata</v>
      </c>
      <c r="E532" t="str">
        <f>_xlfn.XLOOKUP(B532,clean_sales!C:C,clean_sales!S:S)</f>
        <v>West Bengal</v>
      </c>
    </row>
    <row r="533" spans="1:5" x14ac:dyDescent="0.35">
      <c r="A533">
        <f t="shared" si="8"/>
        <v>532</v>
      </c>
      <c r="B533" t="s">
        <v>2319</v>
      </c>
      <c r="C533" t="str">
        <f>_xlfn.XLOOKUP(B533,clean_sales!C:C,clean_sales!Q:Q)</f>
        <v>Jhanvi Kuruvilla</v>
      </c>
      <c r="D533" t="str">
        <f>_xlfn.XLOOKUP(B533,clean_sales!C:C,clean_sales!R:R)</f>
        <v>Hyderabad</v>
      </c>
      <c r="E533" t="str">
        <f>_xlfn.XLOOKUP(B533,clean_sales!C:C,clean_sales!S:S)</f>
        <v>Telangana</v>
      </c>
    </row>
    <row r="534" spans="1:5" x14ac:dyDescent="0.35">
      <c r="A534">
        <f t="shared" si="8"/>
        <v>533</v>
      </c>
      <c r="B534" t="s">
        <v>2320</v>
      </c>
      <c r="C534" t="str">
        <f>_xlfn.XLOOKUP(B534,clean_sales!C:C,clean_sales!Q:Q)</f>
        <v>Kiaan Kuruvilla</v>
      </c>
      <c r="D534" t="str">
        <f>_xlfn.XLOOKUP(B534,clean_sales!C:C,clean_sales!R:R)</f>
        <v>Chennai</v>
      </c>
      <c r="E534" t="str">
        <f>_xlfn.XLOOKUP(B534,clean_sales!C:C,clean_sales!S:S)</f>
        <v>Tamil Nadu</v>
      </c>
    </row>
    <row r="535" spans="1:5" x14ac:dyDescent="0.35">
      <c r="A535">
        <f t="shared" si="8"/>
        <v>534</v>
      </c>
      <c r="B535" t="s">
        <v>2321</v>
      </c>
      <c r="C535" t="str">
        <f>_xlfn.XLOOKUP(B535,clean_sales!C:C,clean_sales!Q:Q)</f>
        <v>Diya Saha</v>
      </c>
      <c r="D535" t="str">
        <f>_xlfn.XLOOKUP(B535,clean_sales!C:C,clean_sales!R:R)</f>
        <v>Pune</v>
      </c>
      <c r="E535" t="str">
        <f>_xlfn.XLOOKUP(B535,clean_sales!C:C,clean_sales!S:S)</f>
        <v>Maharashtra</v>
      </c>
    </row>
    <row r="536" spans="1:5" x14ac:dyDescent="0.35">
      <c r="A536">
        <f t="shared" si="8"/>
        <v>535</v>
      </c>
      <c r="B536" t="s">
        <v>2322</v>
      </c>
      <c r="C536" t="str">
        <f>_xlfn.XLOOKUP(B536,clean_sales!C:C,clean_sales!Q:Q)</f>
        <v>Darshit Chacko</v>
      </c>
      <c r="D536" t="str">
        <f>_xlfn.XLOOKUP(B536,clean_sales!C:C,clean_sales!R:R)</f>
        <v>Hyderabad</v>
      </c>
      <c r="E536" t="str">
        <f>_xlfn.XLOOKUP(B536,clean_sales!C:C,clean_sales!S:S)</f>
        <v>Telangana</v>
      </c>
    </row>
    <row r="537" spans="1:5" x14ac:dyDescent="0.35">
      <c r="A537">
        <f t="shared" si="8"/>
        <v>536</v>
      </c>
      <c r="B537" t="s">
        <v>2323</v>
      </c>
      <c r="C537" t="str">
        <f>_xlfn.XLOOKUP(B537,clean_sales!C:C,clean_sales!Q:Q)</f>
        <v>Neelofar Atwal</v>
      </c>
      <c r="D537" t="str">
        <f>_xlfn.XLOOKUP(B537,clean_sales!C:C,clean_sales!R:R)</f>
        <v>Mumbai</v>
      </c>
      <c r="E537" t="str">
        <f>_xlfn.XLOOKUP(B537,clean_sales!C:C,clean_sales!S:S)</f>
        <v>Maharashtra</v>
      </c>
    </row>
    <row r="538" spans="1:5" x14ac:dyDescent="0.35">
      <c r="A538">
        <f t="shared" si="8"/>
        <v>537</v>
      </c>
      <c r="B538" t="s">
        <v>2324</v>
      </c>
      <c r="C538" t="str">
        <f>_xlfn.XLOOKUP(B538,clean_sales!C:C,clean_sales!Q:Q)</f>
        <v>Ivana Ghose</v>
      </c>
      <c r="D538" t="str">
        <f>_xlfn.XLOOKUP(B538,clean_sales!C:C,clean_sales!R:R)</f>
        <v>Hyderabad</v>
      </c>
      <c r="E538" t="str">
        <f>_xlfn.XLOOKUP(B538,clean_sales!C:C,clean_sales!S:S)</f>
        <v>Telangana</v>
      </c>
    </row>
    <row r="539" spans="1:5" x14ac:dyDescent="0.35">
      <c r="A539">
        <f t="shared" si="8"/>
        <v>538</v>
      </c>
      <c r="B539" t="s">
        <v>2325</v>
      </c>
      <c r="C539" t="str">
        <f>_xlfn.XLOOKUP(B539,clean_sales!C:C,clean_sales!Q:Q)</f>
        <v>Kimaya Basak</v>
      </c>
      <c r="D539" t="str">
        <f>_xlfn.XLOOKUP(B539,clean_sales!C:C,clean_sales!R:R)</f>
        <v>Bengaluru</v>
      </c>
      <c r="E539" t="str">
        <f>_xlfn.XLOOKUP(B539,clean_sales!C:C,clean_sales!S:S)</f>
        <v>Karnataka</v>
      </c>
    </row>
    <row r="540" spans="1:5" x14ac:dyDescent="0.35">
      <c r="A540">
        <f t="shared" si="8"/>
        <v>539</v>
      </c>
      <c r="B540" t="s">
        <v>2326</v>
      </c>
      <c r="C540" t="str">
        <f>_xlfn.XLOOKUP(B540,clean_sales!C:C,clean_sales!Q:Q)</f>
        <v>Nirvi Kakar</v>
      </c>
      <c r="D540" t="str">
        <f>_xlfn.XLOOKUP(B540,clean_sales!C:C,clean_sales!R:R)</f>
        <v>Hyderabad</v>
      </c>
      <c r="E540" t="str">
        <f>_xlfn.XLOOKUP(B540,clean_sales!C:C,clean_sales!S:S)</f>
        <v>Telangana</v>
      </c>
    </row>
    <row r="541" spans="1:5" x14ac:dyDescent="0.35">
      <c r="A541">
        <f t="shared" si="8"/>
        <v>540</v>
      </c>
      <c r="B541" t="s">
        <v>2327</v>
      </c>
      <c r="C541" t="str">
        <f>_xlfn.XLOOKUP(B541,clean_sales!C:C,clean_sales!Q:Q)</f>
        <v>Kiara Aggarwal</v>
      </c>
      <c r="D541" t="str">
        <f>_xlfn.XLOOKUP(B541,clean_sales!C:C,clean_sales!R:R)</f>
        <v>Pune</v>
      </c>
      <c r="E541" t="str">
        <f>_xlfn.XLOOKUP(B541,clean_sales!C:C,clean_sales!S:S)</f>
        <v>Maharashtra</v>
      </c>
    </row>
    <row r="542" spans="1:5" x14ac:dyDescent="0.35">
      <c r="A542">
        <f t="shared" si="8"/>
        <v>541</v>
      </c>
      <c r="B542" t="s">
        <v>2328</v>
      </c>
      <c r="C542" t="str">
        <f>_xlfn.XLOOKUP(B542,clean_sales!C:C,clean_sales!Q:Q)</f>
        <v>Darshit Viswanathan</v>
      </c>
      <c r="D542" t="str">
        <f>_xlfn.XLOOKUP(B542,clean_sales!C:C,clean_sales!R:R)</f>
        <v>Kolkata</v>
      </c>
      <c r="E542" t="str">
        <f>_xlfn.XLOOKUP(B542,clean_sales!C:C,clean_sales!S:S)</f>
        <v>West Bengal</v>
      </c>
    </row>
    <row r="543" spans="1:5" x14ac:dyDescent="0.35">
      <c r="A543">
        <f t="shared" si="8"/>
        <v>542</v>
      </c>
      <c r="B543" t="s">
        <v>2329</v>
      </c>
      <c r="C543" t="str">
        <f>_xlfn.XLOOKUP(B543,clean_sales!C:C,clean_sales!Q:Q)</f>
        <v>Armaan Walla</v>
      </c>
      <c r="D543" t="str">
        <f>_xlfn.XLOOKUP(B543,clean_sales!C:C,clean_sales!R:R)</f>
        <v>Delhi</v>
      </c>
      <c r="E543" t="str">
        <f>_xlfn.XLOOKUP(B543,clean_sales!C:C,clean_sales!S:S)</f>
        <v>Delhi</v>
      </c>
    </row>
    <row r="544" spans="1:5" x14ac:dyDescent="0.35">
      <c r="A544">
        <f t="shared" si="8"/>
        <v>543</v>
      </c>
      <c r="B544" t="s">
        <v>2330</v>
      </c>
      <c r="C544" t="str">
        <f>_xlfn.XLOOKUP(B544,clean_sales!C:C,clean_sales!Q:Q)</f>
        <v>Sahil Dora</v>
      </c>
      <c r="D544" t="str">
        <f>_xlfn.XLOOKUP(B544,clean_sales!C:C,clean_sales!R:R)</f>
        <v>Mumbai</v>
      </c>
      <c r="E544" t="str">
        <f>_xlfn.XLOOKUP(B544,clean_sales!C:C,clean_sales!S:S)</f>
        <v>Maharashtra</v>
      </c>
    </row>
    <row r="545" spans="1:5" x14ac:dyDescent="0.35">
      <c r="A545">
        <f t="shared" si="8"/>
        <v>544</v>
      </c>
      <c r="B545" t="s">
        <v>2331</v>
      </c>
      <c r="C545" t="str">
        <f>_xlfn.XLOOKUP(B545,clean_sales!C:C,clean_sales!Q:Q)</f>
        <v>Misha Kota</v>
      </c>
      <c r="D545" t="str">
        <f>_xlfn.XLOOKUP(B545,clean_sales!C:C,clean_sales!R:R)</f>
        <v>Hyderabad</v>
      </c>
      <c r="E545" t="str">
        <f>_xlfn.XLOOKUP(B545,clean_sales!C:C,clean_sales!S:S)</f>
        <v>Telangana</v>
      </c>
    </row>
    <row r="546" spans="1:5" x14ac:dyDescent="0.35">
      <c r="A546">
        <f t="shared" si="8"/>
        <v>545</v>
      </c>
      <c r="B546" t="s">
        <v>2332</v>
      </c>
      <c r="C546" t="str">
        <f>_xlfn.XLOOKUP(B546,clean_sales!C:C,clean_sales!Q:Q)</f>
        <v>Advik Jha</v>
      </c>
      <c r="D546" t="str">
        <f>_xlfn.XLOOKUP(B546,clean_sales!C:C,clean_sales!R:R)</f>
        <v>Chennai</v>
      </c>
      <c r="E546" t="str">
        <f>_xlfn.XLOOKUP(B546,clean_sales!C:C,clean_sales!S:S)</f>
        <v>Tamil Nadu</v>
      </c>
    </row>
    <row r="547" spans="1:5" x14ac:dyDescent="0.35">
      <c r="A547">
        <f t="shared" si="8"/>
        <v>546</v>
      </c>
      <c r="B547" t="s">
        <v>2333</v>
      </c>
      <c r="C547" t="str">
        <f>_xlfn.XLOOKUP(B547,clean_sales!C:C,clean_sales!Q:Q)</f>
        <v>Amira Choudhry</v>
      </c>
      <c r="D547" t="str">
        <f>_xlfn.XLOOKUP(B547,clean_sales!C:C,clean_sales!R:R)</f>
        <v>Hyderabad</v>
      </c>
      <c r="E547" t="str">
        <f>_xlfn.XLOOKUP(B547,clean_sales!C:C,clean_sales!S:S)</f>
        <v>Telangana</v>
      </c>
    </row>
    <row r="548" spans="1:5" x14ac:dyDescent="0.35">
      <c r="A548">
        <f t="shared" si="8"/>
        <v>547</v>
      </c>
      <c r="B548" t="s">
        <v>2334</v>
      </c>
      <c r="C548" t="str">
        <f>_xlfn.XLOOKUP(B548,clean_sales!C:C,clean_sales!Q:Q)</f>
        <v>Ojas Kunda</v>
      </c>
      <c r="D548" t="str">
        <f>_xlfn.XLOOKUP(B548,clean_sales!C:C,clean_sales!R:R)</f>
        <v>Bengaluru</v>
      </c>
      <c r="E548" t="str">
        <f>_xlfn.XLOOKUP(B548,clean_sales!C:C,clean_sales!S:S)</f>
        <v>Karnataka</v>
      </c>
    </row>
    <row r="549" spans="1:5" x14ac:dyDescent="0.35">
      <c r="A549">
        <f t="shared" si="8"/>
        <v>548</v>
      </c>
      <c r="B549" t="s">
        <v>2335</v>
      </c>
      <c r="C549" t="str">
        <f>_xlfn.XLOOKUP(B549,clean_sales!C:C,clean_sales!Q:Q)</f>
        <v>Divit Boase</v>
      </c>
      <c r="D549" t="str">
        <f>_xlfn.XLOOKUP(B549,clean_sales!C:C,clean_sales!R:R)</f>
        <v>Mumbai</v>
      </c>
      <c r="E549" t="str">
        <f>_xlfn.XLOOKUP(B549,clean_sales!C:C,clean_sales!S:S)</f>
        <v>Maharashtra</v>
      </c>
    </row>
    <row r="550" spans="1:5" x14ac:dyDescent="0.35">
      <c r="A550">
        <f t="shared" si="8"/>
        <v>549</v>
      </c>
      <c r="B550" t="s">
        <v>2336</v>
      </c>
      <c r="C550" t="str">
        <f>_xlfn.XLOOKUP(B550,clean_sales!C:C,clean_sales!Q:Q)</f>
        <v>Anay Bawa</v>
      </c>
      <c r="D550" t="str">
        <f>_xlfn.XLOOKUP(B550,clean_sales!C:C,clean_sales!R:R)</f>
        <v>Hyderabad</v>
      </c>
      <c r="E550" t="str">
        <f>_xlfn.XLOOKUP(B550,clean_sales!C:C,clean_sales!S:S)</f>
        <v>Telangana</v>
      </c>
    </row>
    <row r="551" spans="1:5" x14ac:dyDescent="0.35">
      <c r="A551">
        <f t="shared" si="8"/>
        <v>550</v>
      </c>
      <c r="B551" t="s">
        <v>2337</v>
      </c>
      <c r="C551" t="str">
        <f>_xlfn.XLOOKUP(B551,clean_sales!C:C,clean_sales!Q:Q)</f>
        <v>Nakul Sarkar</v>
      </c>
      <c r="D551" t="str">
        <f>_xlfn.XLOOKUP(B551,clean_sales!C:C,clean_sales!R:R)</f>
        <v>Delhi</v>
      </c>
      <c r="E551" t="str">
        <f>_xlfn.XLOOKUP(B551,clean_sales!C:C,clean_sales!S:S)</f>
        <v>Delhi</v>
      </c>
    </row>
    <row r="552" spans="1:5" x14ac:dyDescent="0.35">
      <c r="A552">
        <f t="shared" si="8"/>
        <v>551</v>
      </c>
      <c r="B552" t="s">
        <v>2338</v>
      </c>
      <c r="C552" t="str">
        <f>_xlfn.XLOOKUP(B552,clean_sales!C:C,clean_sales!Q:Q)</f>
        <v>Misha Chaudhary</v>
      </c>
      <c r="D552" t="str">
        <f>_xlfn.XLOOKUP(B552,clean_sales!C:C,clean_sales!R:R)</f>
        <v>Bengaluru</v>
      </c>
      <c r="E552" t="str">
        <f>_xlfn.XLOOKUP(B552,clean_sales!C:C,clean_sales!S:S)</f>
        <v>Karnataka</v>
      </c>
    </row>
    <row r="553" spans="1:5" x14ac:dyDescent="0.35">
      <c r="A553">
        <f t="shared" si="8"/>
        <v>552</v>
      </c>
      <c r="B553" t="s">
        <v>2339</v>
      </c>
      <c r="C553" t="str">
        <f>_xlfn.XLOOKUP(B553,clean_sales!C:C,clean_sales!Q:Q)</f>
        <v>Dhanuk Toor</v>
      </c>
      <c r="D553" t="str">
        <f>_xlfn.XLOOKUP(B553,clean_sales!C:C,clean_sales!R:R)</f>
        <v>Hyderabad</v>
      </c>
      <c r="E553" t="str">
        <f>_xlfn.XLOOKUP(B553,clean_sales!C:C,clean_sales!S:S)</f>
        <v>Telangana</v>
      </c>
    </row>
    <row r="554" spans="1:5" x14ac:dyDescent="0.35">
      <c r="A554">
        <f t="shared" si="8"/>
        <v>553</v>
      </c>
      <c r="B554" t="s">
        <v>2340</v>
      </c>
      <c r="C554" t="str">
        <f>_xlfn.XLOOKUP(B554,clean_sales!C:C,clean_sales!Q:Q)</f>
        <v>Jayesh Varty</v>
      </c>
      <c r="D554" t="str">
        <f>_xlfn.XLOOKUP(B554,clean_sales!C:C,clean_sales!R:R)</f>
        <v>Mumbai</v>
      </c>
      <c r="E554" t="str">
        <f>_xlfn.XLOOKUP(B554,clean_sales!C:C,clean_sales!S:S)</f>
        <v>Maharashtra</v>
      </c>
    </row>
    <row r="555" spans="1:5" x14ac:dyDescent="0.35">
      <c r="A555">
        <f t="shared" si="8"/>
        <v>554</v>
      </c>
      <c r="B555" t="s">
        <v>2341</v>
      </c>
      <c r="C555" t="str">
        <f>_xlfn.XLOOKUP(B555,clean_sales!C:C,clean_sales!Q:Q)</f>
        <v>Ranbir Shenoy</v>
      </c>
      <c r="D555" t="str">
        <f>_xlfn.XLOOKUP(B555,clean_sales!C:C,clean_sales!R:R)</f>
        <v>Pune</v>
      </c>
      <c r="E555" t="str">
        <f>_xlfn.XLOOKUP(B555,clean_sales!C:C,clean_sales!S:S)</f>
        <v>Maharashtra</v>
      </c>
    </row>
    <row r="556" spans="1:5" x14ac:dyDescent="0.35">
      <c r="A556">
        <f t="shared" si="8"/>
        <v>555</v>
      </c>
      <c r="B556" t="s">
        <v>2342</v>
      </c>
      <c r="C556" t="str">
        <f>_xlfn.XLOOKUP(B556,clean_sales!C:C,clean_sales!Q:Q)</f>
        <v>Lakshit Mane</v>
      </c>
      <c r="D556" t="str">
        <f>_xlfn.XLOOKUP(B556,clean_sales!C:C,clean_sales!R:R)</f>
        <v>Chennai</v>
      </c>
      <c r="E556" t="str">
        <f>_xlfn.XLOOKUP(B556,clean_sales!C:C,clean_sales!S:S)</f>
        <v>Tamil Nadu</v>
      </c>
    </row>
    <row r="557" spans="1:5" x14ac:dyDescent="0.35">
      <c r="A557">
        <f t="shared" si="8"/>
        <v>556</v>
      </c>
      <c r="B557" t="s">
        <v>2343</v>
      </c>
      <c r="C557" t="str">
        <f>_xlfn.XLOOKUP(B557,clean_sales!C:C,clean_sales!Q:Q)</f>
        <v>Mamooty Chahal</v>
      </c>
      <c r="D557" t="str">
        <f>_xlfn.XLOOKUP(B557,clean_sales!C:C,clean_sales!R:R)</f>
        <v>Chennai</v>
      </c>
      <c r="E557" t="str">
        <f>_xlfn.XLOOKUP(B557,clean_sales!C:C,clean_sales!S:S)</f>
        <v>Tamil Nadu</v>
      </c>
    </row>
    <row r="558" spans="1:5" x14ac:dyDescent="0.35">
      <c r="A558">
        <f t="shared" si="8"/>
        <v>557</v>
      </c>
      <c r="B558" t="s">
        <v>2344</v>
      </c>
      <c r="C558" t="str">
        <f>_xlfn.XLOOKUP(B558,clean_sales!C:C,clean_sales!Q:Q)</f>
        <v>Jayan Lala</v>
      </c>
      <c r="D558" t="str">
        <f>_xlfn.XLOOKUP(B558,clean_sales!C:C,clean_sales!R:R)</f>
        <v>Chennai</v>
      </c>
      <c r="E558" t="str">
        <f>_xlfn.XLOOKUP(B558,clean_sales!C:C,clean_sales!S:S)</f>
        <v>Tamil Nadu</v>
      </c>
    </row>
    <row r="559" spans="1:5" x14ac:dyDescent="0.35">
      <c r="A559">
        <f t="shared" si="8"/>
        <v>558</v>
      </c>
      <c r="B559" t="s">
        <v>2345</v>
      </c>
      <c r="C559" t="str">
        <f>_xlfn.XLOOKUP(B559,clean_sales!C:C,clean_sales!Q:Q)</f>
        <v>Lakshit Chawla</v>
      </c>
      <c r="D559" t="str">
        <f>_xlfn.XLOOKUP(B559,clean_sales!C:C,clean_sales!R:R)</f>
        <v>Kolkata</v>
      </c>
      <c r="E559" t="str">
        <f>_xlfn.XLOOKUP(B559,clean_sales!C:C,clean_sales!S:S)</f>
        <v>West Bengal</v>
      </c>
    </row>
    <row r="560" spans="1:5" x14ac:dyDescent="0.35">
      <c r="A560">
        <f t="shared" si="8"/>
        <v>559</v>
      </c>
      <c r="B560" t="s">
        <v>2346</v>
      </c>
      <c r="C560" t="str">
        <f>_xlfn.XLOOKUP(B560,clean_sales!C:C,clean_sales!Q:Q)</f>
        <v>Adah Ahluwalia</v>
      </c>
      <c r="D560" t="str">
        <f>_xlfn.XLOOKUP(B560,clean_sales!C:C,clean_sales!R:R)</f>
        <v>Delhi</v>
      </c>
      <c r="E560" t="str">
        <f>_xlfn.XLOOKUP(B560,clean_sales!C:C,clean_sales!S:S)</f>
        <v>Delhi</v>
      </c>
    </row>
    <row r="561" spans="1:5" x14ac:dyDescent="0.35">
      <c r="A561">
        <f t="shared" si="8"/>
        <v>560</v>
      </c>
      <c r="B561" t="s">
        <v>2347</v>
      </c>
      <c r="C561" t="str">
        <f>_xlfn.XLOOKUP(B561,clean_sales!C:C,clean_sales!Q:Q)</f>
        <v>Stuvan Mane</v>
      </c>
      <c r="D561" t="str">
        <f>_xlfn.XLOOKUP(B561,clean_sales!C:C,clean_sales!R:R)</f>
        <v>Mumbai</v>
      </c>
      <c r="E561" t="str">
        <f>_xlfn.XLOOKUP(B561,clean_sales!C:C,clean_sales!S:S)</f>
        <v>Maharashtra</v>
      </c>
    </row>
    <row r="562" spans="1:5" x14ac:dyDescent="0.35">
      <c r="A562">
        <f t="shared" si="8"/>
        <v>561</v>
      </c>
      <c r="B562" t="s">
        <v>2348</v>
      </c>
      <c r="C562" t="str">
        <f>_xlfn.XLOOKUP(B562,clean_sales!C:C,clean_sales!Q:Q)</f>
        <v>Alia Mani</v>
      </c>
      <c r="D562" t="str">
        <f>_xlfn.XLOOKUP(B562,clean_sales!C:C,clean_sales!R:R)</f>
        <v>Kolkata</v>
      </c>
      <c r="E562" t="str">
        <f>_xlfn.XLOOKUP(B562,clean_sales!C:C,clean_sales!S:S)</f>
        <v>West Bengal</v>
      </c>
    </row>
    <row r="563" spans="1:5" x14ac:dyDescent="0.35">
      <c r="A563">
        <f t="shared" si="8"/>
        <v>562</v>
      </c>
      <c r="B563" t="s">
        <v>2349</v>
      </c>
      <c r="C563" t="str">
        <f>_xlfn.XLOOKUP(B563,clean_sales!C:C,clean_sales!Q:Q)</f>
        <v>Raghav Sant</v>
      </c>
      <c r="D563" t="str">
        <f>_xlfn.XLOOKUP(B563,clean_sales!C:C,clean_sales!R:R)</f>
        <v>Pune</v>
      </c>
      <c r="E563" t="str">
        <f>_xlfn.XLOOKUP(B563,clean_sales!C:C,clean_sales!S:S)</f>
        <v>Maharashtra</v>
      </c>
    </row>
    <row r="564" spans="1:5" x14ac:dyDescent="0.35">
      <c r="A564">
        <f t="shared" si="8"/>
        <v>563</v>
      </c>
      <c r="B564" t="s">
        <v>2350</v>
      </c>
      <c r="C564" t="str">
        <f>_xlfn.XLOOKUP(B564,clean_sales!C:C,clean_sales!Q:Q)</f>
        <v>Stuvan Kumar</v>
      </c>
      <c r="D564" t="str">
        <f>_xlfn.XLOOKUP(B564,clean_sales!C:C,clean_sales!R:R)</f>
        <v>Pune</v>
      </c>
      <c r="E564" t="str">
        <f>_xlfn.XLOOKUP(B564,clean_sales!C:C,clean_sales!S:S)</f>
        <v>Maharashtra</v>
      </c>
    </row>
    <row r="565" spans="1:5" x14ac:dyDescent="0.35">
      <c r="A565">
        <f t="shared" si="8"/>
        <v>564</v>
      </c>
      <c r="B565" t="s">
        <v>2351</v>
      </c>
      <c r="C565" t="str">
        <f>_xlfn.XLOOKUP(B565,clean_sales!C:C,clean_sales!Q:Q)</f>
        <v>Yasmin Dar</v>
      </c>
      <c r="D565" t="str">
        <f>_xlfn.XLOOKUP(B565,clean_sales!C:C,clean_sales!R:R)</f>
        <v>Pune</v>
      </c>
      <c r="E565" t="str">
        <f>_xlfn.XLOOKUP(B565,clean_sales!C:C,clean_sales!S:S)</f>
        <v>Maharashtra</v>
      </c>
    </row>
    <row r="566" spans="1:5" x14ac:dyDescent="0.35">
      <c r="A566">
        <f t="shared" si="8"/>
        <v>565</v>
      </c>
      <c r="B566" t="s">
        <v>2352</v>
      </c>
      <c r="C566" t="str">
        <f>_xlfn.XLOOKUP(B566,clean_sales!C:C,clean_sales!Q:Q)</f>
        <v>Anaya Zacharia</v>
      </c>
      <c r="D566" t="str">
        <f>_xlfn.XLOOKUP(B566,clean_sales!C:C,clean_sales!R:R)</f>
        <v>Kolkata</v>
      </c>
      <c r="E566" t="str">
        <f>_xlfn.XLOOKUP(B566,clean_sales!C:C,clean_sales!S:S)</f>
        <v>West Bengal</v>
      </c>
    </row>
    <row r="567" spans="1:5" x14ac:dyDescent="0.35">
      <c r="A567">
        <f t="shared" si="8"/>
        <v>566</v>
      </c>
      <c r="B567" t="s">
        <v>2353</v>
      </c>
      <c r="C567" t="str">
        <f>_xlfn.XLOOKUP(B567,clean_sales!C:C,clean_sales!Q:Q)</f>
        <v>Aarush Srinivas</v>
      </c>
      <c r="D567" t="str">
        <f>_xlfn.XLOOKUP(B567,clean_sales!C:C,clean_sales!R:R)</f>
        <v>Chennai</v>
      </c>
      <c r="E567" t="str">
        <f>_xlfn.XLOOKUP(B567,clean_sales!C:C,clean_sales!S:S)</f>
        <v>Tamil Nadu</v>
      </c>
    </row>
    <row r="568" spans="1:5" x14ac:dyDescent="0.35">
      <c r="A568">
        <f t="shared" si="8"/>
        <v>567</v>
      </c>
      <c r="B568" t="s">
        <v>2354</v>
      </c>
      <c r="C568" t="str">
        <f>_xlfn.XLOOKUP(B568,clean_sales!C:C,clean_sales!Q:Q)</f>
        <v>Abram Master</v>
      </c>
      <c r="D568" t="str">
        <f>_xlfn.XLOOKUP(B568,clean_sales!C:C,clean_sales!R:R)</f>
        <v>Mumbai</v>
      </c>
      <c r="E568" t="str">
        <f>_xlfn.XLOOKUP(B568,clean_sales!C:C,clean_sales!S:S)</f>
        <v>Maharashtra</v>
      </c>
    </row>
    <row r="569" spans="1:5" x14ac:dyDescent="0.35">
      <c r="A569">
        <f t="shared" si="8"/>
        <v>568</v>
      </c>
      <c r="B569" t="s">
        <v>2355</v>
      </c>
      <c r="C569" t="str">
        <f>_xlfn.XLOOKUP(B569,clean_sales!C:C,clean_sales!Q:Q)</f>
        <v>Divyansh Dara</v>
      </c>
      <c r="D569" t="str">
        <f>_xlfn.XLOOKUP(B569,clean_sales!C:C,clean_sales!R:R)</f>
        <v>Delhi</v>
      </c>
      <c r="E569" t="str">
        <f>_xlfn.XLOOKUP(B569,clean_sales!C:C,clean_sales!S:S)</f>
        <v>Delhi</v>
      </c>
    </row>
    <row r="570" spans="1:5" x14ac:dyDescent="0.35">
      <c r="A570">
        <f t="shared" si="8"/>
        <v>569</v>
      </c>
      <c r="B570" t="s">
        <v>2356</v>
      </c>
      <c r="C570" t="str">
        <f>_xlfn.XLOOKUP(B570,clean_sales!C:C,clean_sales!Q:Q)</f>
        <v>Anika Dugar</v>
      </c>
      <c r="D570" t="str">
        <f>_xlfn.XLOOKUP(B570,clean_sales!C:C,clean_sales!R:R)</f>
        <v>Kolkata</v>
      </c>
      <c r="E570" t="str">
        <f>_xlfn.XLOOKUP(B570,clean_sales!C:C,clean_sales!S:S)</f>
        <v>West Bengal</v>
      </c>
    </row>
    <row r="571" spans="1:5" x14ac:dyDescent="0.35">
      <c r="A571">
        <f t="shared" si="8"/>
        <v>570</v>
      </c>
      <c r="B571" t="s">
        <v>2357</v>
      </c>
      <c r="C571" t="str">
        <f>_xlfn.XLOOKUP(B571,clean_sales!C:C,clean_sales!Q:Q)</f>
        <v>Nehmat Kulkarni</v>
      </c>
      <c r="D571" t="str">
        <f>_xlfn.XLOOKUP(B571,clean_sales!C:C,clean_sales!R:R)</f>
        <v>Kolkata</v>
      </c>
      <c r="E571" t="str">
        <f>_xlfn.XLOOKUP(B571,clean_sales!C:C,clean_sales!S:S)</f>
        <v>West Bengal</v>
      </c>
    </row>
    <row r="572" spans="1:5" x14ac:dyDescent="0.35">
      <c r="A572">
        <f t="shared" si="8"/>
        <v>571</v>
      </c>
      <c r="B572" t="s">
        <v>2358</v>
      </c>
      <c r="C572" t="str">
        <f>_xlfn.XLOOKUP(B572,clean_sales!C:C,clean_sales!Q:Q)</f>
        <v>Veer Karpe</v>
      </c>
      <c r="D572" t="str">
        <f>_xlfn.XLOOKUP(B572,clean_sales!C:C,clean_sales!R:R)</f>
        <v>Bengaluru</v>
      </c>
      <c r="E572" t="str">
        <f>_xlfn.XLOOKUP(B572,clean_sales!C:C,clean_sales!S:S)</f>
        <v>Karnataka</v>
      </c>
    </row>
    <row r="573" spans="1:5" x14ac:dyDescent="0.35">
      <c r="A573">
        <f t="shared" si="8"/>
        <v>572</v>
      </c>
      <c r="B573" t="s">
        <v>2359</v>
      </c>
      <c r="C573" t="str">
        <f>_xlfn.XLOOKUP(B573,clean_sales!C:C,clean_sales!Q:Q)</f>
        <v>Tara Sha</v>
      </c>
      <c r="D573" t="str">
        <f>_xlfn.XLOOKUP(B573,clean_sales!C:C,clean_sales!R:R)</f>
        <v>Delhi</v>
      </c>
      <c r="E573" t="str">
        <f>_xlfn.XLOOKUP(B573,clean_sales!C:C,clean_sales!S:S)</f>
        <v>Delhi</v>
      </c>
    </row>
    <row r="574" spans="1:5" x14ac:dyDescent="0.35">
      <c r="A574">
        <f t="shared" si="8"/>
        <v>573</v>
      </c>
      <c r="B574" t="s">
        <v>2360</v>
      </c>
      <c r="C574" t="str">
        <f>_xlfn.XLOOKUP(B574,clean_sales!C:C,clean_sales!Q:Q)</f>
        <v>Taimur Dalal</v>
      </c>
      <c r="D574" t="str">
        <f>_xlfn.XLOOKUP(B574,clean_sales!C:C,clean_sales!R:R)</f>
        <v>Pune</v>
      </c>
      <c r="E574" t="str">
        <f>_xlfn.XLOOKUP(B574,clean_sales!C:C,clean_sales!S:S)</f>
        <v>Maharashtra</v>
      </c>
    </row>
    <row r="575" spans="1:5" x14ac:dyDescent="0.35">
      <c r="A575">
        <f t="shared" si="8"/>
        <v>574</v>
      </c>
      <c r="B575" t="s">
        <v>2361</v>
      </c>
      <c r="C575" t="str">
        <f>_xlfn.XLOOKUP(B575,clean_sales!C:C,clean_sales!Q:Q)</f>
        <v>Hazel Goswami</v>
      </c>
      <c r="D575" t="str">
        <f>_xlfn.XLOOKUP(B575,clean_sales!C:C,clean_sales!R:R)</f>
        <v>Delhi</v>
      </c>
      <c r="E575" t="str">
        <f>_xlfn.XLOOKUP(B575,clean_sales!C:C,clean_sales!S:S)</f>
        <v>Delhi</v>
      </c>
    </row>
    <row r="576" spans="1:5" x14ac:dyDescent="0.35">
      <c r="A576">
        <f t="shared" si="8"/>
        <v>575</v>
      </c>
      <c r="B576" t="s">
        <v>2362</v>
      </c>
      <c r="C576" t="str">
        <f>_xlfn.XLOOKUP(B576,clean_sales!C:C,clean_sales!Q:Q)</f>
        <v>Shayak Chaudhry</v>
      </c>
      <c r="D576" t="str">
        <f>_xlfn.XLOOKUP(B576,clean_sales!C:C,clean_sales!R:R)</f>
        <v>Mumbai</v>
      </c>
      <c r="E576" t="str">
        <f>_xlfn.XLOOKUP(B576,clean_sales!C:C,clean_sales!S:S)</f>
        <v>Maharashtra</v>
      </c>
    </row>
    <row r="577" spans="1:5" x14ac:dyDescent="0.35">
      <c r="A577">
        <f t="shared" si="8"/>
        <v>576</v>
      </c>
      <c r="B577" t="s">
        <v>2363</v>
      </c>
      <c r="C577" t="str">
        <f>_xlfn.XLOOKUP(B577,clean_sales!C:C,clean_sales!Q:Q)</f>
        <v>Riaan Shenoy</v>
      </c>
      <c r="D577" t="str">
        <f>_xlfn.XLOOKUP(B577,clean_sales!C:C,clean_sales!R:R)</f>
        <v>Kolkata</v>
      </c>
      <c r="E577" t="str">
        <f>_xlfn.XLOOKUP(B577,clean_sales!C:C,clean_sales!S:S)</f>
        <v>West Bengal</v>
      </c>
    </row>
    <row r="578" spans="1:5" x14ac:dyDescent="0.35">
      <c r="A578">
        <f t="shared" si="8"/>
        <v>577</v>
      </c>
      <c r="B578" t="s">
        <v>2364</v>
      </c>
      <c r="C578" t="str">
        <f>_xlfn.XLOOKUP(B578,clean_sales!C:C,clean_sales!Q:Q)</f>
        <v>Raunak Sanghvi</v>
      </c>
      <c r="D578" t="str">
        <f>_xlfn.XLOOKUP(B578,clean_sales!C:C,clean_sales!R:R)</f>
        <v>Pune</v>
      </c>
      <c r="E578" t="str">
        <f>_xlfn.XLOOKUP(B578,clean_sales!C:C,clean_sales!S:S)</f>
        <v>Maharashtra</v>
      </c>
    </row>
    <row r="579" spans="1:5" x14ac:dyDescent="0.35">
      <c r="A579">
        <f t="shared" ref="A579:A642" si="9">ROW()-1</f>
        <v>578</v>
      </c>
      <c r="B579" t="s">
        <v>2365</v>
      </c>
      <c r="C579" t="str">
        <f>_xlfn.XLOOKUP(B579,clean_sales!C:C,clean_sales!Q:Q)</f>
        <v>Jiya Lanka</v>
      </c>
      <c r="D579" t="str">
        <f>_xlfn.XLOOKUP(B579,clean_sales!C:C,clean_sales!R:R)</f>
        <v>Chennai</v>
      </c>
      <c r="E579" t="str">
        <f>_xlfn.XLOOKUP(B579,clean_sales!C:C,clean_sales!S:S)</f>
        <v>Tamil Nadu</v>
      </c>
    </row>
    <row r="580" spans="1:5" x14ac:dyDescent="0.35">
      <c r="A580">
        <f t="shared" si="9"/>
        <v>579</v>
      </c>
      <c r="B580" t="s">
        <v>2366</v>
      </c>
      <c r="C580" t="str">
        <f>_xlfn.XLOOKUP(B580,clean_sales!C:C,clean_sales!Q:Q)</f>
        <v>Lakshit Saha</v>
      </c>
      <c r="D580" t="str">
        <f>_xlfn.XLOOKUP(B580,clean_sales!C:C,clean_sales!R:R)</f>
        <v>Hyderabad</v>
      </c>
      <c r="E580" t="str">
        <f>_xlfn.XLOOKUP(B580,clean_sales!C:C,clean_sales!S:S)</f>
        <v>Telangana</v>
      </c>
    </row>
    <row r="581" spans="1:5" x14ac:dyDescent="0.35">
      <c r="A581">
        <f t="shared" si="9"/>
        <v>580</v>
      </c>
      <c r="B581" t="s">
        <v>2367</v>
      </c>
      <c r="C581" t="str">
        <f>_xlfn.XLOOKUP(B581,clean_sales!C:C,clean_sales!Q:Q)</f>
        <v>Arnav Sastry</v>
      </c>
      <c r="D581" t="str">
        <f>_xlfn.XLOOKUP(B581,clean_sales!C:C,clean_sales!R:R)</f>
        <v>Chennai</v>
      </c>
      <c r="E581" t="str">
        <f>_xlfn.XLOOKUP(B581,clean_sales!C:C,clean_sales!S:S)</f>
        <v>Tamil Nadu</v>
      </c>
    </row>
    <row r="582" spans="1:5" x14ac:dyDescent="0.35">
      <c r="A582">
        <f t="shared" si="9"/>
        <v>581</v>
      </c>
      <c r="B582" t="s">
        <v>2368</v>
      </c>
      <c r="C582" t="str">
        <f>_xlfn.XLOOKUP(B582,clean_sales!C:C,clean_sales!Q:Q)</f>
        <v>Riaan Bhattacharyya</v>
      </c>
      <c r="D582" t="str">
        <f>_xlfn.XLOOKUP(B582,clean_sales!C:C,clean_sales!R:R)</f>
        <v>Mumbai</v>
      </c>
      <c r="E582" t="str">
        <f>_xlfn.XLOOKUP(B582,clean_sales!C:C,clean_sales!S:S)</f>
        <v>Maharashtra</v>
      </c>
    </row>
    <row r="583" spans="1:5" x14ac:dyDescent="0.35">
      <c r="A583">
        <f t="shared" si="9"/>
        <v>582</v>
      </c>
      <c r="B583" t="s">
        <v>2369</v>
      </c>
      <c r="C583" t="str">
        <f>_xlfn.XLOOKUP(B583,clean_sales!C:C,clean_sales!Q:Q)</f>
        <v>Khushi Srinivas</v>
      </c>
      <c r="D583" t="str">
        <f>_xlfn.XLOOKUP(B583,clean_sales!C:C,clean_sales!R:R)</f>
        <v>Pune</v>
      </c>
      <c r="E583" t="str">
        <f>_xlfn.XLOOKUP(B583,clean_sales!C:C,clean_sales!S:S)</f>
        <v>Maharashtra</v>
      </c>
    </row>
    <row r="584" spans="1:5" x14ac:dyDescent="0.35">
      <c r="A584">
        <f t="shared" si="9"/>
        <v>583</v>
      </c>
      <c r="B584" t="s">
        <v>2370</v>
      </c>
      <c r="C584" t="str">
        <f>_xlfn.XLOOKUP(B584,clean_sales!C:C,clean_sales!Q:Q)</f>
        <v>Aarush Tara</v>
      </c>
      <c r="D584" t="str">
        <f>_xlfn.XLOOKUP(B584,clean_sales!C:C,clean_sales!R:R)</f>
        <v>Hyderabad</v>
      </c>
      <c r="E584" t="str">
        <f>_xlfn.XLOOKUP(B584,clean_sales!C:C,clean_sales!S:S)</f>
        <v>Telangana</v>
      </c>
    </row>
    <row r="585" spans="1:5" x14ac:dyDescent="0.35">
      <c r="A585">
        <f t="shared" si="9"/>
        <v>584</v>
      </c>
      <c r="B585" t="s">
        <v>2371</v>
      </c>
      <c r="C585" t="str">
        <f>_xlfn.XLOOKUP(B585,clean_sales!C:C,clean_sales!Q:Q)</f>
        <v>Tejas Sodhi</v>
      </c>
      <c r="D585" t="str">
        <f>_xlfn.XLOOKUP(B585,clean_sales!C:C,clean_sales!R:R)</f>
        <v>Pune</v>
      </c>
      <c r="E585" t="str">
        <f>_xlfn.XLOOKUP(B585,clean_sales!C:C,clean_sales!S:S)</f>
        <v>Maharashtra</v>
      </c>
    </row>
    <row r="586" spans="1:5" x14ac:dyDescent="0.35">
      <c r="A586">
        <f t="shared" si="9"/>
        <v>585</v>
      </c>
      <c r="B586" t="s">
        <v>2372</v>
      </c>
      <c r="C586" t="str">
        <f>_xlfn.XLOOKUP(B586,clean_sales!C:C,clean_sales!Q:Q)</f>
        <v>Madhav Boase</v>
      </c>
      <c r="D586" t="str">
        <f>_xlfn.XLOOKUP(B586,clean_sales!C:C,clean_sales!R:R)</f>
        <v>Mumbai</v>
      </c>
      <c r="E586" t="str">
        <f>_xlfn.XLOOKUP(B586,clean_sales!C:C,clean_sales!S:S)</f>
        <v>Maharashtra</v>
      </c>
    </row>
    <row r="587" spans="1:5" x14ac:dyDescent="0.35">
      <c r="A587">
        <f t="shared" si="9"/>
        <v>586</v>
      </c>
      <c r="B587" t="s">
        <v>2373</v>
      </c>
      <c r="C587" t="str">
        <f>_xlfn.XLOOKUP(B587,clean_sales!C:C,clean_sales!Q:Q)</f>
        <v>Neelofar Tata</v>
      </c>
      <c r="D587" t="str">
        <f>_xlfn.XLOOKUP(B587,clean_sales!C:C,clean_sales!R:R)</f>
        <v>Delhi</v>
      </c>
      <c r="E587" t="str">
        <f>_xlfn.XLOOKUP(B587,clean_sales!C:C,clean_sales!S:S)</f>
        <v>Delhi</v>
      </c>
    </row>
    <row r="588" spans="1:5" x14ac:dyDescent="0.35">
      <c r="A588">
        <f t="shared" si="9"/>
        <v>587</v>
      </c>
      <c r="B588" t="s">
        <v>2374</v>
      </c>
      <c r="C588" t="str">
        <f>_xlfn.XLOOKUP(B588,clean_sales!C:C,clean_sales!Q:Q)</f>
        <v>Tejas Mammen</v>
      </c>
      <c r="D588" t="str">
        <f>_xlfn.XLOOKUP(B588,clean_sales!C:C,clean_sales!R:R)</f>
        <v>Bengaluru</v>
      </c>
      <c r="E588" t="str">
        <f>_xlfn.XLOOKUP(B588,clean_sales!C:C,clean_sales!S:S)</f>
        <v>Karnataka</v>
      </c>
    </row>
    <row r="589" spans="1:5" x14ac:dyDescent="0.35">
      <c r="A589">
        <f t="shared" si="9"/>
        <v>588</v>
      </c>
      <c r="B589" t="s">
        <v>2375</v>
      </c>
      <c r="C589" t="str">
        <f>_xlfn.XLOOKUP(B589,clean_sales!C:C,clean_sales!Q:Q)</f>
        <v>Kavya Bhalla</v>
      </c>
      <c r="D589" t="str">
        <f>_xlfn.XLOOKUP(B589,clean_sales!C:C,clean_sales!R:R)</f>
        <v>Delhi</v>
      </c>
      <c r="E589" t="str">
        <f>_xlfn.XLOOKUP(B589,clean_sales!C:C,clean_sales!S:S)</f>
        <v>Delhi</v>
      </c>
    </row>
    <row r="590" spans="1:5" x14ac:dyDescent="0.35">
      <c r="A590">
        <f t="shared" si="9"/>
        <v>589</v>
      </c>
      <c r="B590" t="s">
        <v>2376</v>
      </c>
      <c r="C590" t="str">
        <f>_xlfn.XLOOKUP(B590,clean_sales!C:C,clean_sales!Q:Q)</f>
        <v>Riya Walla</v>
      </c>
      <c r="D590" t="str">
        <f>_xlfn.XLOOKUP(B590,clean_sales!C:C,clean_sales!R:R)</f>
        <v>Chennai</v>
      </c>
      <c r="E590" t="str">
        <f>_xlfn.XLOOKUP(B590,clean_sales!C:C,clean_sales!S:S)</f>
        <v>Tamil Nadu</v>
      </c>
    </row>
    <row r="591" spans="1:5" x14ac:dyDescent="0.35">
      <c r="A591">
        <f t="shared" si="9"/>
        <v>590</v>
      </c>
      <c r="B591" t="s">
        <v>2377</v>
      </c>
      <c r="C591" t="str">
        <f>_xlfn.XLOOKUP(B591,clean_sales!C:C,clean_sales!Q:Q)</f>
        <v>Yuvraj Tripathi</v>
      </c>
      <c r="D591" t="str">
        <f>_xlfn.XLOOKUP(B591,clean_sales!C:C,clean_sales!R:R)</f>
        <v>Mumbai</v>
      </c>
      <c r="E591" t="str">
        <f>_xlfn.XLOOKUP(B591,clean_sales!C:C,clean_sales!S:S)</f>
        <v>Maharashtra</v>
      </c>
    </row>
    <row r="592" spans="1:5" x14ac:dyDescent="0.35">
      <c r="A592">
        <f t="shared" si="9"/>
        <v>591</v>
      </c>
      <c r="B592" t="s">
        <v>2378</v>
      </c>
      <c r="C592" t="str">
        <f>_xlfn.XLOOKUP(B592,clean_sales!C:C,clean_sales!Q:Q)</f>
        <v>Rati Badami</v>
      </c>
      <c r="D592" t="str">
        <f>_xlfn.XLOOKUP(B592,clean_sales!C:C,clean_sales!R:R)</f>
        <v>Hyderabad</v>
      </c>
      <c r="E592" t="str">
        <f>_xlfn.XLOOKUP(B592,clean_sales!C:C,clean_sales!S:S)</f>
        <v>Telangana</v>
      </c>
    </row>
    <row r="593" spans="1:5" x14ac:dyDescent="0.35">
      <c r="A593">
        <f t="shared" si="9"/>
        <v>592</v>
      </c>
      <c r="B593" t="s">
        <v>2379</v>
      </c>
      <c r="C593" t="str">
        <f>_xlfn.XLOOKUP(B593,clean_sales!C:C,clean_sales!Q:Q)</f>
        <v>Myra Bava</v>
      </c>
      <c r="D593" t="str">
        <f>_xlfn.XLOOKUP(B593,clean_sales!C:C,clean_sales!R:R)</f>
        <v>Mumbai</v>
      </c>
      <c r="E593" t="str">
        <f>_xlfn.XLOOKUP(B593,clean_sales!C:C,clean_sales!S:S)</f>
        <v>Maharashtra</v>
      </c>
    </row>
    <row r="594" spans="1:5" x14ac:dyDescent="0.35">
      <c r="A594">
        <f t="shared" si="9"/>
        <v>593</v>
      </c>
      <c r="B594" t="s">
        <v>2380</v>
      </c>
      <c r="C594" t="str">
        <f>_xlfn.XLOOKUP(B594,clean_sales!C:C,clean_sales!Q:Q)</f>
        <v>Anika Ravi</v>
      </c>
      <c r="D594" t="str">
        <f>_xlfn.XLOOKUP(B594,clean_sales!C:C,clean_sales!R:R)</f>
        <v>Delhi</v>
      </c>
      <c r="E594" t="str">
        <f>_xlfn.XLOOKUP(B594,clean_sales!C:C,clean_sales!S:S)</f>
        <v>Delhi</v>
      </c>
    </row>
    <row r="595" spans="1:5" x14ac:dyDescent="0.35">
      <c r="A595">
        <f t="shared" si="9"/>
        <v>594</v>
      </c>
      <c r="B595" t="s">
        <v>2381</v>
      </c>
      <c r="C595" t="str">
        <f>_xlfn.XLOOKUP(B595,clean_sales!C:C,clean_sales!Q:Q)</f>
        <v>Shamik Kapur</v>
      </c>
      <c r="D595" t="str">
        <f>_xlfn.XLOOKUP(B595,clean_sales!C:C,clean_sales!R:R)</f>
        <v>Bengaluru</v>
      </c>
      <c r="E595" t="str">
        <f>_xlfn.XLOOKUP(B595,clean_sales!C:C,clean_sales!S:S)</f>
        <v>Karnataka</v>
      </c>
    </row>
    <row r="596" spans="1:5" x14ac:dyDescent="0.35">
      <c r="A596">
        <f t="shared" si="9"/>
        <v>595</v>
      </c>
      <c r="B596" t="s">
        <v>2382</v>
      </c>
      <c r="C596" t="str">
        <f>_xlfn.XLOOKUP(B596,clean_sales!C:C,clean_sales!Q:Q)</f>
        <v>Adira Chaudhuri</v>
      </c>
      <c r="D596" t="str">
        <f>_xlfn.XLOOKUP(B596,clean_sales!C:C,clean_sales!R:R)</f>
        <v>Hyderabad</v>
      </c>
      <c r="E596" t="str">
        <f>_xlfn.XLOOKUP(B596,clean_sales!C:C,clean_sales!S:S)</f>
        <v>Telangana</v>
      </c>
    </row>
    <row r="597" spans="1:5" x14ac:dyDescent="0.35">
      <c r="A597">
        <f t="shared" si="9"/>
        <v>596</v>
      </c>
      <c r="B597" t="s">
        <v>2383</v>
      </c>
      <c r="C597" t="str">
        <f>_xlfn.XLOOKUP(B597,clean_sales!C:C,clean_sales!Q:Q)</f>
        <v>Hrishita De</v>
      </c>
      <c r="D597" t="str">
        <f>_xlfn.XLOOKUP(B597,clean_sales!C:C,clean_sales!R:R)</f>
        <v>Pune</v>
      </c>
      <c r="E597" t="str">
        <f>_xlfn.XLOOKUP(B597,clean_sales!C:C,clean_sales!S:S)</f>
        <v>Maharashtra</v>
      </c>
    </row>
    <row r="598" spans="1:5" x14ac:dyDescent="0.35">
      <c r="A598">
        <f t="shared" si="9"/>
        <v>597</v>
      </c>
      <c r="B598" t="s">
        <v>2384</v>
      </c>
      <c r="C598" t="str">
        <f>_xlfn.XLOOKUP(B598,clean_sales!C:C,clean_sales!Q:Q)</f>
        <v>Drishya Sheth</v>
      </c>
      <c r="D598" t="str">
        <f>_xlfn.XLOOKUP(B598,clean_sales!C:C,clean_sales!R:R)</f>
        <v>Hyderabad</v>
      </c>
      <c r="E598" t="str">
        <f>_xlfn.XLOOKUP(B598,clean_sales!C:C,clean_sales!S:S)</f>
        <v>Telangana</v>
      </c>
    </row>
    <row r="599" spans="1:5" x14ac:dyDescent="0.35">
      <c r="A599">
        <f t="shared" si="9"/>
        <v>598</v>
      </c>
      <c r="B599" t="s">
        <v>2385</v>
      </c>
      <c r="C599" t="str">
        <f>_xlfn.XLOOKUP(B599,clean_sales!C:C,clean_sales!Q:Q)</f>
        <v>Romil Sachdeva</v>
      </c>
      <c r="D599" t="str">
        <f>_xlfn.XLOOKUP(B599,clean_sales!C:C,clean_sales!R:R)</f>
        <v>Delhi</v>
      </c>
      <c r="E599" t="str">
        <f>_xlfn.XLOOKUP(B599,clean_sales!C:C,clean_sales!S:S)</f>
        <v>Delhi</v>
      </c>
    </row>
    <row r="600" spans="1:5" x14ac:dyDescent="0.35">
      <c r="A600">
        <f t="shared" si="9"/>
        <v>599</v>
      </c>
      <c r="B600" t="s">
        <v>2386</v>
      </c>
      <c r="C600" t="str">
        <f>_xlfn.XLOOKUP(B600,clean_sales!C:C,clean_sales!Q:Q)</f>
        <v>Misha Rout</v>
      </c>
      <c r="D600" t="str">
        <f>_xlfn.XLOOKUP(B600,clean_sales!C:C,clean_sales!R:R)</f>
        <v>Pune</v>
      </c>
      <c r="E600" t="str">
        <f>_xlfn.XLOOKUP(B600,clean_sales!C:C,clean_sales!S:S)</f>
        <v>Maharashtra</v>
      </c>
    </row>
    <row r="601" spans="1:5" x14ac:dyDescent="0.35">
      <c r="A601">
        <f t="shared" si="9"/>
        <v>600</v>
      </c>
      <c r="B601" t="s">
        <v>2387</v>
      </c>
      <c r="C601" t="str">
        <f>_xlfn.XLOOKUP(B601,clean_sales!C:C,clean_sales!Q:Q)</f>
        <v>Biju Sinha</v>
      </c>
      <c r="D601" t="str">
        <f>_xlfn.XLOOKUP(B601,clean_sales!C:C,clean_sales!R:R)</f>
        <v>Pune</v>
      </c>
      <c r="E601" t="str">
        <f>_xlfn.XLOOKUP(B601,clean_sales!C:C,clean_sales!S:S)</f>
        <v>Maharashtra</v>
      </c>
    </row>
    <row r="602" spans="1:5" x14ac:dyDescent="0.35">
      <c r="A602">
        <f t="shared" si="9"/>
        <v>601</v>
      </c>
      <c r="B602" t="s">
        <v>2388</v>
      </c>
      <c r="C602" t="str">
        <f>_xlfn.XLOOKUP(B602,clean_sales!C:C,clean_sales!Q:Q)</f>
        <v>Kimaya Ganesh</v>
      </c>
      <c r="D602" t="str">
        <f>_xlfn.XLOOKUP(B602,clean_sales!C:C,clean_sales!R:R)</f>
        <v>Chennai</v>
      </c>
      <c r="E602" t="str">
        <f>_xlfn.XLOOKUP(B602,clean_sales!C:C,clean_sales!S:S)</f>
        <v>Tamil Nadu</v>
      </c>
    </row>
    <row r="603" spans="1:5" x14ac:dyDescent="0.35">
      <c r="A603">
        <f t="shared" si="9"/>
        <v>602</v>
      </c>
      <c r="B603" t="s">
        <v>2389</v>
      </c>
      <c r="C603" t="str">
        <f>_xlfn.XLOOKUP(B603,clean_sales!C:C,clean_sales!Q:Q)</f>
        <v>Dishani Rajagopalan</v>
      </c>
      <c r="D603" t="str">
        <f>_xlfn.XLOOKUP(B603,clean_sales!C:C,clean_sales!R:R)</f>
        <v>Hyderabad</v>
      </c>
      <c r="E603" t="str">
        <f>_xlfn.XLOOKUP(B603,clean_sales!C:C,clean_sales!S:S)</f>
        <v>Telangana</v>
      </c>
    </row>
    <row r="604" spans="1:5" x14ac:dyDescent="0.35">
      <c r="A604">
        <f t="shared" si="9"/>
        <v>603</v>
      </c>
      <c r="B604" t="s">
        <v>2390</v>
      </c>
      <c r="C604" t="str">
        <f>_xlfn.XLOOKUP(B604,clean_sales!C:C,clean_sales!Q:Q)</f>
        <v>Mishti Kannan</v>
      </c>
      <c r="D604" t="str">
        <f>_xlfn.XLOOKUP(B604,clean_sales!C:C,clean_sales!R:R)</f>
        <v>Bengaluru</v>
      </c>
      <c r="E604" t="str">
        <f>_xlfn.XLOOKUP(B604,clean_sales!C:C,clean_sales!S:S)</f>
        <v>Karnataka</v>
      </c>
    </row>
    <row r="605" spans="1:5" x14ac:dyDescent="0.35">
      <c r="A605">
        <f t="shared" si="9"/>
        <v>604</v>
      </c>
      <c r="B605" t="s">
        <v>2391</v>
      </c>
      <c r="C605" t="str">
        <f>_xlfn.XLOOKUP(B605,clean_sales!C:C,clean_sales!Q:Q)</f>
        <v>Sana Taneja</v>
      </c>
      <c r="D605" t="str">
        <f>_xlfn.XLOOKUP(B605,clean_sales!C:C,clean_sales!R:R)</f>
        <v>Delhi</v>
      </c>
      <c r="E605" t="str">
        <f>_xlfn.XLOOKUP(B605,clean_sales!C:C,clean_sales!S:S)</f>
        <v>Delhi</v>
      </c>
    </row>
    <row r="606" spans="1:5" x14ac:dyDescent="0.35">
      <c r="A606">
        <f t="shared" si="9"/>
        <v>605</v>
      </c>
      <c r="B606" t="s">
        <v>2392</v>
      </c>
      <c r="C606" t="str">
        <f>_xlfn.XLOOKUP(B606,clean_sales!C:C,clean_sales!Q:Q)</f>
        <v>Mahika Manne</v>
      </c>
      <c r="D606" t="str">
        <f>_xlfn.XLOOKUP(B606,clean_sales!C:C,clean_sales!R:R)</f>
        <v>Hyderabad</v>
      </c>
      <c r="E606" t="str">
        <f>_xlfn.XLOOKUP(B606,clean_sales!C:C,clean_sales!S:S)</f>
        <v>Telangana</v>
      </c>
    </row>
    <row r="607" spans="1:5" x14ac:dyDescent="0.35">
      <c r="A607">
        <f t="shared" si="9"/>
        <v>606</v>
      </c>
      <c r="B607" t="s">
        <v>2393</v>
      </c>
      <c r="C607" t="str">
        <f>_xlfn.XLOOKUP(B607,clean_sales!C:C,clean_sales!Q:Q)</f>
        <v>Fateh Sehgal</v>
      </c>
      <c r="D607" t="str">
        <f>_xlfn.XLOOKUP(B607,clean_sales!C:C,clean_sales!R:R)</f>
        <v>Pune</v>
      </c>
      <c r="E607" t="str">
        <f>_xlfn.XLOOKUP(B607,clean_sales!C:C,clean_sales!S:S)</f>
        <v>Maharashtra</v>
      </c>
    </row>
    <row r="608" spans="1:5" x14ac:dyDescent="0.35">
      <c r="A608">
        <f t="shared" si="9"/>
        <v>607</v>
      </c>
      <c r="B608" t="s">
        <v>2394</v>
      </c>
      <c r="C608" t="str">
        <f>_xlfn.XLOOKUP(B608,clean_sales!C:C,clean_sales!Q:Q)</f>
        <v>Ranbir Chatterjee</v>
      </c>
      <c r="D608" t="str">
        <f>_xlfn.XLOOKUP(B608,clean_sales!C:C,clean_sales!R:R)</f>
        <v>Chennai</v>
      </c>
      <c r="E608" t="str">
        <f>_xlfn.XLOOKUP(B608,clean_sales!C:C,clean_sales!S:S)</f>
        <v>Tamil Nadu</v>
      </c>
    </row>
    <row r="609" spans="1:5" x14ac:dyDescent="0.35">
      <c r="A609">
        <f t="shared" si="9"/>
        <v>608</v>
      </c>
      <c r="B609" t="s">
        <v>2395</v>
      </c>
      <c r="C609" t="str">
        <f>_xlfn.XLOOKUP(B609,clean_sales!C:C,clean_sales!Q:Q)</f>
        <v>Darshit Jha</v>
      </c>
      <c r="D609" t="str">
        <f>_xlfn.XLOOKUP(B609,clean_sales!C:C,clean_sales!R:R)</f>
        <v>Kolkata</v>
      </c>
      <c r="E609" t="str">
        <f>_xlfn.XLOOKUP(B609,clean_sales!C:C,clean_sales!S:S)</f>
        <v>West Bengal</v>
      </c>
    </row>
    <row r="610" spans="1:5" x14ac:dyDescent="0.35">
      <c r="A610">
        <f t="shared" si="9"/>
        <v>609</v>
      </c>
      <c r="B610" t="s">
        <v>2396</v>
      </c>
      <c r="C610" t="str">
        <f>_xlfn.XLOOKUP(B610,clean_sales!C:C,clean_sales!Q:Q)</f>
        <v>Vivaan Tata</v>
      </c>
      <c r="D610" t="str">
        <f>_xlfn.XLOOKUP(B610,clean_sales!C:C,clean_sales!R:R)</f>
        <v>Chennai</v>
      </c>
      <c r="E610" t="str">
        <f>_xlfn.XLOOKUP(B610,clean_sales!C:C,clean_sales!S:S)</f>
        <v>Tamil Nadu</v>
      </c>
    </row>
    <row r="611" spans="1:5" x14ac:dyDescent="0.35">
      <c r="A611">
        <f t="shared" si="9"/>
        <v>610</v>
      </c>
      <c r="B611" t="s">
        <v>2397</v>
      </c>
      <c r="C611" t="str">
        <f>_xlfn.XLOOKUP(B611,clean_sales!C:C,clean_sales!Q:Q)</f>
        <v>Zeeshan Raja</v>
      </c>
      <c r="D611" t="str">
        <f>_xlfn.XLOOKUP(B611,clean_sales!C:C,clean_sales!R:R)</f>
        <v>Hyderabad</v>
      </c>
      <c r="E611" t="str">
        <f>_xlfn.XLOOKUP(B611,clean_sales!C:C,clean_sales!S:S)</f>
        <v>Telangana</v>
      </c>
    </row>
    <row r="612" spans="1:5" x14ac:dyDescent="0.35">
      <c r="A612">
        <f t="shared" si="9"/>
        <v>611</v>
      </c>
      <c r="B612" t="s">
        <v>2398</v>
      </c>
      <c r="C612" t="str">
        <f>_xlfn.XLOOKUP(B612,clean_sales!C:C,clean_sales!Q:Q)</f>
        <v>Vaibhav Konda</v>
      </c>
      <c r="D612" t="str">
        <f>_xlfn.XLOOKUP(B612,clean_sales!C:C,clean_sales!R:R)</f>
        <v>Kolkata</v>
      </c>
      <c r="E612" t="str">
        <f>_xlfn.XLOOKUP(B612,clean_sales!C:C,clean_sales!S:S)</f>
        <v>West Bengal</v>
      </c>
    </row>
    <row r="613" spans="1:5" x14ac:dyDescent="0.35">
      <c r="A613">
        <f t="shared" si="9"/>
        <v>612</v>
      </c>
      <c r="B613" t="s">
        <v>2399</v>
      </c>
      <c r="C613" t="str">
        <f>_xlfn.XLOOKUP(B613,clean_sales!C:C,clean_sales!Q:Q)</f>
        <v>Arnav Yogi</v>
      </c>
      <c r="D613" t="str">
        <f>_xlfn.XLOOKUP(B613,clean_sales!C:C,clean_sales!R:R)</f>
        <v>Pune</v>
      </c>
      <c r="E613" t="str">
        <f>_xlfn.XLOOKUP(B613,clean_sales!C:C,clean_sales!S:S)</f>
        <v>Maharashtra</v>
      </c>
    </row>
    <row r="614" spans="1:5" x14ac:dyDescent="0.35">
      <c r="A614">
        <f t="shared" si="9"/>
        <v>613</v>
      </c>
      <c r="B614" t="s">
        <v>2400</v>
      </c>
      <c r="C614" t="str">
        <f>_xlfn.XLOOKUP(B614,clean_sales!C:C,clean_sales!Q:Q)</f>
        <v>Sumer Garde</v>
      </c>
      <c r="D614" t="str">
        <f>_xlfn.XLOOKUP(B614,clean_sales!C:C,clean_sales!R:R)</f>
        <v>Bengaluru</v>
      </c>
      <c r="E614" t="str">
        <f>_xlfn.XLOOKUP(B614,clean_sales!C:C,clean_sales!S:S)</f>
        <v>Karnataka</v>
      </c>
    </row>
    <row r="615" spans="1:5" x14ac:dyDescent="0.35">
      <c r="A615">
        <f t="shared" si="9"/>
        <v>614</v>
      </c>
      <c r="B615" t="s">
        <v>2401</v>
      </c>
      <c r="C615" t="str">
        <f>_xlfn.XLOOKUP(B615,clean_sales!C:C,clean_sales!Q:Q)</f>
        <v>Hridaan Sarna</v>
      </c>
      <c r="D615" t="str">
        <f>_xlfn.XLOOKUP(B615,clean_sales!C:C,clean_sales!R:R)</f>
        <v>Pune</v>
      </c>
      <c r="E615" t="str">
        <f>_xlfn.XLOOKUP(B615,clean_sales!C:C,clean_sales!S:S)</f>
        <v>Maharashtra</v>
      </c>
    </row>
    <row r="616" spans="1:5" x14ac:dyDescent="0.35">
      <c r="A616">
        <f t="shared" si="9"/>
        <v>615</v>
      </c>
      <c r="B616" t="s">
        <v>2402</v>
      </c>
      <c r="C616" t="str">
        <f>_xlfn.XLOOKUP(B616,clean_sales!C:C,clean_sales!Q:Q)</f>
        <v>Hazel Dhaliwal</v>
      </c>
      <c r="D616" t="str">
        <f>_xlfn.XLOOKUP(B616,clean_sales!C:C,clean_sales!R:R)</f>
        <v>Mumbai</v>
      </c>
      <c r="E616" t="str">
        <f>_xlfn.XLOOKUP(B616,clean_sales!C:C,clean_sales!S:S)</f>
        <v>Maharashtra</v>
      </c>
    </row>
    <row r="617" spans="1:5" x14ac:dyDescent="0.35">
      <c r="A617">
        <f t="shared" si="9"/>
        <v>616</v>
      </c>
      <c r="B617" t="s">
        <v>2403</v>
      </c>
      <c r="C617" t="str">
        <f>_xlfn.XLOOKUP(B617,clean_sales!C:C,clean_sales!Q:Q)</f>
        <v>Parinaaz Bhalla</v>
      </c>
      <c r="D617" t="str">
        <f>_xlfn.XLOOKUP(B617,clean_sales!C:C,clean_sales!R:R)</f>
        <v>Hyderabad</v>
      </c>
      <c r="E617" t="str">
        <f>_xlfn.XLOOKUP(B617,clean_sales!C:C,clean_sales!S:S)</f>
        <v>Telangana</v>
      </c>
    </row>
    <row r="618" spans="1:5" x14ac:dyDescent="0.35">
      <c r="A618">
        <f t="shared" si="9"/>
        <v>617</v>
      </c>
      <c r="B618" t="s">
        <v>2404</v>
      </c>
      <c r="C618" t="str">
        <f>_xlfn.XLOOKUP(B618,clean_sales!C:C,clean_sales!Q:Q)</f>
        <v>Yakshit Sastry</v>
      </c>
      <c r="D618" t="str">
        <f>_xlfn.XLOOKUP(B618,clean_sales!C:C,clean_sales!R:R)</f>
        <v>Hyderabad</v>
      </c>
      <c r="E618" t="str">
        <f>_xlfn.XLOOKUP(B618,clean_sales!C:C,clean_sales!S:S)</f>
        <v>Telangana</v>
      </c>
    </row>
    <row r="619" spans="1:5" x14ac:dyDescent="0.35">
      <c r="A619">
        <f t="shared" si="9"/>
        <v>618</v>
      </c>
      <c r="B619" t="s">
        <v>2405</v>
      </c>
      <c r="C619" t="str">
        <f>_xlfn.XLOOKUP(B619,clean_sales!C:C,clean_sales!Q:Q)</f>
        <v>Vivaan Chadha</v>
      </c>
      <c r="D619" t="str">
        <f>_xlfn.XLOOKUP(B619,clean_sales!C:C,clean_sales!R:R)</f>
        <v>Bengaluru</v>
      </c>
      <c r="E619" t="str">
        <f>_xlfn.XLOOKUP(B619,clean_sales!C:C,clean_sales!S:S)</f>
        <v>Karnataka</v>
      </c>
    </row>
    <row r="620" spans="1:5" x14ac:dyDescent="0.35">
      <c r="A620">
        <f t="shared" si="9"/>
        <v>619</v>
      </c>
      <c r="B620" t="s">
        <v>2406</v>
      </c>
      <c r="C620" t="str">
        <f>_xlfn.XLOOKUP(B620,clean_sales!C:C,clean_sales!Q:Q)</f>
        <v>Prisha Mangal</v>
      </c>
      <c r="D620" t="str">
        <f>_xlfn.XLOOKUP(B620,clean_sales!C:C,clean_sales!R:R)</f>
        <v>Mumbai</v>
      </c>
      <c r="E620" t="str">
        <f>_xlfn.XLOOKUP(B620,clean_sales!C:C,clean_sales!S:S)</f>
        <v>Maharashtra</v>
      </c>
    </row>
    <row r="621" spans="1:5" x14ac:dyDescent="0.35">
      <c r="A621">
        <f t="shared" si="9"/>
        <v>620</v>
      </c>
      <c r="B621" t="s">
        <v>2407</v>
      </c>
      <c r="C621" t="str">
        <f>_xlfn.XLOOKUP(B621,clean_sales!C:C,clean_sales!Q:Q)</f>
        <v>Jayant Ganguly</v>
      </c>
      <c r="D621" t="str">
        <f>_xlfn.XLOOKUP(B621,clean_sales!C:C,clean_sales!R:R)</f>
        <v>Kolkata</v>
      </c>
      <c r="E621" t="str">
        <f>_xlfn.XLOOKUP(B621,clean_sales!C:C,clean_sales!S:S)</f>
        <v>West Bengal</v>
      </c>
    </row>
    <row r="622" spans="1:5" x14ac:dyDescent="0.35">
      <c r="A622">
        <f t="shared" si="9"/>
        <v>621</v>
      </c>
      <c r="B622" t="s">
        <v>2408</v>
      </c>
      <c r="C622" t="str">
        <f>_xlfn.XLOOKUP(B622,clean_sales!C:C,clean_sales!Q:Q)</f>
        <v>Jivin Amble</v>
      </c>
      <c r="D622" t="str">
        <f>_xlfn.XLOOKUP(B622,clean_sales!C:C,clean_sales!R:R)</f>
        <v>Pune</v>
      </c>
      <c r="E622" t="str">
        <f>_xlfn.XLOOKUP(B622,clean_sales!C:C,clean_sales!S:S)</f>
        <v>Maharashtra</v>
      </c>
    </row>
    <row r="623" spans="1:5" x14ac:dyDescent="0.35">
      <c r="A623">
        <f t="shared" si="9"/>
        <v>622</v>
      </c>
      <c r="B623" t="s">
        <v>2409</v>
      </c>
      <c r="C623" t="str">
        <f>_xlfn.XLOOKUP(B623,clean_sales!C:C,clean_sales!Q:Q)</f>
        <v>Samar Varkey</v>
      </c>
      <c r="D623" t="str">
        <f>_xlfn.XLOOKUP(B623,clean_sales!C:C,clean_sales!R:R)</f>
        <v>Kolkata</v>
      </c>
      <c r="E623" t="str">
        <f>_xlfn.XLOOKUP(B623,clean_sales!C:C,clean_sales!S:S)</f>
        <v>West Bengal</v>
      </c>
    </row>
    <row r="624" spans="1:5" x14ac:dyDescent="0.35">
      <c r="A624">
        <f t="shared" si="9"/>
        <v>623</v>
      </c>
      <c r="B624" t="s">
        <v>2410</v>
      </c>
      <c r="C624" t="str">
        <f>_xlfn.XLOOKUP(B624,clean_sales!C:C,clean_sales!Q:Q)</f>
        <v>Shanaya Kothari</v>
      </c>
      <c r="D624" t="str">
        <f>_xlfn.XLOOKUP(B624,clean_sales!C:C,clean_sales!R:R)</f>
        <v>Mumbai</v>
      </c>
      <c r="E624" t="str">
        <f>_xlfn.XLOOKUP(B624,clean_sales!C:C,clean_sales!S:S)</f>
        <v>Maharashtra</v>
      </c>
    </row>
    <row r="625" spans="1:5" x14ac:dyDescent="0.35">
      <c r="A625">
        <f t="shared" si="9"/>
        <v>624</v>
      </c>
      <c r="B625" t="s">
        <v>2411</v>
      </c>
      <c r="C625" t="str">
        <f>_xlfn.XLOOKUP(B625,clean_sales!C:C,clean_sales!Q:Q)</f>
        <v>Shayak Sani</v>
      </c>
      <c r="D625" t="str">
        <f>_xlfn.XLOOKUP(B625,clean_sales!C:C,clean_sales!R:R)</f>
        <v>Pune</v>
      </c>
      <c r="E625" t="str">
        <f>_xlfn.XLOOKUP(B625,clean_sales!C:C,clean_sales!S:S)</f>
        <v>Maharashtra</v>
      </c>
    </row>
    <row r="626" spans="1:5" x14ac:dyDescent="0.35">
      <c r="A626">
        <f t="shared" si="9"/>
        <v>625</v>
      </c>
      <c r="B626" t="s">
        <v>2412</v>
      </c>
      <c r="C626" t="str">
        <f>_xlfn.XLOOKUP(B626,clean_sales!C:C,clean_sales!Q:Q)</f>
        <v>Fateh Kohli</v>
      </c>
      <c r="D626" t="str">
        <f>_xlfn.XLOOKUP(B626,clean_sales!C:C,clean_sales!R:R)</f>
        <v>Kolkata</v>
      </c>
      <c r="E626" t="str">
        <f>_xlfn.XLOOKUP(B626,clean_sales!C:C,clean_sales!S:S)</f>
        <v>West Bengal</v>
      </c>
    </row>
    <row r="627" spans="1:5" x14ac:dyDescent="0.35">
      <c r="A627">
        <f t="shared" si="9"/>
        <v>626</v>
      </c>
      <c r="B627" t="s">
        <v>2413</v>
      </c>
      <c r="C627" t="str">
        <f>_xlfn.XLOOKUP(B627,clean_sales!C:C,clean_sales!Q:Q)</f>
        <v>Sana Buch</v>
      </c>
      <c r="D627" t="str">
        <f>_xlfn.XLOOKUP(B627,clean_sales!C:C,clean_sales!R:R)</f>
        <v>Delhi</v>
      </c>
      <c r="E627" t="str">
        <f>_xlfn.XLOOKUP(B627,clean_sales!C:C,clean_sales!S:S)</f>
        <v>Delhi</v>
      </c>
    </row>
    <row r="628" spans="1:5" x14ac:dyDescent="0.35">
      <c r="A628">
        <f t="shared" si="9"/>
        <v>627</v>
      </c>
      <c r="B628" t="s">
        <v>2414</v>
      </c>
      <c r="C628" t="str">
        <f>_xlfn.XLOOKUP(B628,clean_sales!C:C,clean_sales!Q:Q)</f>
        <v>Reyansh D’Alia</v>
      </c>
      <c r="D628" t="str">
        <f>_xlfn.XLOOKUP(B628,clean_sales!C:C,clean_sales!R:R)</f>
        <v>Bengaluru</v>
      </c>
      <c r="E628" t="str">
        <f>_xlfn.XLOOKUP(B628,clean_sales!C:C,clean_sales!S:S)</f>
        <v>Karnataka</v>
      </c>
    </row>
    <row r="629" spans="1:5" x14ac:dyDescent="0.35">
      <c r="A629">
        <f t="shared" si="9"/>
        <v>628</v>
      </c>
      <c r="B629" t="s">
        <v>2415</v>
      </c>
      <c r="C629" t="str">
        <f>_xlfn.XLOOKUP(B629,clean_sales!C:C,clean_sales!Q:Q)</f>
        <v>Prerak Kaur</v>
      </c>
      <c r="D629" t="str">
        <f>_xlfn.XLOOKUP(B629,clean_sales!C:C,clean_sales!R:R)</f>
        <v>Pune</v>
      </c>
      <c r="E629" t="str">
        <f>_xlfn.XLOOKUP(B629,clean_sales!C:C,clean_sales!S:S)</f>
        <v>Maharashtra</v>
      </c>
    </row>
    <row r="630" spans="1:5" x14ac:dyDescent="0.35">
      <c r="A630">
        <f t="shared" si="9"/>
        <v>629</v>
      </c>
      <c r="B630" t="s">
        <v>2416</v>
      </c>
      <c r="C630" t="str">
        <f>_xlfn.XLOOKUP(B630,clean_sales!C:C,clean_sales!Q:Q)</f>
        <v>Pari Dyal</v>
      </c>
      <c r="D630" t="str">
        <f>_xlfn.XLOOKUP(B630,clean_sales!C:C,clean_sales!R:R)</f>
        <v>Hyderabad</v>
      </c>
      <c r="E630" t="str">
        <f>_xlfn.XLOOKUP(B630,clean_sales!C:C,clean_sales!S:S)</f>
        <v>Telangana</v>
      </c>
    </row>
    <row r="631" spans="1:5" x14ac:dyDescent="0.35">
      <c r="A631">
        <f t="shared" si="9"/>
        <v>630</v>
      </c>
      <c r="B631" t="s">
        <v>2417</v>
      </c>
      <c r="C631" t="str">
        <f>_xlfn.XLOOKUP(B631,clean_sales!C:C,clean_sales!Q:Q)</f>
        <v>Armaan Dhaliwal</v>
      </c>
      <c r="D631" t="str">
        <f>_xlfn.XLOOKUP(B631,clean_sales!C:C,clean_sales!R:R)</f>
        <v>Chennai</v>
      </c>
      <c r="E631" t="str">
        <f>_xlfn.XLOOKUP(B631,clean_sales!C:C,clean_sales!S:S)</f>
        <v>Tamil Nadu</v>
      </c>
    </row>
    <row r="632" spans="1:5" x14ac:dyDescent="0.35">
      <c r="A632">
        <f t="shared" si="9"/>
        <v>631</v>
      </c>
      <c r="B632" t="s">
        <v>2418</v>
      </c>
      <c r="C632" t="str">
        <f>_xlfn.XLOOKUP(B632,clean_sales!C:C,clean_sales!Q:Q)</f>
        <v>Sahil Tripathi</v>
      </c>
      <c r="D632" t="str">
        <f>_xlfn.XLOOKUP(B632,clean_sales!C:C,clean_sales!R:R)</f>
        <v>Chennai</v>
      </c>
      <c r="E632" t="str">
        <f>_xlfn.XLOOKUP(B632,clean_sales!C:C,clean_sales!S:S)</f>
        <v>Tamil Nadu</v>
      </c>
    </row>
    <row r="633" spans="1:5" x14ac:dyDescent="0.35">
      <c r="A633">
        <f t="shared" si="9"/>
        <v>632</v>
      </c>
      <c r="B633" t="s">
        <v>2419</v>
      </c>
      <c r="C633" t="str">
        <f>_xlfn.XLOOKUP(B633,clean_sales!C:C,clean_sales!Q:Q)</f>
        <v>Drishya Samra</v>
      </c>
      <c r="D633" t="str">
        <f>_xlfn.XLOOKUP(B633,clean_sales!C:C,clean_sales!R:R)</f>
        <v>Mumbai</v>
      </c>
      <c r="E633" t="str">
        <f>_xlfn.XLOOKUP(B633,clean_sales!C:C,clean_sales!S:S)</f>
        <v>Maharashtra</v>
      </c>
    </row>
    <row r="634" spans="1:5" x14ac:dyDescent="0.35">
      <c r="A634">
        <f t="shared" si="9"/>
        <v>633</v>
      </c>
      <c r="B634" t="s">
        <v>2420</v>
      </c>
      <c r="C634" t="str">
        <f>_xlfn.XLOOKUP(B634,clean_sales!C:C,clean_sales!Q:Q)</f>
        <v>Suhana Dugar</v>
      </c>
      <c r="D634" t="str">
        <f>_xlfn.XLOOKUP(B634,clean_sales!C:C,clean_sales!R:R)</f>
        <v>Hyderabad</v>
      </c>
      <c r="E634" t="str">
        <f>_xlfn.XLOOKUP(B634,clean_sales!C:C,clean_sales!S:S)</f>
        <v>Telangana</v>
      </c>
    </row>
    <row r="635" spans="1:5" x14ac:dyDescent="0.35">
      <c r="A635">
        <f t="shared" si="9"/>
        <v>634</v>
      </c>
      <c r="B635" t="s">
        <v>2421</v>
      </c>
      <c r="C635" t="str">
        <f>_xlfn.XLOOKUP(B635,clean_sales!C:C,clean_sales!Q:Q)</f>
        <v>Umang Sarraf</v>
      </c>
      <c r="D635" t="str">
        <f>_xlfn.XLOOKUP(B635,clean_sales!C:C,clean_sales!R:R)</f>
        <v>Hyderabad</v>
      </c>
      <c r="E635" t="str">
        <f>_xlfn.XLOOKUP(B635,clean_sales!C:C,clean_sales!S:S)</f>
        <v>Telangana</v>
      </c>
    </row>
    <row r="636" spans="1:5" x14ac:dyDescent="0.35">
      <c r="A636">
        <f t="shared" si="9"/>
        <v>635</v>
      </c>
      <c r="B636" t="s">
        <v>2422</v>
      </c>
      <c r="C636" t="str">
        <f>_xlfn.XLOOKUP(B636,clean_sales!C:C,clean_sales!Q:Q)</f>
        <v>Piya Sem</v>
      </c>
      <c r="D636" t="str">
        <f>_xlfn.XLOOKUP(B636,clean_sales!C:C,clean_sales!R:R)</f>
        <v>Chennai</v>
      </c>
      <c r="E636" t="str">
        <f>_xlfn.XLOOKUP(B636,clean_sales!C:C,clean_sales!S:S)</f>
        <v>Tamil Nadu</v>
      </c>
    </row>
    <row r="637" spans="1:5" x14ac:dyDescent="0.35">
      <c r="A637">
        <f t="shared" si="9"/>
        <v>636</v>
      </c>
      <c r="B637" t="s">
        <v>2423</v>
      </c>
      <c r="C637" t="str">
        <f>_xlfn.XLOOKUP(B637,clean_sales!C:C,clean_sales!Q:Q)</f>
        <v>Taran Wali</v>
      </c>
      <c r="D637" t="str">
        <f>_xlfn.XLOOKUP(B637,clean_sales!C:C,clean_sales!R:R)</f>
        <v>Chennai</v>
      </c>
      <c r="E637" t="str">
        <f>_xlfn.XLOOKUP(B637,clean_sales!C:C,clean_sales!S:S)</f>
        <v>Tamil Nadu</v>
      </c>
    </row>
    <row r="638" spans="1:5" x14ac:dyDescent="0.35">
      <c r="A638">
        <f t="shared" si="9"/>
        <v>637</v>
      </c>
      <c r="B638" t="s">
        <v>2424</v>
      </c>
      <c r="C638" t="str">
        <f>_xlfn.XLOOKUP(B638,clean_sales!C:C,clean_sales!Q:Q)</f>
        <v>Eshani Shukla</v>
      </c>
      <c r="D638" t="str">
        <f>_xlfn.XLOOKUP(B638,clean_sales!C:C,clean_sales!R:R)</f>
        <v>Bengaluru</v>
      </c>
      <c r="E638" t="str">
        <f>_xlfn.XLOOKUP(B638,clean_sales!C:C,clean_sales!S:S)</f>
        <v>Karnataka</v>
      </c>
    </row>
    <row r="639" spans="1:5" x14ac:dyDescent="0.35">
      <c r="A639">
        <f t="shared" si="9"/>
        <v>638</v>
      </c>
      <c r="B639" t="s">
        <v>2425</v>
      </c>
      <c r="C639" t="str">
        <f>_xlfn.XLOOKUP(B639,clean_sales!C:C,clean_sales!Q:Q)</f>
        <v>Rohan Iyengar</v>
      </c>
      <c r="D639" t="str">
        <f>_xlfn.XLOOKUP(B639,clean_sales!C:C,clean_sales!R:R)</f>
        <v>Chennai</v>
      </c>
      <c r="E639" t="str">
        <f>_xlfn.XLOOKUP(B639,clean_sales!C:C,clean_sales!S:S)</f>
        <v>Tamil Nadu</v>
      </c>
    </row>
    <row r="640" spans="1:5" x14ac:dyDescent="0.35">
      <c r="A640">
        <f t="shared" si="9"/>
        <v>639</v>
      </c>
      <c r="B640" t="s">
        <v>2426</v>
      </c>
      <c r="C640" t="str">
        <f>_xlfn.XLOOKUP(B640,clean_sales!C:C,clean_sales!Q:Q)</f>
        <v>Arhaan Saran</v>
      </c>
      <c r="D640" t="str">
        <f>_xlfn.XLOOKUP(B640,clean_sales!C:C,clean_sales!R:R)</f>
        <v>Chennai</v>
      </c>
      <c r="E640" t="str">
        <f>_xlfn.XLOOKUP(B640,clean_sales!C:C,clean_sales!S:S)</f>
        <v>Tamil Nadu</v>
      </c>
    </row>
    <row r="641" spans="1:5" x14ac:dyDescent="0.35">
      <c r="A641">
        <f t="shared" si="9"/>
        <v>640</v>
      </c>
      <c r="B641" t="s">
        <v>2427</v>
      </c>
      <c r="C641" t="str">
        <f>_xlfn.XLOOKUP(B641,clean_sales!C:C,clean_sales!Q:Q)</f>
        <v>Bhavin Ramakrishnan</v>
      </c>
      <c r="D641" t="str">
        <f>_xlfn.XLOOKUP(B641,clean_sales!C:C,clean_sales!R:R)</f>
        <v>Delhi</v>
      </c>
      <c r="E641" t="str">
        <f>_xlfn.XLOOKUP(B641,clean_sales!C:C,clean_sales!S:S)</f>
        <v>Delhi</v>
      </c>
    </row>
    <row r="642" spans="1:5" x14ac:dyDescent="0.35">
      <c r="A642">
        <f t="shared" si="9"/>
        <v>641</v>
      </c>
      <c r="B642" t="s">
        <v>2428</v>
      </c>
      <c r="C642" t="str">
        <f>_xlfn.XLOOKUP(B642,clean_sales!C:C,clean_sales!Q:Q)</f>
        <v>Shanaya Kadakia</v>
      </c>
      <c r="D642" t="str">
        <f>_xlfn.XLOOKUP(B642,clean_sales!C:C,clean_sales!R:R)</f>
        <v>Mumbai</v>
      </c>
      <c r="E642" t="str">
        <f>_xlfn.XLOOKUP(B642,clean_sales!C:C,clean_sales!S:S)</f>
        <v>Maharashtra</v>
      </c>
    </row>
    <row r="643" spans="1:5" x14ac:dyDescent="0.35">
      <c r="A643">
        <f t="shared" ref="A643:A696" si="10">ROW()-1</f>
        <v>642</v>
      </c>
      <c r="B643" t="s">
        <v>2429</v>
      </c>
      <c r="C643" t="str">
        <f>_xlfn.XLOOKUP(B643,clean_sales!C:C,clean_sales!Q:Q)</f>
        <v>Piya Agrawal</v>
      </c>
      <c r="D643" t="str">
        <f>_xlfn.XLOOKUP(B643,clean_sales!C:C,clean_sales!R:R)</f>
        <v>Chennai</v>
      </c>
      <c r="E643" t="str">
        <f>_xlfn.XLOOKUP(B643,clean_sales!C:C,clean_sales!S:S)</f>
        <v>Tamil Nadu</v>
      </c>
    </row>
    <row r="644" spans="1:5" x14ac:dyDescent="0.35">
      <c r="A644">
        <f t="shared" si="10"/>
        <v>643</v>
      </c>
      <c r="B644" t="s">
        <v>2430</v>
      </c>
      <c r="C644" t="str">
        <f>_xlfn.XLOOKUP(B644,clean_sales!C:C,clean_sales!Q:Q)</f>
        <v>Devansh Bhalla</v>
      </c>
      <c r="D644" t="str">
        <f>_xlfn.XLOOKUP(B644,clean_sales!C:C,clean_sales!R:R)</f>
        <v>Mumbai</v>
      </c>
      <c r="E644" t="str">
        <f>_xlfn.XLOOKUP(B644,clean_sales!C:C,clean_sales!S:S)</f>
        <v>Maharashtra</v>
      </c>
    </row>
    <row r="645" spans="1:5" x14ac:dyDescent="0.35">
      <c r="A645">
        <f t="shared" si="10"/>
        <v>644</v>
      </c>
      <c r="B645" t="s">
        <v>2431</v>
      </c>
      <c r="C645" t="str">
        <f>_xlfn.XLOOKUP(B645,clean_sales!C:C,clean_sales!Q:Q)</f>
        <v>Jivika Agate</v>
      </c>
      <c r="D645" t="str">
        <f>_xlfn.XLOOKUP(B645,clean_sales!C:C,clean_sales!R:R)</f>
        <v>Pune</v>
      </c>
      <c r="E645" t="str">
        <f>_xlfn.XLOOKUP(B645,clean_sales!C:C,clean_sales!S:S)</f>
        <v>Maharashtra</v>
      </c>
    </row>
    <row r="646" spans="1:5" x14ac:dyDescent="0.35">
      <c r="A646">
        <f t="shared" si="10"/>
        <v>645</v>
      </c>
      <c r="B646" t="s">
        <v>2432</v>
      </c>
      <c r="C646" t="str">
        <f>_xlfn.XLOOKUP(B646,clean_sales!C:C,clean_sales!Q:Q)</f>
        <v>Adah Baria</v>
      </c>
      <c r="D646" t="str">
        <f>_xlfn.XLOOKUP(B646,clean_sales!C:C,clean_sales!R:R)</f>
        <v>Mumbai</v>
      </c>
      <c r="E646" t="str">
        <f>_xlfn.XLOOKUP(B646,clean_sales!C:C,clean_sales!S:S)</f>
        <v>Maharashtra</v>
      </c>
    </row>
    <row r="647" spans="1:5" x14ac:dyDescent="0.35">
      <c r="A647">
        <f t="shared" si="10"/>
        <v>646</v>
      </c>
      <c r="B647" t="s">
        <v>2433</v>
      </c>
      <c r="C647" t="str">
        <f>_xlfn.XLOOKUP(B647,clean_sales!C:C,clean_sales!Q:Q)</f>
        <v>Armaan Dani</v>
      </c>
      <c r="D647" t="str">
        <f>_xlfn.XLOOKUP(B647,clean_sales!C:C,clean_sales!R:R)</f>
        <v>Pune</v>
      </c>
      <c r="E647" t="str">
        <f>_xlfn.XLOOKUP(B647,clean_sales!C:C,clean_sales!S:S)</f>
        <v>Maharashtra</v>
      </c>
    </row>
    <row r="648" spans="1:5" x14ac:dyDescent="0.35">
      <c r="A648">
        <f t="shared" si="10"/>
        <v>647</v>
      </c>
      <c r="B648" t="s">
        <v>2434</v>
      </c>
      <c r="C648" t="str">
        <f>_xlfn.XLOOKUP(B648,clean_sales!C:C,clean_sales!Q:Q)</f>
        <v>Pari Dyal</v>
      </c>
      <c r="D648" t="str">
        <f>_xlfn.XLOOKUP(B648,clean_sales!C:C,clean_sales!R:R)</f>
        <v>Bengaluru</v>
      </c>
      <c r="E648" t="str">
        <f>_xlfn.XLOOKUP(B648,clean_sales!C:C,clean_sales!S:S)</f>
        <v>Karnataka</v>
      </c>
    </row>
    <row r="649" spans="1:5" x14ac:dyDescent="0.35">
      <c r="A649">
        <f t="shared" si="10"/>
        <v>648</v>
      </c>
      <c r="B649" t="s">
        <v>2435</v>
      </c>
      <c r="C649" t="str">
        <f>_xlfn.XLOOKUP(B649,clean_sales!C:C,clean_sales!Q:Q)</f>
        <v>Navya Kara</v>
      </c>
      <c r="D649" t="str">
        <f>_xlfn.XLOOKUP(B649,clean_sales!C:C,clean_sales!R:R)</f>
        <v>Delhi</v>
      </c>
      <c r="E649" t="str">
        <f>_xlfn.XLOOKUP(B649,clean_sales!C:C,clean_sales!S:S)</f>
        <v>Delhi</v>
      </c>
    </row>
    <row r="650" spans="1:5" x14ac:dyDescent="0.35">
      <c r="A650">
        <f t="shared" si="10"/>
        <v>649</v>
      </c>
      <c r="B650" t="s">
        <v>2436</v>
      </c>
      <c r="C650" t="str">
        <f>_xlfn.XLOOKUP(B650,clean_sales!C:C,clean_sales!Q:Q)</f>
        <v>Zeeshan Saini</v>
      </c>
      <c r="D650" t="str">
        <f>_xlfn.XLOOKUP(B650,clean_sales!C:C,clean_sales!R:R)</f>
        <v>Bengaluru</v>
      </c>
      <c r="E650" t="str">
        <f>_xlfn.XLOOKUP(B650,clean_sales!C:C,clean_sales!S:S)</f>
        <v>Karnataka</v>
      </c>
    </row>
    <row r="651" spans="1:5" x14ac:dyDescent="0.35">
      <c r="A651">
        <f t="shared" si="10"/>
        <v>650</v>
      </c>
      <c r="B651" t="s">
        <v>2437</v>
      </c>
      <c r="C651" t="str">
        <f>_xlfn.XLOOKUP(B651,clean_sales!C:C,clean_sales!Q:Q)</f>
        <v>Ishaan Salvi</v>
      </c>
      <c r="D651" t="str">
        <f>_xlfn.XLOOKUP(B651,clean_sales!C:C,clean_sales!R:R)</f>
        <v>Kolkata</v>
      </c>
      <c r="E651" t="str">
        <f>_xlfn.XLOOKUP(B651,clean_sales!C:C,clean_sales!S:S)</f>
        <v>West Bengal</v>
      </c>
    </row>
    <row r="652" spans="1:5" x14ac:dyDescent="0.35">
      <c r="A652">
        <f t="shared" si="10"/>
        <v>651</v>
      </c>
      <c r="B652" t="s">
        <v>2438</v>
      </c>
      <c r="C652" t="str">
        <f>_xlfn.XLOOKUP(B652,clean_sales!C:C,clean_sales!Q:Q)</f>
        <v>Manikya Bhatia</v>
      </c>
      <c r="D652" t="str">
        <f>_xlfn.XLOOKUP(B652,clean_sales!C:C,clean_sales!R:R)</f>
        <v>Pune</v>
      </c>
      <c r="E652" t="str">
        <f>_xlfn.XLOOKUP(B652,clean_sales!C:C,clean_sales!S:S)</f>
        <v>Maharashtra</v>
      </c>
    </row>
    <row r="653" spans="1:5" x14ac:dyDescent="0.35">
      <c r="A653">
        <f t="shared" si="10"/>
        <v>652</v>
      </c>
      <c r="B653" t="s">
        <v>2439</v>
      </c>
      <c r="C653" t="str">
        <f>_xlfn.XLOOKUP(B653,clean_sales!C:C,clean_sales!Q:Q)</f>
        <v>Keya Bahl</v>
      </c>
      <c r="D653" t="str">
        <f>_xlfn.XLOOKUP(B653,clean_sales!C:C,clean_sales!R:R)</f>
        <v>Mumbai</v>
      </c>
      <c r="E653" t="str">
        <f>_xlfn.XLOOKUP(B653,clean_sales!C:C,clean_sales!S:S)</f>
        <v>Maharashtra</v>
      </c>
    </row>
    <row r="654" spans="1:5" x14ac:dyDescent="0.35">
      <c r="A654">
        <f t="shared" si="10"/>
        <v>653</v>
      </c>
      <c r="B654" t="s">
        <v>2440</v>
      </c>
      <c r="C654" t="str">
        <f>_xlfn.XLOOKUP(B654,clean_sales!C:C,clean_sales!Q:Q)</f>
        <v>Dhanuk Deo</v>
      </c>
      <c r="D654" t="str">
        <f>_xlfn.XLOOKUP(B654,clean_sales!C:C,clean_sales!R:R)</f>
        <v>Delhi</v>
      </c>
      <c r="E654" t="str">
        <f>_xlfn.XLOOKUP(B654,clean_sales!C:C,clean_sales!S:S)</f>
        <v>Delhi</v>
      </c>
    </row>
    <row r="655" spans="1:5" x14ac:dyDescent="0.35">
      <c r="A655">
        <f t="shared" si="10"/>
        <v>654</v>
      </c>
      <c r="B655" t="s">
        <v>2441</v>
      </c>
      <c r="C655" t="str">
        <f>_xlfn.XLOOKUP(B655,clean_sales!C:C,clean_sales!Q:Q)</f>
        <v>Jayant Dugar</v>
      </c>
      <c r="D655" t="str">
        <f>_xlfn.XLOOKUP(B655,clean_sales!C:C,clean_sales!R:R)</f>
        <v>Delhi</v>
      </c>
      <c r="E655" t="str">
        <f>_xlfn.XLOOKUP(B655,clean_sales!C:C,clean_sales!S:S)</f>
        <v>Delhi</v>
      </c>
    </row>
    <row r="656" spans="1:5" x14ac:dyDescent="0.35">
      <c r="A656">
        <f t="shared" si="10"/>
        <v>655</v>
      </c>
      <c r="B656" t="s">
        <v>2442</v>
      </c>
      <c r="C656" t="str">
        <f>_xlfn.XLOOKUP(B656,clean_sales!C:C,clean_sales!Q:Q)</f>
        <v>Kabir Krishna</v>
      </c>
      <c r="D656" t="str">
        <f>_xlfn.XLOOKUP(B656,clean_sales!C:C,clean_sales!R:R)</f>
        <v>Chennai</v>
      </c>
      <c r="E656" t="str">
        <f>_xlfn.XLOOKUP(B656,clean_sales!C:C,clean_sales!S:S)</f>
        <v>Tamil Nadu</v>
      </c>
    </row>
    <row r="657" spans="1:5" x14ac:dyDescent="0.35">
      <c r="A657">
        <f t="shared" si="10"/>
        <v>656</v>
      </c>
      <c r="B657" t="s">
        <v>2443</v>
      </c>
      <c r="C657" t="str">
        <f>_xlfn.XLOOKUP(B657,clean_sales!C:C,clean_sales!Q:Q)</f>
        <v>Purab Choudhry</v>
      </c>
      <c r="D657" t="str">
        <f>_xlfn.XLOOKUP(B657,clean_sales!C:C,clean_sales!R:R)</f>
        <v>Kolkata</v>
      </c>
      <c r="E657" t="str">
        <f>_xlfn.XLOOKUP(B657,clean_sales!C:C,clean_sales!S:S)</f>
        <v>West Bengal</v>
      </c>
    </row>
    <row r="658" spans="1:5" x14ac:dyDescent="0.35">
      <c r="A658">
        <f t="shared" si="10"/>
        <v>657</v>
      </c>
      <c r="B658" t="s">
        <v>2444</v>
      </c>
      <c r="C658" t="str">
        <f>_xlfn.XLOOKUP(B658,clean_sales!C:C,clean_sales!Q:Q)</f>
        <v>Zara Mand</v>
      </c>
      <c r="D658" t="str">
        <f>_xlfn.XLOOKUP(B658,clean_sales!C:C,clean_sales!R:R)</f>
        <v>Hyderabad</v>
      </c>
      <c r="E658" t="str">
        <f>_xlfn.XLOOKUP(B658,clean_sales!C:C,clean_sales!S:S)</f>
        <v>Telangana</v>
      </c>
    </row>
    <row r="659" spans="1:5" x14ac:dyDescent="0.35">
      <c r="A659">
        <f t="shared" si="10"/>
        <v>658</v>
      </c>
      <c r="B659" t="s">
        <v>2445</v>
      </c>
      <c r="C659" t="str">
        <f>_xlfn.XLOOKUP(B659,clean_sales!C:C,clean_sales!Q:Q)</f>
        <v>Gokul Dass</v>
      </c>
      <c r="D659" t="str">
        <f>_xlfn.XLOOKUP(B659,clean_sales!C:C,clean_sales!R:R)</f>
        <v>Hyderabad</v>
      </c>
      <c r="E659" t="str">
        <f>_xlfn.XLOOKUP(B659,clean_sales!C:C,clean_sales!S:S)</f>
        <v>Telangana</v>
      </c>
    </row>
    <row r="660" spans="1:5" x14ac:dyDescent="0.35">
      <c r="A660">
        <f t="shared" si="10"/>
        <v>659</v>
      </c>
      <c r="B660" t="s">
        <v>2446</v>
      </c>
      <c r="C660" t="str">
        <f>_xlfn.XLOOKUP(B660,clean_sales!C:C,clean_sales!Q:Q)</f>
        <v>Pihu Chada</v>
      </c>
      <c r="D660" t="str">
        <f>_xlfn.XLOOKUP(B660,clean_sales!C:C,clean_sales!R:R)</f>
        <v>Delhi</v>
      </c>
      <c r="E660" t="str">
        <f>_xlfn.XLOOKUP(B660,clean_sales!C:C,clean_sales!S:S)</f>
        <v>Delhi</v>
      </c>
    </row>
    <row r="661" spans="1:5" x14ac:dyDescent="0.35">
      <c r="A661">
        <f t="shared" si="10"/>
        <v>660</v>
      </c>
      <c r="B661" t="s">
        <v>2447</v>
      </c>
      <c r="C661" t="str">
        <f>_xlfn.XLOOKUP(B661,clean_sales!C:C,clean_sales!Q:Q)</f>
        <v>Hiran Virk</v>
      </c>
      <c r="D661" t="str">
        <f>_xlfn.XLOOKUP(B661,clean_sales!C:C,clean_sales!R:R)</f>
        <v>Pune</v>
      </c>
      <c r="E661" t="str">
        <f>_xlfn.XLOOKUP(B661,clean_sales!C:C,clean_sales!S:S)</f>
        <v>Maharashtra</v>
      </c>
    </row>
    <row r="662" spans="1:5" x14ac:dyDescent="0.35">
      <c r="A662">
        <f t="shared" si="10"/>
        <v>661</v>
      </c>
      <c r="B662" t="s">
        <v>2448</v>
      </c>
      <c r="C662" t="str">
        <f>_xlfn.XLOOKUP(B662,clean_sales!C:C,clean_sales!Q:Q)</f>
        <v>Dhruv Kant</v>
      </c>
      <c r="D662" t="str">
        <f>_xlfn.XLOOKUP(B662,clean_sales!C:C,clean_sales!R:R)</f>
        <v>Mumbai</v>
      </c>
      <c r="E662" t="str">
        <f>_xlfn.XLOOKUP(B662,clean_sales!C:C,clean_sales!S:S)</f>
        <v>Maharashtra</v>
      </c>
    </row>
    <row r="663" spans="1:5" x14ac:dyDescent="0.35">
      <c r="A663">
        <f t="shared" si="10"/>
        <v>662</v>
      </c>
      <c r="B663" t="s">
        <v>2449</v>
      </c>
      <c r="C663" t="str">
        <f>_xlfn.XLOOKUP(B663,clean_sales!C:C,clean_sales!Q:Q)</f>
        <v>Kaira Samra</v>
      </c>
      <c r="D663" t="str">
        <f>_xlfn.XLOOKUP(B663,clean_sales!C:C,clean_sales!R:R)</f>
        <v>Delhi</v>
      </c>
      <c r="E663" t="str">
        <f>_xlfn.XLOOKUP(B663,clean_sales!C:C,clean_sales!S:S)</f>
        <v>Delhi</v>
      </c>
    </row>
    <row r="664" spans="1:5" x14ac:dyDescent="0.35">
      <c r="A664">
        <f t="shared" si="10"/>
        <v>663</v>
      </c>
      <c r="B664" t="s">
        <v>2450</v>
      </c>
      <c r="C664" t="str">
        <f>_xlfn.XLOOKUP(B664,clean_sales!C:C,clean_sales!Q:Q)</f>
        <v>Dhruv Warrior</v>
      </c>
      <c r="D664" t="str">
        <f>_xlfn.XLOOKUP(B664,clean_sales!C:C,clean_sales!R:R)</f>
        <v>Mumbai</v>
      </c>
      <c r="E664" t="str">
        <f>_xlfn.XLOOKUP(B664,clean_sales!C:C,clean_sales!S:S)</f>
        <v>Maharashtra</v>
      </c>
    </row>
    <row r="665" spans="1:5" x14ac:dyDescent="0.35">
      <c r="A665">
        <f t="shared" si="10"/>
        <v>664</v>
      </c>
      <c r="B665" t="s">
        <v>2451</v>
      </c>
      <c r="C665" t="str">
        <f>_xlfn.XLOOKUP(B665,clean_sales!C:C,clean_sales!Q:Q)</f>
        <v>Sahil Dhar</v>
      </c>
      <c r="D665" t="str">
        <f>_xlfn.XLOOKUP(B665,clean_sales!C:C,clean_sales!R:R)</f>
        <v>Pune</v>
      </c>
      <c r="E665" t="str">
        <f>_xlfn.XLOOKUP(B665,clean_sales!C:C,clean_sales!S:S)</f>
        <v>Maharashtra</v>
      </c>
    </row>
    <row r="666" spans="1:5" x14ac:dyDescent="0.35">
      <c r="A666">
        <f t="shared" si="10"/>
        <v>665</v>
      </c>
      <c r="B666" t="s">
        <v>2452</v>
      </c>
      <c r="C666" t="str">
        <f>_xlfn.XLOOKUP(B666,clean_sales!C:C,clean_sales!Q:Q)</f>
        <v>Charvi Bobal</v>
      </c>
      <c r="D666" t="str">
        <f>_xlfn.XLOOKUP(B666,clean_sales!C:C,clean_sales!R:R)</f>
        <v>Delhi</v>
      </c>
      <c r="E666" t="str">
        <f>_xlfn.XLOOKUP(B666,clean_sales!C:C,clean_sales!S:S)</f>
        <v>Delhi</v>
      </c>
    </row>
    <row r="667" spans="1:5" x14ac:dyDescent="0.35">
      <c r="A667">
        <f t="shared" si="10"/>
        <v>666</v>
      </c>
      <c r="B667" t="s">
        <v>2453</v>
      </c>
      <c r="C667" t="str">
        <f>_xlfn.XLOOKUP(B667,clean_sales!C:C,clean_sales!Q:Q)</f>
        <v>Faiyaz Venkatesh</v>
      </c>
      <c r="D667" t="str">
        <f>_xlfn.XLOOKUP(B667,clean_sales!C:C,clean_sales!R:R)</f>
        <v>Hyderabad</v>
      </c>
      <c r="E667" t="str">
        <f>_xlfn.XLOOKUP(B667,clean_sales!C:C,clean_sales!S:S)</f>
        <v>Telangana</v>
      </c>
    </row>
    <row r="668" spans="1:5" x14ac:dyDescent="0.35">
      <c r="A668">
        <f t="shared" si="10"/>
        <v>667</v>
      </c>
      <c r="B668" t="s">
        <v>2454</v>
      </c>
      <c r="C668" t="str">
        <f>_xlfn.XLOOKUP(B668,clean_sales!C:C,clean_sales!Q:Q)</f>
        <v>Khushi Comar</v>
      </c>
      <c r="D668" t="str">
        <f>_xlfn.XLOOKUP(B668,clean_sales!C:C,clean_sales!R:R)</f>
        <v>Hyderabad</v>
      </c>
      <c r="E668" t="str">
        <f>_xlfn.XLOOKUP(B668,clean_sales!C:C,clean_sales!S:S)</f>
        <v>Telangana</v>
      </c>
    </row>
    <row r="669" spans="1:5" x14ac:dyDescent="0.35">
      <c r="A669">
        <f t="shared" si="10"/>
        <v>668</v>
      </c>
      <c r="B669" t="s">
        <v>2455</v>
      </c>
      <c r="C669" t="str">
        <f>_xlfn.XLOOKUP(B669,clean_sales!C:C,clean_sales!Q:Q)</f>
        <v>Anaya Hari</v>
      </c>
      <c r="D669" t="str">
        <f>_xlfn.XLOOKUP(B669,clean_sales!C:C,clean_sales!R:R)</f>
        <v>Bengaluru</v>
      </c>
      <c r="E669" t="str">
        <f>_xlfn.XLOOKUP(B669,clean_sales!C:C,clean_sales!S:S)</f>
        <v>Karnataka</v>
      </c>
    </row>
    <row r="670" spans="1:5" x14ac:dyDescent="0.35">
      <c r="A670">
        <f t="shared" si="10"/>
        <v>669</v>
      </c>
      <c r="B670" t="s">
        <v>2456</v>
      </c>
      <c r="C670" t="str">
        <f>_xlfn.XLOOKUP(B670,clean_sales!C:C,clean_sales!Q:Q)</f>
        <v>Biju Ratta</v>
      </c>
      <c r="D670" t="str">
        <f>_xlfn.XLOOKUP(B670,clean_sales!C:C,clean_sales!R:R)</f>
        <v>Hyderabad</v>
      </c>
      <c r="E670" t="str">
        <f>_xlfn.XLOOKUP(B670,clean_sales!C:C,clean_sales!S:S)</f>
        <v>Telangana</v>
      </c>
    </row>
    <row r="671" spans="1:5" x14ac:dyDescent="0.35">
      <c r="A671">
        <f t="shared" si="10"/>
        <v>670</v>
      </c>
      <c r="B671" t="s">
        <v>2457</v>
      </c>
      <c r="C671" t="str">
        <f>_xlfn.XLOOKUP(B671,clean_sales!C:C,clean_sales!Q:Q)</f>
        <v>Lagan Kala</v>
      </c>
      <c r="D671" t="str">
        <f>_xlfn.XLOOKUP(B671,clean_sales!C:C,clean_sales!R:R)</f>
        <v>Pune</v>
      </c>
      <c r="E671" t="str">
        <f>_xlfn.XLOOKUP(B671,clean_sales!C:C,clean_sales!S:S)</f>
        <v>Maharashtra</v>
      </c>
    </row>
    <row r="672" spans="1:5" x14ac:dyDescent="0.35">
      <c r="A672">
        <f t="shared" si="10"/>
        <v>671</v>
      </c>
      <c r="B672" t="s">
        <v>2458</v>
      </c>
      <c r="C672" t="str">
        <f>_xlfn.XLOOKUP(B672,clean_sales!C:C,clean_sales!Q:Q)</f>
        <v>Indranil Kamdar</v>
      </c>
      <c r="D672" t="str">
        <f>_xlfn.XLOOKUP(B672,clean_sales!C:C,clean_sales!R:R)</f>
        <v>Chennai</v>
      </c>
      <c r="E672" t="str">
        <f>_xlfn.XLOOKUP(B672,clean_sales!C:C,clean_sales!S:S)</f>
        <v>Tamil Nadu</v>
      </c>
    </row>
    <row r="673" spans="1:5" x14ac:dyDescent="0.35">
      <c r="A673">
        <f t="shared" si="10"/>
        <v>672</v>
      </c>
      <c r="B673" t="s">
        <v>2459</v>
      </c>
      <c r="C673" t="str">
        <f>_xlfn.XLOOKUP(B673,clean_sales!C:C,clean_sales!Q:Q)</f>
        <v>Ehsaan Walia</v>
      </c>
      <c r="D673" t="str">
        <f>_xlfn.XLOOKUP(B673,clean_sales!C:C,clean_sales!R:R)</f>
        <v>Kolkata</v>
      </c>
      <c r="E673" t="str">
        <f>_xlfn.XLOOKUP(B673,clean_sales!C:C,clean_sales!S:S)</f>
        <v>West Bengal</v>
      </c>
    </row>
    <row r="674" spans="1:5" x14ac:dyDescent="0.35">
      <c r="A674">
        <f t="shared" si="10"/>
        <v>673</v>
      </c>
      <c r="B674" t="s">
        <v>2460</v>
      </c>
      <c r="C674" t="str">
        <f>_xlfn.XLOOKUP(B674,clean_sales!C:C,clean_sales!Q:Q)</f>
        <v>Jivin Jha</v>
      </c>
      <c r="D674" t="str">
        <f>_xlfn.XLOOKUP(B674,clean_sales!C:C,clean_sales!R:R)</f>
        <v>Chennai</v>
      </c>
      <c r="E674" t="str">
        <f>_xlfn.XLOOKUP(B674,clean_sales!C:C,clean_sales!S:S)</f>
        <v>Tamil Nadu</v>
      </c>
    </row>
    <row r="675" spans="1:5" x14ac:dyDescent="0.35">
      <c r="A675">
        <f t="shared" si="10"/>
        <v>674</v>
      </c>
      <c r="B675" t="s">
        <v>2461</v>
      </c>
      <c r="C675" t="str">
        <f>_xlfn.XLOOKUP(B675,clean_sales!C:C,clean_sales!Q:Q)</f>
        <v>Nehmat Subramanian</v>
      </c>
      <c r="D675" t="str">
        <f>_xlfn.XLOOKUP(B675,clean_sales!C:C,clean_sales!R:R)</f>
        <v>Bengaluru</v>
      </c>
      <c r="E675" t="str">
        <f>_xlfn.XLOOKUP(B675,clean_sales!C:C,clean_sales!S:S)</f>
        <v>Karnataka</v>
      </c>
    </row>
    <row r="676" spans="1:5" x14ac:dyDescent="0.35">
      <c r="A676">
        <f t="shared" si="10"/>
        <v>675</v>
      </c>
      <c r="B676" t="s">
        <v>2462</v>
      </c>
      <c r="C676" t="str">
        <f>_xlfn.XLOOKUP(B676,clean_sales!C:C,clean_sales!Q:Q)</f>
        <v>Divit Iyer</v>
      </c>
      <c r="D676" t="str">
        <f>_xlfn.XLOOKUP(B676,clean_sales!C:C,clean_sales!R:R)</f>
        <v>Kolkata</v>
      </c>
      <c r="E676" t="str">
        <f>_xlfn.XLOOKUP(B676,clean_sales!C:C,clean_sales!S:S)</f>
        <v>West Bengal</v>
      </c>
    </row>
    <row r="677" spans="1:5" x14ac:dyDescent="0.35">
      <c r="A677">
        <f t="shared" si="10"/>
        <v>676</v>
      </c>
      <c r="B677" t="s">
        <v>2463</v>
      </c>
      <c r="C677" t="str">
        <f>_xlfn.XLOOKUP(B677,clean_sales!C:C,clean_sales!Q:Q)</f>
        <v>Mehul Divan</v>
      </c>
      <c r="D677" t="str">
        <f>_xlfn.XLOOKUP(B677,clean_sales!C:C,clean_sales!R:R)</f>
        <v>Pune</v>
      </c>
      <c r="E677" t="str">
        <f>_xlfn.XLOOKUP(B677,clean_sales!C:C,clean_sales!S:S)</f>
        <v>Maharashtra</v>
      </c>
    </row>
    <row r="678" spans="1:5" x14ac:dyDescent="0.35">
      <c r="A678">
        <f t="shared" si="10"/>
        <v>677</v>
      </c>
      <c r="B678" t="s">
        <v>2464</v>
      </c>
      <c r="C678" t="str">
        <f>_xlfn.XLOOKUP(B678,clean_sales!C:C,clean_sales!Q:Q)</f>
        <v>Misha Bakshi</v>
      </c>
      <c r="D678" t="str">
        <f>_xlfn.XLOOKUP(B678,clean_sales!C:C,clean_sales!R:R)</f>
        <v>Chennai</v>
      </c>
      <c r="E678" t="str">
        <f>_xlfn.XLOOKUP(B678,clean_sales!C:C,clean_sales!S:S)</f>
        <v>Tamil Nadu</v>
      </c>
    </row>
    <row r="679" spans="1:5" x14ac:dyDescent="0.35">
      <c r="A679">
        <f t="shared" si="10"/>
        <v>678</v>
      </c>
      <c r="B679" t="s">
        <v>2465</v>
      </c>
      <c r="C679" t="str">
        <f>_xlfn.XLOOKUP(B679,clean_sales!C:C,clean_sales!Q:Q)</f>
        <v>Khushi Ravi</v>
      </c>
      <c r="D679" t="str">
        <f>_xlfn.XLOOKUP(B679,clean_sales!C:C,clean_sales!R:R)</f>
        <v>Mumbai</v>
      </c>
      <c r="E679" t="str">
        <f>_xlfn.XLOOKUP(B679,clean_sales!C:C,clean_sales!S:S)</f>
        <v>Maharashtra</v>
      </c>
    </row>
    <row r="680" spans="1:5" x14ac:dyDescent="0.35">
      <c r="A680">
        <f t="shared" si="10"/>
        <v>679</v>
      </c>
      <c r="B680" t="s">
        <v>2466</v>
      </c>
      <c r="C680" t="str">
        <f>_xlfn.XLOOKUP(B680,clean_sales!C:C,clean_sales!Q:Q)</f>
        <v>Kiara Guha</v>
      </c>
      <c r="D680" t="str">
        <f>_xlfn.XLOOKUP(B680,clean_sales!C:C,clean_sales!R:R)</f>
        <v>Hyderabad</v>
      </c>
      <c r="E680" t="str">
        <f>_xlfn.XLOOKUP(B680,clean_sales!C:C,clean_sales!S:S)</f>
        <v>Telangana</v>
      </c>
    </row>
    <row r="681" spans="1:5" x14ac:dyDescent="0.35">
      <c r="A681">
        <f t="shared" si="10"/>
        <v>680</v>
      </c>
      <c r="B681" t="s">
        <v>2467</v>
      </c>
      <c r="C681" t="str">
        <f>_xlfn.XLOOKUP(B681,clean_sales!C:C,clean_sales!Q:Q)</f>
        <v>Dhruv Ravel</v>
      </c>
      <c r="D681" t="str">
        <f>_xlfn.XLOOKUP(B681,clean_sales!C:C,clean_sales!R:R)</f>
        <v>Hyderabad</v>
      </c>
      <c r="E681" t="str">
        <f>_xlfn.XLOOKUP(B681,clean_sales!C:C,clean_sales!S:S)</f>
        <v>Telangana</v>
      </c>
    </row>
    <row r="682" spans="1:5" x14ac:dyDescent="0.35">
      <c r="A682">
        <f t="shared" si="10"/>
        <v>681</v>
      </c>
      <c r="B682" t="s">
        <v>2468</v>
      </c>
      <c r="C682" t="str">
        <f>_xlfn.XLOOKUP(B682,clean_sales!C:C,clean_sales!Q:Q)</f>
        <v>Priyansh Sani</v>
      </c>
      <c r="D682" t="str">
        <f>_xlfn.XLOOKUP(B682,clean_sales!C:C,clean_sales!R:R)</f>
        <v>Delhi</v>
      </c>
      <c r="E682" t="str">
        <f>_xlfn.XLOOKUP(B682,clean_sales!C:C,clean_sales!S:S)</f>
        <v>Delhi</v>
      </c>
    </row>
    <row r="683" spans="1:5" x14ac:dyDescent="0.35">
      <c r="A683">
        <f t="shared" si="10"/>
        <v>682</v>
      </c>
      <c r="B683" t="s">
        <v>2469</v>
      </c>
      <c r="C683" t="str">
        <f>_xlfn.XLOOKUP(B683,clean_sales!C:C,clean_sales!Q:Q)</f>
        <v>Taimur Vig</v>
      </c>
      <c r="D683" t="str">
        <f>_xlfn.XLOOKUP(B683,clean_sales!C:C,clean_sales!R:R)</f>
        <v>Bengaluru</v>
      </c>
      <c r="E683" t="str">
        <f>_xlfn.XLOOKUP(B683,clean_sales!C:C,clean_sales!S:S)</f>
        <v>Karnataka</v>
      </c>
    </row>
    <row r="684" spans="1:5" x14ac:dyDescent="0.35">
      <c r="A684">
        <f t="shared" si="10"/>
        <v>683</v>
      </c>
      <c r="B684" t="s">
        <v>2470</v>
      </c>
      <c r="C684" t="str">
        <f>_xlfn.XLOOKUP(B684,clean_sales!C:C,clean_sales!Q:Q)</f>
        <v>Zoya Ganesan</v>
      </c>
      <c r="D684" t="str">
        <f>_xlfn.XLOOKUP(B684,clean_sales!C:C,clean_sales!R:R)</f>
        <v>Mumbai</v>
      </c>
      <c r="E684" t="str">
        <f>_xlfn.XLOOKUP(B684,clean_sales!C:C,clean_sales!S:S)</f>
        <v>Maharashtra</v>
      </c>
    </row>
    <row r="685" spans="1:5" x14ac:dyDescent="0.35">
      <c r="A685">
        <f t="shared" si="10"/>
        <v>684</v>
      </c>
      <c r="B685" t="s">
        <v>2471</v>
      </c>
      <c r="C685" t="str">
        <f>_xlfn.XLOOKUP(B685,clean_sales!C:C,clean_sales!Q:Q)</f>
        <v>Nitya Tara</v>
      </c>
      <c r="D685" t="str">
        <f>_xlfn.XLOOKUP(B685,clean_sales!C:C,clean_sales!R:R)</f>
        <v>Mumbai</v>
      </c>
      <c r="E685" t="str">
        <f>_xlfn.XLOOKUP(B685,clean_sales!C:C,clean_sales!S:S)</f>
        <v>Maharashtra</v>
      </c>
    </row>
    <row r="686" spans="1:5" x14ac:dyDescent="0.35">
      <c r="A686">
        <f t="shared" si="10"/>
        <v>685</v>
      </c>
      <c r="B686" t="s">
        <v>2472</v>
      </c>
      <c r="C686" t="str">
        <f>_xlfn.XLOOKUP(B686,clean_sales!C:C,clean_sales!Q:Q)</f>
        <v>Ivana Sen</v>
      </c>
      <c r="D686" t="str">
        <f>_xlfn.XLOOKUP(B686,clean_sales!C:C,clean_sales!R:R)</f>
        <v>Mumbai</v>
      </c>
      <c r="E686" t="str">
        <f>_xlfn.XLOOKUP(B686,clean_sales!C:C,clean_sales!S:S)</f>
        <v>Maharashtra</v>
      </c>
    </row>
    <row r="687" spans="1:5" x14ac:dyDescent="0.35">
      <c r="A687">
        <f t="shared" si="10"/>
        <v>686</v>
      </c>
      <c r="B687" t="s">
        <v>2473</v>
      </c>
      <c r="C687" t="str">
        <f>_xlfn.XLOOKUP(B687,clean_sales!C:C,clean_sales!Q:Q)</f>
        <v>Baiju Karpe</v>
      </c>
      <c r="D687" t="str">
        <f>_xlfn.XLOOKUP(B687,clean_sales!C:C,clean_sales!R:R)</f>
        <v>Delhi</v>
      </c>
      <c r="E687" t="str">
        <f>_xlfn.XLOOKUP(B687,clean_sales!C:C,clean_sales!S:S)</f>
        <v>Delhi</v>
      </c>
    </row>
    <row r="688" spans="1:5" x14ac:dyDescent="0.35">
      <c r="A688">
        <f t="shared" si="10"/>
        <v>687</v>
      </c>
      <c r="B688" t="s">
        <v>2474</v>
      </c>
      <c r="C688" t="str">
        <f>_xlfn.XLOOKUP(B688,clean_sales!C:C,clean_sales!Q:Q)</f>
        <v>Mishti Halder</v>
      </c>
      <c r="D688" t="str">
        <f>_xlfn.XLOOKUP(B688,clean_sales!C:C,clean_sales!R:R)</f>
        <v>Chennai</v>
      </c>
      <c r="E688" t="str">
        <f>_xlfn.XLOOKUP(B688,clean_sales!C:C,clean_sales!S:S)</f>
        <v>Tamil Nadu</v>
      </c>
    </row>
    <row r="689" spans="1:5" x14ac:dyDescent="0.35">
      <c r="A689">
        <f t="shared" si="10"/>
        <v>688</v>
      </c>
      <c r="B689" t="s">
        <v>2475</v>
      </c>
      <c r="C689" t="str">
        <f>_xlfn.XLOOKUP(B689,clean_sales!C:C,clean_sales!Q:Q)</f>
        <v>Ishaan Ramachandran</v>
      </c>
      <c r="D689" t="str">
        <f>_xlfn.XLOOKUP(B689,clean_sales!C:C,clean_sales!R:R)</f>
        <v>Chennai</v>
      </c>
      <c r="E689" t="str">
        <f>_xlfn.XLOOKUP(B689,clean_sales!C:C,clean_sales!S:S)</f>
        <v>Tamil Nadu</v>
      </c>
    </row>
    <row r="690" spans="1:5" x14ac:dyDescent="0.35">
      <c r="A690">
        <f t="shared" si="10"/>
        <v>689</v>
      </c>
      <c r="B690" t="s">
        <v>2476</v>
      </c>
      <c r="C690" t="str">
        <f>_xlfn.XLOOKUP(B690,clean_sales!C:C,clean_sales!Q:Q)</f>
        <v>Kimaya Sharma</v>
      </c>
      <c r="D690" t="str">
        <f>_xlfn.XLOOKUP(B690,clean_sales!C:C,clean_sales!R:R)</f>
        <v>Kolkata</v>
      </c>
      <c r="E690" t="str">
        <f>_xlfn.XLOOKUP(B690,clean_sales!C:C,clean_sales!S:S)</f>
        <v>West Bengal</v>
      </c>
    </row>
    <row r="691" spans="1:5" x14ac:dyDescent="0.35">
      <c r="A691">
        <f t="shared" si="10"/>
        <v>690</v>
      </c>
      <c r="B691" t="s">
        <v>2477</v>
      </c>
      <c r="C691" t="str">
        <f>_xlfn.XLOOKUP(B691,clean_sales!C:C,clean_sales!Q:Q)</f>
        <v>Nehmat Vig</v>
      </c>
      <c r="D691" t="str">
        <f>_xlfn.XLOOKUP(B691,clean_sales!C:C,clean_sales!R:R)</f>
        <v>Chennai</v>
      </c>
      <c r="E691" t="str">
        <f>_xlfn.XLOOKUP(B691,clean_sales!C:C,clean_sales!S:S)</f>
        <v>Tamil Nadu</v>
      </c>
    </row>
    <row r="692" spans="1:5" x14ac:dyDescent="0.35">
      <c r="A692">
        <f t="shared" si="10"/>
        <v>691</v>
      </c>
      <c r="B692" t="s">
        <v>2478</v>
      </c>
      <c r="C692" t="str">
        <f>_xlfn.XLOOKUP(B692,clean_sales!C:C,clean_sales!Q:Q)</f>
        <v>Krish Chaudhry</v>
      </c>
      <c r="D692" t="str">
        <f>_xlfn.XLOOKUP(B692,clean_sales!C:C,clean_sales!R:R)</f>
        <v>Chennai</v>
      </c>
      <c r="E692" t="str">
        <f>_xlfn.XLOOKUP(B692,clean_sales!C:C,clean_sales!S:S)</f>
        <v>Tamil Nadu</v>
      </c>
    </row>
    <row r="693" spans="1:5" x14ac:dyDescent="0.35">
      <c r="A693">
        <f t="shared" si="10"/>
        <v>692</v>
      </c>
      <c r="B693" t="s">
        <v>2479</v>
      </c>
      <c r="C693" t="str">
        <f>_xlfn.XLOOKUP(B693,clean_sales!C:C,clean_sales!Q:Q)</f>
        <v>Sara Dhingra</v>
      </c>
      <c r="D693" t="str">
        <f>_xlfn.XLOOKUP(B693,clean_sales!C:C,clean_sales!R:R)</f>
        <v>Delhi</v>
      </c>
      <c r="E693" t="str">
        <f>_xlfn.XLOOKUP(B693,clean_sales!C:C,clean_sales!S:S)</f>
        <v>Delhi</v>
      </c>
    </row>
    <row r="694" spans="1:5" x14ac:dyDescent="0.35">
      <c r="A694">
        <f t="shared" si="10"/>
        <v>693</v>
      </c>
      <c r="B694" t="s">
        <v>2480</v>
      </c>
      <c r="C694" t="str">
        <f>_xlfn.XLOOKUP(B694,clean_sales!C:C,clean_sales!Q:Q)</f>
        <v>Lagan Lata</v>
      </c>
      <c r="D694" t="str">
        <f>_xlfn.XLOOKUP(B694,clean_sales!C:C,clean_sales!R:R)</f>
        <v>Chennai</v>
      </c>
      <c r="E694" t="str">
        <f>_xlfn.XLOOKUP(B694,clean_sales!C:C,clean_sales!S:S)</f>
        <v>Tamil Nadu</v>
      </c>
    </row>
    <row r="695" spans="1:5" x14ac:dyDescent="0.35">
      <c r="A695">
        <f t="shared" si="10"/>
        <v>694</v>
      </c>
      <c r="B695" t="s">
        <v>2481</v>
      </c>
      <c r="C695" t="str">
        <f>_xlfn.XLOOKUP(B695,clean_sales!C:C,clean_sales!Q:Q)</f>
        <v>Divit Tiwari</v>
      </c>
      <c r="D695" t="str">
        <f>_xlfn.XLOOKUP(B695,clean_sales!C:C,clean_sales!R:R)</f>
        <v>Chennai</v>
      </c>
      <c r="E695" t="str">
        <f>_xlfn.XLOOKUP(B695,clean_sales!C:C,clean_sales!S:S)</f>
        <v>Tamil Nadu</v>
      </c>
    </row>
    <row r="696" spans="1:5" x14ac:dyDescent="0.35">
      <c r="A696">
        <f t="shared" si="10"/>
        <v>695</v>
      </c>
      <c r="B696" t="s">
        <v>2482</v>
      </c>
      <c r="C696" t="str">
        <f>_xlfn.XLOOKUP(B696,clean_sales!C:C,clean_sales!Q:Q)</f>
        <v>Saksham Dave</v>
      </c>
      <c r="D696" t="str">
        <f>_xlfn.XLOOKUP(B696,clean_sales!C:C,clean_sales!R:R)</f>
        <v>Hyderabad</v>
      </c>
      <c r="E696" t="str">
        <f>_xlfn.XLOOKUP(B696,clean_sales!C:C,clean_sales!S:S)</f>
        <v>Telangana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707F-3EC4-4760-BF9F-3A11B4954F56}">
  <dimension ref="A1:E8"/>
  <sheetViews>
    <sheetView workbookViewId="0">
      <selection activeCell="A2" sqref="A2:A8"/>
    </sheetView>
  </sheetViews>
  <sheetFormatPr defaultRowHeight="14.5" x14ac:dyDescent="0.35"/>
  <cols>
    <col min="1" max="1" width="12.1796875" bestFit="1" customWidth="1"/>
    <col min="2" max="2" width="17.81640625" bestFit="1" customWidth="1"/>
    <col min="4" max="4" width="11.26953125" bestFit="1" customWidth="1"/>
  </cols>
  <sheetData>
    <row r="1" spans="1:5" x14ac:dyDescent="0.35">
      <c r="A1" t="s">
        <v>3714</v>
      </c>
      <c r="B1" s="1" t="s">
        <v>8</v>
      </c>
      <c r="C1" t="s">
        <v>9</v>
      </c>
      <c r="D1" t="s">
        <v>10</v>
      </c>
      <c r="E1" t="s">
        <v>12</v>
      </c>
    </row>
    <row r="2" spans="1:5" x14ac:dyDescent="0.35">
      <c r="A2">
        <f>ROW()-1</f>
        <v>1</v>
      </c>
      <c r="B2" t="s">
        <v>3685</v>
      </c>
      <c r="C2" t="str">
        <f>_xlfn.XLOOKUP(B2,clean_sales!I:I,clean_sales!J:J)</f>
        <v>Furniture</v>
      </c>
      <c r="D2" t="str">
        <f>_xlfn.XLOOKUP(B2,clean_sales!I:I,clean_sales!K:K)</f>
        <v>Table</v>
      </c>
      <c r="E2">
        <f>_xlfn.XLOOKUP(B2,clean_sales!I:I,clean_sales!M:M)</f>
        <v>12000</v>
      </c>
    </row>
    <row r="3" spans="1:5" x14ac:dyDescent="0.35">
      <c r="A3">
        <f t="shared" ref="A3:A8" si="0">ROW()-1</f>
        <v>2</v>
      </c>
      <c r="B3" t="s">
        <v>3686</v>
      </c>
      <c r="C3" t="str">
        <f>_xlfn.XLOOKUP(B3,clean_sales!I:I,clean_sales!J:J)</f>
        <v>Electronics</v>
      </c>
      <c r="D3" t="str">
        <f>_xlfn.XLOOKUP(B3,clean_sales!I:I,clean_sales!K:K)</f>
        <v>Mobile</v>
      </c>
      <c r="E3">
        <f>_xlfn.XLOOKUP(B3,clean_sales!I:I,clean_sales!M:M)</f>
        <v>65000</v>
      </c>
    </row>
    <row r="4" spans="1:5" x14ac:dyDescent="0.35">
      <c r="A4">
        <f t="shared" si="0"/>
        <v>3</v>
      </c>
      <c r="B4" t="s">
        <v>3687</v>
      </c>
      <c r="C4" t="str">
        <f>_xlfn.XLOOKUP(B4,clean_sales!I:I,clean_sales!J:J)</f>
        <v>Electronics</v>
      </c>
      <c r="D4" t="str">
        <f>_xlfn.XLOOKUP(B4,clean_sales!I:I,clean_sales!K:K)</f>
        <v>Accessories</v>
      </c>
      <c r="E4">
        <f>_xlfn.XLOOKUP(B4,clean_sales!I:I,clean_sales!M:M)</f>
        <v>5000</v>
      </c>
    </row>
    <row r="5" spans="1:5" x14ac:dyDescent="0.35">
      <c r="A5">
        <f t="shared" si="0"/>
        <v>4</v>
      </c>
      <c r="B5" t="s">
        <v>3688</v>
      </c>
      <c r="C5" t="str">
        <f>_xlfn.XLOOKUP(B5,clean_sales!I:I,clean_sales!J:J)</f>
        <v>Fashion</v>
      </c>
      <c r="D5" t="str">
        <f>_xlfn.XLOOKUP(B5,clean_sales!I:I,clean_sales!K:K)</f>
        <v>Footwear</v>
      </c>
      <c r="E5">
        <f>_xlfn.XLOOKUP(B5,clean_sales!I:I,clean_sales!M:M)</f>
        <v>4500</v>
      </c>
    </row>
    <row r="6" spans="1:5" x14ac:dyDescent="0.35">
      <c r="A6">
        <f t="shared" si="0"/>
        <v>5</v>
      </c>
      <c r="B6" t="s">
        <v>3689</v>
      </c>
      <c r="C6" t="str">
        <f>_xlfn.XLOOKUP(B6,clean_sales!I:I,clean_sales!J:J)</f>
        <v>Fashion</v>
      </c>
      <c r="D6" t="str">
        <f>_xlfn.XLOOKUP(B6,clean_sales!I:I,clean_sales!K:K)</f>
        <v>Clothing</v>
      </c>
      <c r="E6">
        <f>_xlfn.XLOOKUP(B6,clean_sales!I:I,clean_sales!M:M)</f>
        <v>1800</v>
      </c>
    </row>
    <row r="7" spans="1:5" x14ac:dyDescent="0.35">
      <c r="A7">
        <f t="shared" si="0"/>
        <v>6</v>
      </c>
      <c r="B7" t="s">
        <v>3690</v>
      </c>
      <c r="C7" t="str">
        <f>_xlfn.XLOOKUP(B7,clean_sales!I:I,clean_sales!J:J)</f>
        <v>Electronics</v>
      </c>
      <c r="D7" t="str">
        <f>_xlfn.XLOOKUP(B7,clean_sales!I:I,clean_sales!K:K)</f>
        <v>Laptop</v>
      </c>
      <c r="E7">
        <f>_xlfn.XLOOKUP(B7,clean_sales!I:I,clean_sales!M:M)</f>
        <v>72000</v>
      </c>
    </row>
    <row r="8" spans="1:5" x14ac:dyDescent="0.35">
      <c r="A8">
        <f t="shared" si="0"/>
        <v>7</v>
      </c>
      <c r="B8" t="s">
        <v>3691</v>
      </c>
      <c r="C8" t="str">
        <f>_xlfn.XLOOKUP(B8,clean_sales!I:I,clean_sales!J:J)</f>
        <v>Electronics</v>
      </c>
      <c r="D8" t="str">
        <f>_xlfn.XLOOKUP(B8,clean_sales!I:I,clean_sales!K:K)</f>
        <v>Mobile</v>
      </c>
      <c r="E8">
        <f>_xlfn.XLOOKUP(B8,clean_sales!I:I,clean_sales!M:M)</f>
        <v>58000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14CE-1AEF-4091-916F-29B72A28A876}">
  <dimension ref="A1:E348"/>
  <sheetViews>
    <sheetView workbookViewId="0">
      <selection activeCell="G3" sqref="G3"/>
    </sheetView>
  </sheetViews>
  <sheetFormatPr defaultRowHeight="14.5" x14ac:dyDescent="0.35"/>
  <cols>
    <col min="2" max="2" width="10.08984375" bestFit="1" customWidth="1"/>
  </cols>
  <sheetData>
    <row r="1" spans="1:5" x14ac:dyDescent="0.35">
      <c r="A1" s="4" t="s">
        <v>3715</v>
      </c>
      <c r="B1" s="4" t="s">
        <v>3716</v>
      </c>
      <c r="C1" s="4" t="s">
        <v>3717</v>
      </c>
      <c r="D1" s="4" t="s">
        <v>3718</v>
      </c>
      <c r="E1" s="6" t="s">
        <v>3719</v>
      </c>
    </row>
    <row r="2" spans="1:5" x14ac:dyDescent="0.35">
      <c r="A2">
        <f>YEAR(B2)*10000 + MONTH(B2)*100 + DAY(B2)</f>
        <v>20250813</v>
      </c>
      <c r="B2" s="2">
        <v>45882</v>
      </c>
      <c r="C2" t="str">
        <f>TEXT(B2,"mmmm")</f>
        <v>August</v>
      </c>
      <c r="D2" t="str">
        <f>"Q"&amp;ROUNDUP(MONTH(B2)/3,0)</f>
        <v>Q3</v>
      </c>
      <c r="E2">
        <f>YEAR(B2)</f>
        <v>2025</v>
      </c>
    </row>
    <row r="3" spans="1:5" x14ac:dyDescent="0.35">
      <c r="A3">
        <f t="shared" ref="A3:A66" si="0">YEAR(B3)*10000 + MONTH(B3)*100 + DAY(B3)</f>
        <v>20250131</v>
      </c>
      <c r="B3" s="2">
        <v>45688</v>
      </c>
      <c r="C3" t="str">
        <f t="shared" ref="C3:C66" si="1">TEXT(B3,"mmmm")</f>
        <v>January</v>
      </c>
      <c r="D3" t="str">
        <f t="shared" ref="D3:D66" si="2">"Q"&amp;ROUNDUP(MONTH(B3)/3,0)</f>
        <v>Q1</v>
      </c>
      <c r="E3">
        <f t="shared" ref="E3:E66" si="3">YEAR(B3)</f>
        <v>2025</v>
      </c>
    </row>
    <row r="4" spans="1:5" x14ac:dyDescent="0.35">
      <c r="A4">
        <f t="shared" si="0"/>
        <v>20250810</v>
      </c>
      <c r="B4" s="2">
        <v>45879</v>
      </c>
      <c r="C4" t="str">
        <f t="shared" si="1"/>
        <v>August</v>
      </c>
      <c r="D4" t="str">
        <f t="shared" si="2"/>
        <v>Q3</v>
      </c>
      <c r="E4">
        <f t="shared" si="3"/>
        <v>2025</v>
      </c>
    </row>
    <row r="5" spans="1:5" x14ac:dyDescent="0.35">
      <c r="A5">
        <f t="shared" si="0"/>
        <v>20251219</v>
      </c>
      <c r="B5" s="2">
        <v>46010</v>
      </c>
      <c r="C5" t="str">
        <f t="shared" si="1"/>
        <v>December</v>
      </c>
      <c r="D5" t="str">
        <f t="shared" si="2"/>
        <v>Q4</v>
      </c>
      <c r="E5">
        <f t="shared" si="3"/>
        <v>2025</v>
      </c>
    </row>
    <row r="6" spans="1:5" x14ac:dyDescent="0.35">
      <c r="A6">
        <f t="shared" si="0"/>
        <v>20250501</v>
      </c>
      <c r="B6" s="2">
        <v>45778</v>
      </c>
      <c r="C6" t="str">
        <f t="shared" si="1"/>
        <v>May</v>
      </c>
      <c r="D6" t="str">
        <f t="shared" si="2"/>
        <v>Q2</v>
      </c>
      <c r="E6">
        <f t="shared" si="3"/>
        <v>2025</v>
      </c>
    </row>
    <row r="7" spans="1:5" x14ac:dyDescent="0.35">
      <c r="A7">
        <f t="shared" si="0"/>
        <v>20250803</v>
      </c>
      <c r="B7" s="2">
        <v>45872</v>
      </c>
      <c r="C7" t="str">
        <f t="shared" si="1"/>
        <v>August</v>
      </c>
      <c r="D7" t="str">
        <f t="shared" si="2"/>
        <v>Q3</v>
      </c>
      <c r="E7">
        <f t="shared" si="3"/>
        <v>2025</v>
      </c>
    </row>
    <row r="8" spans="1:5" x14ac:dyDescent="0.35">
      <c r="A8">
        <f t="shared" si="0"/>
        <v>20250522</v>
      </c>
      <c r="B8" s="2">
        <v>45799</v>
      </c>
      <c r="C8" t="str">
        <f t="shared" si="1"/>
        <v>May</v>
      </c>
      <c r="D8" t="str">
        <f t="shared" si="2"/>
        <v>Q2</v>
      </c>
      <c r="E8">
        <f t="shared" si="3"/>
        <v>2025</v>
      </c>
    </row>
    <row r="9" spans="1:5" x14ac:dyDescent="0.35">
      <c r="A9">
        <f t="shared" si="0"/>
        <v>20250705</v>
      </c>
      <c r="B9" s="2">
        <v>45843</v>
      </c>
      <c r="C9" t="str">
        <f t="shared" si="1"/>
        <v>July</v>
      </c>
      <c r="D9" t="str">
        <f t="shared" si="2"/>
        <v>Q3</v>
      </c>
      <c r="E9">
        <f t="shared" si="3"/>
        <v>2025</v>
      </c>
    </row>
    <row r="10" spans="1:5" x14ac:dyDescent="0.35">
      <c r="A10">
        <f t="shared" si="0"/>
        <v>20250512</v>
      </c>
      <c r="B10" s="2">
        <v>45789</v>
      </c>
      <c r="C10" t="str">
        <f t="shared" si="1"/>
        <v>May</v>
      </c>
      <c r="D10" t="str">
        <f t="shared" si="2"/>
        <v>Q2</v>
      </c>
      <c r="E10">
        <f t="shared" si="3"/>
        <v>2025</v>
      </c>
    </row>
    <row r="11" spans="1:5" x14ac:dyDescent="0.35">
      <c r="A11">
        <f t="shared" si="0"/>
        <v>20250524</v>
      </c>
      <c r="B11" s="2">
        <v>45801</v>
      </c>
      <c r="C11" t="str">
        <f t="shared" si="1"/>
        <v>May</v>
      </c>
      <c r="D11" t="str">
        <f t="shared" si="2"/>
        <v>Q2</v>
      </c>
      <c r="E11">
        <f t="shared" si="3"/>
        <v>2025</v>
      </c>
    </row>
    <row r="12" spans="1:5" x14ac:dyDescent="0.35">
      <c r="A12">
        <f t="shared" si="0"/>
        <v>20250725</v>
      </c>
      <c r="B12" s="2">
        <v>45863</v>
      </c>
      <c r="C12" t="str">
        <f t="shared" si="1"/>
        <v>July</v>
      </c>
      <c r="D12" t="str">
        <f t="shared" si="2"/>
        <v>Q3</v>
      </c>
      <c r="E12">
        <f t="shared" si="3"/>
        <v>2025</v>
      </c>
    </row>
    <row r="13" spans="1:5" x14ac:dyDescent="0.35">
      <c r="A13">
        <f t="shared" si="0"/>
        <v>20250720</v>
      </c>
      <c r="B13" s="2">
        <v>45858</v>
      </c>
      <c r="C13" t="str">
        <f t="shared" si="1"/>
        <v>July</v>
      </c>
      <c r="D13" t="str">
        <f t="shared" si="2"/>
        <v>Q3</v>
      </c>
      <c r="E13">
        <f t="shared" si="3"/>
        <v>2025</v>
      </c>
    </row>
    <row r="14" spans="1:5" x14ac:dyDescent="0.35">
      <c r="A14">
        <f t="shared" si="0"/>
        <v>20250220</v>
      </c>
      <c r="B14" s="2">
        <v>45708</v>
      </c>
      <c r="C14" t="str">
        <f t="shared" si="1"/>
        <v>February</v>
      </c>
      <c r="D14" t="str">
        <f t="shared" si="2"/>
        <v>Q1</v>
      </c>
      <c r="E14">
        <f t="shared" si="3"/>
        <v>2025</v>
      </c>
    </row>
    <row r="15" spans="1:5" x14ac:dyDescent="0.35">
      <c r="A15">
        <f t="shared" si="0"/>
        <v>20251205</v>
      </c>
      <c r="B15" s="2">
        <v>45996</v>
      </c>
      <c r="C15" t="str">
        <f t="shared" si="1"/>
        <v>December</v>
      </c>
      <c r="D15" t="str">
        <f t="shared" si="2"/>
        <v>Q4</v>
      </c>
      <c r="E15">
        <f t="shared" si="3"/>
        <v>2025</v>
      </c>
    </row>
    <row r="16" spans="1:5" x14ac:dyDescent="0.35">
      <c r="A16">
        <f t="shared" si="0"/>
        <v>20250316</v>
      </c>
      <c r="B16" s="2">
        <v>45732</v>
      </c>
      <c r="C16" t="str">
        <f t="shared" si="1"/>
        <v>March</v>
      </c>
      <c r="D16" t="str">
        <f t="shared" si="2"/>
        <v>Q1</v>
      </c>
      <c r="E16">
        <f t="shared" si="3"/>
        <v>2025</v>
      </c>
    </row>
    <row r="17" spans="1:5" x14ac:dyDescent="0.35">
      <c r="A17">
        <f t="shared" si="0"/>
        <v>20250513</v>
      </c>
      <c r="B17" s="2">
        <v>45790</v>
      </c>
      <c r="C17" t="str">
        <f t="shared" si="1"/>
        <v>May</v>
      </c>
      <c r="D17" t="str">
        <f t="shared" si="2"/>
        <v>Q2</v>
      </c>
      <c r="E17">
        <f t="shared" si="3"/>
        <v>2025</v>
      </c>
    </row>
    <row r="18" spans="1:5" x14ac:dyDescent="0.35">
      <c r="A18">
        <f t="shared" si="0"/>
        <v>20250821</v>
      </c>
      <c r="B18" s="2">
        <v>45890</v>
      </c>
      <c r="C18" t="str">
        <f t="shared" si="1"/>
        <v>August</v>
      </c>
      <c r="D18" t="str">
        <f t="shared" si="2"/>
        <v>Q3</v>
      </c>
      <c r="E18">
        <f t="shared" si="3"/>
        <v>2025</v>
      </c>
    </row>
    <row r="19" spans="1:5" x14ac:dyDescent="0.35">
      <c r="A19">
        <f t="shared" si="0"/>
        <v>20250402</v>
      </c>
      <c r="B19" s="2">
        <v>45749</v>
      </c>
      <c r="C19" t="str">
        <f t="shared" si="1"/>
        <v>April</v>
      </c>
      <c r="D19" t="str">
        <f t="shared" si="2"/>
        <v>Q2</v>
      </c>
      <c r="E19">
        <f t="shared" si="3"/>
        <v>2025</v>
      </c>
    </row>
    <row r="20" spans="1:5" x14ac:dyDescent="0.35">
      <c r="A20">
        <f t="shared" si="0"/>
        <v>20250921</v>
      </c>
      <c r="B20" s="2">
        <v>45921</v>
      </c>
      <c r="C20" t="str">
        <f t="shared" si="1"/>
        <v>September</v>
      </c>
      <c r="D20" t="str">
        <f t="shared" si="2"/>
        <v>Q3</v>
      </c>
      <c r="E20">
        <f t="shared" si="3"/>
        <v>2025</v>
      </c>
    </row>
    <row r="21" spans="1:5" x14ac:dyDescent="0.35">
      <c r="A21">
        <f t="shared" si="0"/>
        <v>20250610</v>
      </c>
      <c r="B21" s="2">
        <v>45818</v>
      </c>
      <c r="C21" t="str">
        <f t="shared" si="1"/>
        <v>June</v>
      </c>
      <c r="D21" t="str">
        <f t="shared" si="2"/>
        <v>Q2</v>
      </c>
      <c r="E21">
        <f t="shared" si="3"/>
        <v>2025</v>
      </c>
    </row>
    <row r="22" spans="1:5" x14ac:dyDescent="0.35">
      <c r="A22">
        <f t="shared" si="0"/>
        <v>20250708</v>
      </c>
      <c r="B22" s="2">
        <v>45846</v>
      </c>
      <c r="C22" t="str">
        <f t="shared" si="1"/>
        <v>July</v>
      </c>
      <c r="D22" t="str">
        <f t="shared" si="2"/>
        <v>Q3</v>
      </c>
      <c r="E22">
        <f t="shared" si="3"/>
        <v>2025</v>
      </c>
    </row>
    <row r="23" spans="1:5" x14ac:dyDescent="0.35">
      <c r="A23">
        <f t="shared" si="0"/>
        <v>20250625</v>
      </c>
      <c r="B23" s="2">
        <v>45833</v>
      </c>
      <c r="C23" t="str">
        <f t="shared" si="1"/>
        <v>June</v>
      </c>
      <c r="D23" t="str">
        <f t="shared" si="2"/>
        <v>Q2</v>
      </c>
      <c r="E23">
        <f t="shared" si="3"/>
        <v>2025</v>
      </c>
    </row>
    <row r="24" spans="1:5" x14ac:dyDescent="0.35">
      <c r="A24">
        <f t="shared" si="0"/>
        <v>20250823</v>
      </c>
      <c r="B24" s="2">
        <v>45892</v>
      </c>
      <c r="C24" t="str">
        <f t="shared" si="1"/>
        <v>August</v>
      </c>
      <c r="D24" t="str">
        <f t="shared" si="2"/>
        <v>Q3</v>
      </c>
      <c r="E24">
        <f t="shared" si="3"/>
        <v>2025</v>
      </c>
    </row>
    <row r="25" spans="1:5" x14ac:dyDescent="0.35">
      <c r="A25">
        <f t="shared" si="0"/>
        <v>20250707</v>
      </c>
      <c r="B25" s="2">
        <v>45845</v>
      </c>
      <c r="C25" t="str">
        <f t="shared" si="1"/>
        <v>July</v>
      </c>
      <c r="D25" t="str">
        <f t="shared" si="2"/>
        <v>Q3</v>
      </c>
      <c r="E25">
        <f t="shared" si="3"/>
        <v>2025</v>
      </c>
    </row>
    <row r="26" spans="1:5" x14ac:dyDescent="0.35">
      <c r="A26">
        <f t="shared" si="0"/>
        <v>20250110</v>
      </c>
      <c r="B26" s="2">
        <v>45667</v>
      </c>
      <c r="C26" t="str">
        <f t="shared" si="1"/>
        <v>January</v>
      </c>
      <c r="D26" t="str">
        <f t="shared" si="2"/>
        <v>Q1</v>
      </c>
      <c r="E26">
        <f t="shared" si="3"/>
        <v>2025</v>
      </c>
    </row>
    <row r="27" spans="1:5" x14ac:dyDescent="0.35">
      <c r="A27">
        <f t="shared" si="0"/>
        <v>20250715</v>
      </c>
      <c r="B27" s="2">
        <v>45853</v>
      </c>
      <c r="C27" t="str">
        <f t="shared" si="1"/>
        <v>July</v>
      </c>
      <c r="D27" t="str">
        <f t="shared" si="2"/>
        <v>Q3</v>
      </c>
      <c r="E27">
        <f t="shared" si="3"/>
        <v>2025</v>
      </c>
    </row>
    <row r="28" spans="1:5" x14ac:dyDescent="0.35">
      <c r="A28">
        <f t="shared" si="0"/>
        <v>20251226</v>
      </c>
      <c r="B28" s="2">
        <v>46017</v>
      </c>
      <c r="C28" t="str">
        <f t="shared" si="1"/>
        <v>December</v>
      </c>
      <c r="D28" t="str">
        <f t="shared" si="2"/>
        <v>Q4</v>
      </c>
      <c r="E28">
        <f t="shared" si="3"/>
        <v>2025</v>
      </c>
    </row>
    <row r="29" spans="1:5" x14ac:dyDescent="0.35">
      <c r="A29">
        <f t="shared" si="0"/>
        <v>20251106</v>
      </c>
      <c r="B29" s="2">
        <v>45967</v>
      </c>
      <c r="C29" t="str">
        <f t="shared" si="1"/>
        <v>November</v>
      </c>
      <c r="D29" t="str">
        <f t="shared" si="2"/>
        <v>Q4</v>
      </c>
      <c r="E29">
        <f t="shared" si="3"/>
        <v>2025</v>
      </c>
    </row>
    <row r="30" spans="1:5" x14ac:dyDescent="0.35">
      <c r="A30">
        <f t="shared" si="0"/>
        <v>20250205</v>
      </c>
      <c r="B30" s="2">
        <v>45693</v>
      </c>
      <c r="C30" t="str">
        <f t="shared" si="1"/>
        <v>February</v>
      </c>
      <c r="D30" t="str">
        <f t="shared" si="2"/>
        <v>Q1</v>
      </c>
      <c r="E30">
        <f t="shared" si="3"/>
        <v>2025</v>
      </c>
    </row>
    <row r="31" spans="1:5" x14ac:dyDescent="0.35">
      <c r="A31">
        <f t="shared" si="0"/>
        <v>20250121</v>
      </c>
      <c r="B31" s="2">
        <v>45678</v>
      </c>
      <c r="C31" t="str">
        <f t="shared" si="1"/>
        <v>January</v>
      </c>
      <c r="D31" t="str">
        <f t="shared" si="2"/>
        <v>Q1</v>
      </c>
      <c r="E31">
        <f t="shared" si="3"/>
        <v>2025</v>
      </c>
    </row>
    <row r="32" spans="1:5" x14ac:dyDescent="0.35">
      <c r="A32">
        <f t="shared" si="0"/>
        <v>20250914</v>
      </c>
      <c r="B32" s="2">
        <v>45914</v>
      </c>
      <c r="C32" t="str">
        <f t="shared" si="1"/>
        <v>September</v>
      </c>
      <c r="D32" t="str">
        <f t="shared" si="2"/>
        <v>Q3</v>
      </c>
      <c r="E32">
        <f t="shared" si="3"/>
        <v>2025</v>
      </c>
    </row>
    <row r="33" spans="1:5" x14ac:dyDescent="0.35">
      <c r="A33">
        <f t="shared" si="0"/>
        <v>20250313</v>
      </c>
      <c r="B33" s="2">
        <v>45729</v>
      </c>
      <c r="C33" t="str">
        <f t="shared" si="1"/>
        <v>March</v>
      </c>
      <c r="D33" t="str">
        <f t="shared" si="2"/>
        <v>Q1</v>
      </c>
      <c r="E33">
        <f t="shared" si="3"/>
        <v>2025</v>
      </c>
    </row>
    <row r="34" spans="1:5" x14ac:dyDescent="0.35">
      <c r="A34">
        <f t="shared" si="0"/>
        <v>20250520</v>
      </c>
      <c r="B34" s="2">
        <v>45797</v>
      </c>
      <c r="C34" t="str">
        <f t="shared" si="1"/>
        <v>May</v>
      </c>
      <c r="D34" t="str">
        <f t="shared" si="2"/>
        <v>Q2</v>
      </c>
      <c r="E34">
        <f t="shared" si="3"/>
        <v>2025</v>
      </c>
    </row>
    <row r="35" spans="1:5" x14ac:dyDescent="0.35">
      <c r="A35">
        <f t="shared" si="0"/>
        <v>20250620</v>
      </c>
      <c r="B35" s="2">
        <v>45828</v>
      </c>
      <c r="C35" t="str">
        <f t="shared" si="1"/>
        <v>June</v>
      </c>
      <c r="D35" t="str">
        <f t="shared" si="2"/>
        <v>Q2</v>
      </c>
      <c r="E35">
        <f t="shared" si="3"/>
        <v>2025</v>
      </c>
    </row>
    <row r="36" spans="1:5" x14ac:dyDescent="0.35">
      <c r="A36">
        <f t="shared" si="0"/>
        <v>20251027</v>
      </c>
      <c r="B36" s="2">
        <v>45957</v>
      </c>
      <c r="C36" t="str">
        <f t="shared" si="1"/>
        <v>October</v>
      </c>
      <c r="D36" t="str">
        <f t="shared" si="2"/>
        <v>Q4</v>
      </c>
      <c r="E36">
        <f t="shared" si="3"/>
        <v>2025</v>
      </c>
    </row>
    <row r="37" spans="1:5" x14ac:dyDescent="0.35">
      <c r="A37">
        <f t="shared" si="0"/>
        <v>20250608</v>
      </c>
      <c r="B37" s="2">
        <v>45816</v>
      </c>
      <c r="C37" t="str">
        <f t="shared" si="1"/>
        <v>June</v>
      </c>
      <c r="D37" t="str">
        <f t="shared" si="2"/>
        <v>Q2</v>
      </c>
      <c r="E37">
        <f t="shared" si="3"/>
        <v>2025</v>
      </c>
    </row>
    <row r="38" spans="1:5" x14ac:dyDescent="0.35">
      <c r="A38">
        <f t="shared" si="0"/>
        <v>20251223</v>
      </c>
      <c r="B38" s="2">
        <v>46014</v>
      </c>
      <c r="C38" t="str">
        <f t="shared" si="1"/>
        <v>December</v>
      </c>
      <c r="D38" t="str">
        <f t="shared" si="2"/>
        <v>Q4</v>
      </c>
      <c r="E38">
        <f t="shared" si="3"/>
        <v>2025</v>
      </c>
    </row>
    <row r="39" spans="1:5" x14ac:dyDescent="0.35">
      <c r="A39">
        <f t="shared" si="0"/>
        <v>20250529</v>
      </c>
      <c r="B39" s="2">
        <v>45806</v>
      </c>
      <c r="C39" t="str">
        <f t="shared" si="1"/>
        <v>May</v>
      </c>
      <c r="D39" t="str">
        <f t="shared" si="2"/>
        <v>Q2</v>
      </c>
      <c r="E39">
        <f t="shared" si="3"/>
        <v>2025</v>
      </c>
    </row>
    <row r="40" spans="1:5" x14ac:dyDescent="0.35">
      <c r="A40">
        <f t="shared" si="0"/>
        <v>20251203</v>
      </c>
      <c r="B40" s="2">
        <v>45994</v>
      </c>
      <c r="C40" t="str">
        <f t="shared" si="1"/>
        <v>December</v>
      </c>
      <c r="D40" t="str">
        <f t="shared" si="2"/>
        <v>Q4</v>
      </c>
      <c r="E40">
        <f t="shared" si="3"/>
        <v>2025</v>
      </c>
    </row>
    <row r="41" spans="1:5" x14ac:dyDescent="0.35">
      <c r="A41">
        <f t="shared" si="0"/>
        <v>20250130</v>
      </c>
      <c r="B41" s="2">
        <v>45687</v>
      </c>
      <c r="C41" t="str">
        <f t="shared" si="1"/>
        <v>January</v>
      </c>
      <c r="D41" t="str">
        <f t="shared" si="2"/>
        <v>Q1</v>
      </c>
      <c r="E41">
        <f t="shared" si="3"/>
        <v>2025</v>
      </c>
    </row>
    <row r="42" spans="1:5" x14ac:dyDescent="0.35">
      <c r="A42">
        <f t="shared" si="0"/>
        <v>20250917</v>
      </c>
      <c r="B42" s="2">
        <v>45917</v>
      </c>
      <c r="C42" t="str">
        <f t="shared" si="1"/>
        <v>September</v>
      </c>
      <c r="D42" t="str">
        <f t="shared" si="2"/>
        <v>Q3</v>
      </c>
      <c r="E42">
        <f t="shared" si="3"/>
        <v>2025</v>
      </c>
    </row>
    <row r="43" spans="1:5" x14ac:dyDescent="0.35">
      <c r="A43">
        <f t="shared" si="0"/>
        <v>20250215</v>
      </c>
      <c r="B43" s="2">
        <v>45703</v>
      </c>
      <c r="C43" t="str">
        <f t="shared" si="1"/>
        <v>February</v>
      </c>
      <c r="D43" t="str">
        <f t="shared" si="2"/>
        <v>Q1</v>
      </c>
      <c r="E43">
        <f t="shared" si="3"/>
        <v>2025</v>
      </c>
    </row>
    <row r="44" spans="1:5" x14ac:dyDescent="0.35">
      <c r="A44">
        <f t="shared" si="0"/>
        <v>20250924</v>
      </c>
      <c r="B44" s="2">
        <v>45924</v>
      </c>
      <c r="C44" t="str">
        <f t="shared" si="1"/>
        <v>September</v>
      </c>
      <c r="D44" t="str">
        <f t="shared" si="2"/>
        <v>Q3</v>
      </c>
      <c r="E44">
        <f t="shared" si="3"/>
        <v>2025</v>
      </c>
    </row>
    <row r="45" spans="1:5" x14ac:dyDescent="0.35">
      <c r="A45">
        <f t="shared" si="0"/>
        <v>20250808</v>
      </c>
      <c r="B45" s="2">
        <v>45877</v>
      </c>
      <c r="C45" t="str">
        <f t="shared" si="1"/>
        <v>August</v>
      </c>
      <c r="D45" t="str">
        <f t="shared" si="2"/>
        <v>Q3</v>
      </c>
      <c r="E45">
        <f t="shared" si="3"/>
        <v>2025</v>
      </c>
    </row>
    <row r="46" spans="1:5" x14ac:dyDescent="0.35">
      <c r="A46">
        <f t="shared" si="0"/>
        <v>20250719</v>
      </c>
      <c r="B46" s="2">
        <v>45857</v>
      </c>
      <c r="C46" t="str">
        <f t="shared" si="1"/>
        <v>July</v>
      </c>
      <c r="D46" t="str">
        <f t="shared" si="2"/>
        <v>Q3</v>
      </c>
      <c r="E46">
        <f t="shared" si="3"/>
        <v>2025</v>
      </c>
    </row>
    <row r="47" spans="1:5" x14ac:dyDescent="0.35">
      <c r="A47">
        <f t="shared" si="0"/>
        <v>20250820</v>
      </c>
      <c r="B47" s="2">
        <v>45889</v>
      </c>
      <c r="C47" t="str">
        <f t="shared" si="1"/>
        <v>August</v>
      </c>
      <c r="D47" t="str">
        <f t="shared" si="2"/>
        <v>Q3</v>
      </c>
      <c r="E47">
        <f t="shared" si="3"/>
        <v>2025</v>
      </c>
    </row>
    <row r="48" spans="1:5" x14ac:dyDescent="0.35">
      <c r="A48">
        <f t="shared" si="0"/>
        <v>20250410</v>
      </c>
      <c r="B48" s="2">
        <v>45757</v>
      </c>
      <c r="C48" t="str">
        <f t="shared" si="1"/>
        <v>April</v>
      </c>
      <c r="D48" t="str">
        <f t="shared" si="2"/>
        <v>Q2</v>
      </c>
      <c r="E48">
        <f t="shared" si="3"/>
        <v>2025</v>
      </c>
    </row>
    <row r="49" spans="1:5" x14ac:dyDescent="0.35">
      <c r="A49">
        <f t="shared" si="0"/>
        <v>20251029</v>
      </c>
      <c r="B49" s="2">
        <v>45959</v>
      </c>
      <c r="C49" t="str">
        <f t="shared" si="1"/>
        <v>October</v>
      </c>
      <c r="D49" t="str">
        <f t="shared" si="2"/>
        <v>Q4</v>
      </c>
      <c r="E49">
        <f t="shared" si="3"/>
        <v>2025</v>
      </c>
    </row>
    <row r="50" spans="1:5" x14ac:dyDescent="0.35">
      <c r="A50">
        <f t="shared" si="0"/>
        <v>20251118</v>
      </c>
      <c r="B50" s="2">
        <v>45979</v>
      </c>
      <c r="C50" t="str">
        <f t="shared" si="1"/>
        <v>November</v>
      </c>
      <c r="D50" t="str">
        <f t="shared" si="2"/>
        <v>Q4</v>
      </c>
      <c r="E50">
        <f t="shared" si="3"/>
        <v>2025</v>
      </c>
    </row>
    <row r="51" spans="1:5" x14ac:dyDescent="0.35">
      <c r="A51">
        <f t="shared" si="0"/>
        <v>20251123</v>
      </c>
      <c r="B51" s="2">
        <v>45984</v>
      </c>
      <c r="C51" t="str">
        <f t="shared" si="1"/>
        <v>November</v>
      </c>
      <c r="D51" t="str">
        <f t="shared" si="2"/>
        <v>Q4</v>
      </c>
      <c r="E51">
        <f t="shared" si="3"/>
        <v>2025</v>
      </c>
    </row>
    <row r="52" spans="1:5" x14ac:dyDescent="0.35">
      <c r="A52">
        <f t="shared" si="0"/>
        <v>20251015</v>
      </c>
      <c r="B52" s="2">
        <v>45945</v>
      </c>
      <c r="C52" t="str">
        <f t="shared" si="1"/>
        <v>October</v>
      </c>
      <c r="D52" t="str">
        <f t="shared" si="2"/>
        <v>Q4</v>
      </c>
      <c r="E52">
        <f t="shared" si="3"/>
        <v>2025</v>
      </c>
    </row>
    <row r="53" spans="1:5" x14ac:dyDescent="0.35">
      <c r="A53">
        <f t="shared" si="0"/>
        <v>20250226</v>
      </c>
      <c r="B53" s="2">
        <v>45714</v>
      </c>
      <c r="C53" t="str">
        <f t="shared" si="1"/>
        <v>February</v>
      </c>
      <c r="D53" t="str">
        <f t="shared" si="2"/>
        <v>Q1</v>
      </c>
      <c r="E53">
        <f t="shared" si="3"/>
        <v>2025</v>
      </c>
    </row>
    <row r="54" spans="1:5" x14ac:dyDescent="0.35">
      <c r="A54">
        <f t="shared" si="0"/>
        <v>20250405</v>
      </c>
      <c r="B54" s="2">
        <v>45752</v>
      </c>
      <c r="C54" t="str">
        <f t="shared" si="1"/>
        <v>April</v>
      </c>
      <c r="D54" t="str">
        <f t="shared" si="2"/>
        <v>Q2</v>
      </c>
      <c r="E54">
        <f t="shared" si="3"/>
        <v>2025</v>
      </c>
    </row>
    <row r="55" spans="1:5" x14ac:dyDescent="0.35">
      <c r="A55">
        <f t="shared" si="0"/>
        <v>20250710</v>
      </c>
      <c r="B55" s="2">
        <v>45848</v>
      </c>
      <c r="C55" t="str">
        <f t="shared" si="1"/>
        <v>July</v>
      </c>
      <c r="D55" t="str">
        <f t="shared" si="2"/>
        <v>Q3</v>
      </c>
      <c r="E55">
        <f t="shared" si="3"/>
        <v>2025</v>
      </c>
    </row>
    <row r="56" spans="1:5" x14ac:dyDescent="0.35">
      <c r="A56">
        <f t="shared" si="0"/>
        <v>20250404</v>
      </c>
      <c r="B56" s="2">
        <v>45751</v>
      </c>
      <c r="C56" t="str">
        <f t="shared" si="1"/>
        <v>April</v>
      </c>
      <c r="D56" t="str">
        <f t="shared" si="2"/>
        <v>Q2</v>
      </c>
      <c r="E56">
        <f t="shared" si="3"/>
        <v>2025</v>
      </c>
    </row>
    <row r="57" spans="1:5" x14ac:dyDescent="0.35">
      <c r="A57">
        <f t="shared" si="0"/>
        <v>20250619</v>
      </c>
      <c r="B57" s="2">
        <v>45827</v>
      </c>
      <c r="C57" t="str">
        <f t="shared" si="1"/>
        <v>June</v>
      </c>
      <c r="D57" t="str">
        <f t="shared" si="2"/>
        <v>Q2</v>
      </c>
      <c r="E57">
        <f t="shared" si="3"/>
        <v>2025</v>
      </c>
    </row>
    <row r="58" spans="1:5" x14ac:dyDescent="0.35">
      <c r="A58">
        <f t="shared" si="0"/>
        <v>20250721</v>
      </c>
      <c r="B58" s="2">
        <v>45859</v>
      </c>
      <c r="C58" t="str">
        <f t="shared" si="1"/>
        <v>July</v>
      </c>
      <c r="D58" t="str">
        <f t="shared" si="2"/>
        <v>Q3</v>
      </c>
      <c r="E58">
        <f t="shared" si="3"/>
        <v>2025</v>
      </c>
    </row>
    <row r="59" spans="1:5" x14ac:dyDescent="0.35">
      <c r="A59">
        <f t="shared" si="0"/>
        <v>20250109</v>
      </c>
      <c r="B59" s="2">
        <v>45666</v>
      </c>
      <c r="C59" t="str">
        <f t="shared" si="1"/>
        <v>January</v>
      </c>
      <c r="D59" t="str">
        <f t="shared" si="2"/>
        <v>Q1</v>
      </c>
      <c r="E59">
        <f t="shared" si="3"/>
        <v>2025</v>
      </c>
    </row>
    <row r="60" spans="1:5" x14ac:dyDescent="0.35">
      <c r="A60">
        <f t="shared" si="0"/>
        <v>20250728</v>
      </c>
      <c r="B60" s="2">
        <v>45866</v>
      </c>
      <c r="C60" t="str">
        <f t="shared" si="1"/>
        <v>July</v>
      </c>
      <c r="D60" t="str">
        <f t="shared" si="2"/>
        <v>Q3</v>
      </c>
      <c r="E60">
        <f t="shared" si="3"/>
        <v>2025</v>
      </c>
    </row>
    <row r="61" spans="1:5" x14ac:dyDescent="0.35">
      <c r="A61">
        <f t="shared" si="0"/>
        <v>20251201</v>
      </c>
      <c r="B61" s="2">
        <v>45992</v>
      </c>
      <c r="C61" t="str">
        <f t="shared" si="1"/>
        <v>December</v>
      </c>
      <c r="D61" t="str">
        <f t="shared" si="2"/>
        <v>Q4</v>
      </c>
      <c r="E61">
        <f t="shared" si="3"/>
        <v>2025</v>
      </c>
    </row>
    <row r="62" spans="1:5" x14ac:dyDescent="0.35">
      <c r="A62">
        <f t="shared" si="0"/>
        <v>20250301</v>
      </c>
      <c r="B62" s="2">
        <v>45717</v>
      </c>
      <c r="C62" t="str">
        <f t="shared" si="1"/>
        <v>March</v>
      </c>
      <c r="D62" t="str">
        <f t="shared" si="2"/>
        <v>Q1</v>
      </c>
      <c r="E62">
        <f t="shared" si="3"/>
        <v>2025</v>
      </c>
    </row>
    <row r="63" spans="1:5" x14ac:dyDescent="0.35">
      <c r="A63">
        <f t="shared" si="0"/>
        <v>20250503</v>
      </c>
      <c r="B63" s="2">
        <v>45780</v>
      </c>
      <c r="C63" t="str">
        <f t="shared" si="1"/>
        <v>May</v>
      </c>
      <c r="D63" t="str">
        <f t="shared" si="2"/>
        <v>Q2</v>
      </c>
      <c r="E63">
        <f t="shared" si="3"/>
        <v>2025</v>
      </c>
    </row>
    <row r="64" spans="1:5" x14ac:dyDescent="0.35">
      <c r="A64">
        <f t="shared" si="0"/>
        <v>20250617</v>
      </c>
      <c r="B64" s="2">
        <v>45825</v>
      </c>
      <c r="C64" t="str">
        <f t="shared" si="1"/>
        <v>June</v>
      </c>
      <c r="D64" t="str">
        <f t="shared" si="2"/>
        <v>Q2</v>
      </c>
      <c r="E64">
        <f t="shared" si="3"/>
        <v>2025</v>
      </c>
    </row>
    <row r="65" spans="1:5" x14ac:dyDescent="0.35">
      <c r="A65">
        <f t="shared" si="0"/>
        <v>20251228</v>
      </c>
      <c r="B65" s="2">
        <v>46019</v>
      </c>
      <c r="C65" t="str">
        <f t="shared" si="1"/>
        <v>December</v>
      </c>
      <c r="D65" t="str">
        <f t="shared" si="2"/>
        <v>Q4</v>
      </c>
      <c r="E65">
        <f t="shared" si="3"/>
        <v>2025</v>
      </c>
    </row>
    <row r="66" spans="1:5" x14ac:dyDescent="0.35">
      <c r="A66">
        <f t="shared" si="0"/>
        <v>20250126</v>
      </c>
      <c r="B66" s="2">
        <v>45683</v>
      </c>
      <c r="C66" t="str">
        <f t="shared" si="1"/>
        <v>January</v>
      </c>
      <c r="D66" t="str">
        <f t="shared" si="2"/>
        <v>Q1</v>
      </c>
      <c r="E66">
        <f t="shared" si="3"/>
        <v>2025</v>
      </c>
    </row>
    <row r="67" spans="1:5" x14ac:dyDescent="0.35">
      <c r="A67">
        <f t="shared" ref="A67:A130" si="4">YEAR(B67)*10000 + MONTH(B67)*100 + DAY(B67)</f>
        <v>20251212</v>
      </c>
      <c r="B67" s="2">
        <v>46003</v>
      </c>
      <c r="C67" t="str">
        <f t="shared" ref="C67:C130" si="5">TEXT(B67,"mmmm")</f>
        <v>December</v>
      </c>
      <c r="D67" t="str">
        <f t="shared" ref="D67:D130" si="6">"Q"&amp;ROUNDUP(MONTH(B67)/3,0)</f>
        <v>Q4</v>
      </c>
      <c r="E67">
        <f t="shared" ref="E67:E130" si="7">YEAR(B67)</f>
        <v>2025</v>
      </c>
    </row>
    <row r="68" spans="1:5" x14ac:dyDescent="0.35">
      <c r="A68">
        <f t="shared" si="4"/>
        <v>20251110</v>
      </c>
      <c r="B68" s="2">
        <v>45971</v>
      </c>
      <c r="C68" t="str">
        <f t="shared" si="5"/>
        <v>November</v>
      </c>
      <c r="D68" t="str">
        <f t="shared" si="6"/>
        <v>Q4</v>
      </c>
      <c r="E68">
        <f t="shared" si="7"/>
        <v>2025</v>
      </c>
    </row>
    <row r="69" spans="1:5" x14ac:dyDescent="0.35">
      <c r="A69">
        <f t="shared" si="4"/>
        <v>20251008</v>
      </c>
      <c r="B69" s="2">
        <v>45938</v>
      </c>
      <c r="C69" t="str">
        <f t="shared" si="5"/>
        <v>October</v>
      </c>
      <c r="D69" t="str">
        <f t="shared" si="6"/>
        <v>Q4</v>
      </c>
      <c r="E69">
        <f t="shared" si="7"/>
        <v>2025</v>
      </c>
    </row>
    <row r="70" spans="1:5" x14ac:dyDescent="0.35">
      <c r="A70">
        <f t="shared" si="4"/>
        <v>20250211</v>
      </c>
      <c r="B70" s="2">
        <v>45699</v>
      </c>
      <c r="C70" t="str">
        <f t="shared" si="5"/>
        <v>February</v>
      </c>
      <c r="D70" t="str">
        <f t="shared" si="6"/>
        <v>Q1</v>
      </c>
      <c r="E70">
        <f t="shared" si="7"/>
        <v>2025</v>
      </c>
    </row>
    <row r="71" spans="1:5" x14ac:dyDescent="0.35">
      <c r="A71">
        <f t="shared" si="4"/>
        <v>20250429</v>
      </c>
      <c r="B71" s="2">
        <v>45776</v>
      </c>
      <c r="C71" t="str">
        <f t="shared" si="5"/>
        <v>April</v>
      </c>
      <c r="D71" t="str">
        <f t="shared" si="6"/>
        <v>Q2</v>
      </c>
      <c r="E71">
        <f t="shared" si="7"/>
        <v>2025</v>
      </c>
    </row>
    <row r="72" spans="1:5" x14ac:dyDescent="0.35">
      <c r="A72">
        <f t="shared" si="4"/>
        <v>20250826</v>
      </c>
      <c r="B72" s="2">
        <v>45895</v>
      </c>
      <c r="C72" t="str">
        <f t="shared" si="5"/>
        <v>August</v>
      </c>
      <c r="D72" t="str">
        <f t="shared" si="6"/>
        <v>Q3</v>
      </c>
      <c r="E72">
        <f t="shared" si="7"/>
        <v>2025</v>
      </c>
    </row>
    <row r="73" spans="1:5" x14ac:dyDescent="0.35">
      <c r="A73">
        <f t="shared" si="4"/>
        <v>20251026</v>
      </c>
      <c r="B73" s="2">
        <v>45956</v>
      </c>
      <c r="C73" t="str">
        <f t="shared" si="5"/>
        <v>October</v>
      </c>
      <c r="D73" t="str">
        <f t="shared" si="6"/>
        <v>Q4</v>
      </c>
      <c r="E73">
        <f t="shared" si="7"/>
        <v>2025</v>
      </c>
    </row>
    <row r="74" spans="1:5" x14ac:dyDescent="0.35">
      <c r="A74">
        <f t="shared" si="4"/>
        <v>20250403</v>
      </c>
      <c r="B74" s="2">
        <v>45750</v>
      </c>
      <c r="C74" t="str">
        <f t="shared" si="5"/>
        <v>April</v>
      </c>
      <c r="D74" t="str">
        <f t="shared" si="6"/>
        <v>Q2</v>
      </c>
      <c r="E74">
        <f t="shared" si="7"/>
        <v>2025</v>
      </c>
    </row>
    <row r="75" spans="1:5" x14ac:dyDescent="0.35">
      <c r="A75">
        <f t="shared" si="4"/>
        <v>20251220</v>
      </c>
      <c r="B75" s="2">
        <v>46011</v>
      </c>
      <c r="C75" t="str">
        <f t="shared" si="5"/>
        <v>December</v>
      </c>
      <c r="D75" t="str">
        <f t="shared" si="6"/>
        <v>Q4</v>
      </c>
      <c r="E75">
        <f t="shared" si="7"/>
        <v>2025</v>
      </c>
    </row>
    <row r="76" spans="1:5" x14ac:dyDescent="0.35">
      <c r="A76">
        <f t="shared" si="4"/>
        <v>20251128</v>
      </c>
      <c r="B76" s="2">
        <v>45989</v>
      </c>
      <c r="C76" t="str">
        <f t="shared" si="5"/>
        <v>November</v>
      </c>
      <c r="D76" t="str">
        <f t="shared" si="6"/>
        <v>Q4</v>
      </c>
      <c r="E76">
        <f t="shared" si="7"/>
        <v>2025</v>
      </c>
    </row>
    <row r="77" spans="1:5" x14ac:dyDescent="0.35">
      <c r="A77">
        <f t="shared" si="4"/>
        <v>20250827</v>
      </c>
      <c r="B77" s="2">
        <v>45896</v>
      </c>
      <c r="C77" t="str">
        <f t="shared" si="5"/>
        <v>August</v>
      </c>
      <c r="D77" t="str">
        <f t="shared" si="6"/>
        <v>Q3</v>
      </c>
      <c r="E77">
        <f t="shared" si="7"/>
        <v>2025</v>
      </c>
    </row>
    <row r="78" spans="1:5" x14ac:dyDescent="0.35">
      <c r="A78">
        <f t="shared" si="4"/>
        <v>20250802</v>
      </c>
      <c r="B78" s="2">
        <v>45871</v>
      </c>
      <c r="C78" t="str">
        <f t="shared" si="5"/>
        <v>August</v>
      </c>
      <c r="D78" t="str">
        <f t="shared" si="6"/>
        <v>Q3</v>
      </c>
      <c r="E78">
        <f t="shared" si="7"/>
        <v>2025</v>
      </c>
    </row>
    <row r="79" spans="1:5" x14ac:dyDescent="0.35">
      <c r="A79">
        <f t="shared" si="4"/>
        <v>20250408</v>
      </c>
      <c r="B79" s="2">
        <v>45755</v>
      </c>
      <c r="C79" t="str">
        <f t="shared" si="5"/>
        <v>April</v>
      </c>
      <c r="D79" t="str">
        <f t="shared" si="6"/>
        <v>Q2</v>
      </c>
      <c r="E79">
        <f t="shared" si="7"/>
        <v>2025</v>
      </c>
    </row>
    <row r="80" spans="1:5" x14ac:dyDescent="0.35">
      <c r="A80">
        <f t="shared" si="4"/>
        <v>20250217</v>
      </c>
      <c r="B80" s="2">
        <v>45705</v>
      </c>
      <c r="C80" t="str">
        <f t="shared" si="5"/>
        <v>February</v>
      </c>
      <c r="D80" t="str">
        <f t="shared" si="6"/>
        <v>Q1</v>
      </c>
      <c r="E80">
        <f t="shared" si="7"/>
        <v>2025</v>
      </c>
    </row>
    <row r="81" spans="1:5" x14ac:dyDescent="0.35">
      <c r="A81">
        <f t="shared" si="4"/>
        <v>20250905</v>
      </c>
      <c r="B81" s="2">
        <v>45905</v>
      </c>
      <c r="C81" t="str">
        <f t="shared" si="5"/>
        <v>September</v>
      </c>
      <c r="D81" t="str">
        <f t="shared" si="6"/>
        <v>Q3</v>
      </c>
      <c r="E81">
        <f t="shared" si="7"/>
        <v>2025</v>
      </c>
    </row>
    <row r="82" spans="1:5" x14ac:dyDescent="0.35">
      <c r="A82">
        <f t="shared" si="4"/>
        <v>20250607</v>
      </c>
      <c r="B82" s="2">
        <v>45815</v>
      </c>
      <c r="C82" t="str">
        <f t="shared" si="5"/>
        <v>June</v>
      </c>
      <c r="D82" t="str">
        <f t="shared" si="6"/>
        <v>Q2</v>
      </c>
      <c r="E82">
        <f t="shared" si="7"/>
        <v>2025</v>
      </c>
    </row>
    <row r="83" spans="1:5" x14ac:dyDescent="0.35">
      <c r="A83">
        <f t="shared" si="4"/>
        <v>20250729</v>
      </c>
      <c r="B83" s="2">
        <v>45867</v>
      </c>
      <c r="C83" t="str">
        <f t="shared" si="5"/>
        <v>July</v>
      </c>
      <c r="D83" t="str">
        <f t="shared" si="6"/>
        <v>Q3</v>
      </c>
      <c r="E83">
        <f t="shared" si="7"/>
        <v>2025</v>
      </c>
    </row>
    <row r="84" spans="1:5" x14ac:dyDescent="0.35">
      <c r="A84">
        <f t="shared" si="4"/>
        <v>20250327</v>
      </c>
      <c r="B84" s="2">
        <v>45743</v>
      </c>
      <c r="C84" t="str">
        <f t="shared" si="5"/>
        <v>March</v>
      </c>
      <c r="D84" t="str">
        <f t="shared" si="6"/>
        <v>Q1</v>
      </c>
      <c r="E84">
        <f t="shared" si="7"/>
        <v>2025</v>
      </c>
    </row>
    <row r="85" spans="1:5" x14ac:dyDescent="0.35">
      <c r="A85">
        <f t="shared" si="4"/>
        <v>20250309</v>
      </c>
      <c r="B85" s="2">
        <v>45725</v>
      </c>
      <c r="C85" t="str">
        <f t="shared" si="5"/>
        <v>March</v>
      </c>
      <c r="D85" t="str">
        <f t="shared" si="6"/>
        <v>Q1</v>
      </c>
      <c r="E85">
        <f t="shared" si="7"/>
        <v>2025</v>
      </c>
    </row>
    <row r="86" spans="1:5" x14ac:dyDescent="0.35">
      <c r="A86">
        <f t="shared" si="4"/>
        <v>20250208</v>
      </c>
      <c r="B86" s="2">
        <v>45696</v>
      </c>
      <c r="C86" t="str">
        <f t="shared" si="5"/>
        <v>February</v>
      </c>
      <c r="D86" t="str">
        <f t="shared" si="6"/>
        <v>Q1</v>
      </c>
      <c r="E86">
        <f t="shared" si="7"/>
        <v>2025</v>
      </c>
    </row>
    <row r="87" spans="1:5" x14ac:dyDescent="0.35">
      <c r="A87">
        <f t="shared" si="4"/>
        <v>20250114</v>
      </c>
      <c r="B87" s="2">
        <v>45671</v>
      </c>
      <c r="C87" t="str">
        <f t="shared" si="5"/>
        <v>January</v>
      </c>
      <c r="D87" t="str">
        <f t="shared" si="6"/>
        <v>Q1</v>
      </c>
      <c r="E87">
        <f t="shared" si="7"/>
        <v>2025</v>
      </c>
    </row>
    <row r="88" spans="1:5" x14ac:dyDescent="0.35">
      <c r="A88">
        <f t="shared" si="4"/>
        <v>20251104</v>
      </c>
      <c r="B88" s="2">
        <v>45965</v>
      </c>
      <c r="C88" t="str">
        <f t="shared" si="5"/>
        <v>November</v>
      </c>
      <c r="D88" t="str">
        <f t="shared" si="6"/>
        <v>Q4</v>
      </c>
      <c r="E88">
        <f t="shared" si="7"/>
        <v>2025</v>
      </c>
    </row>
    <row r="89" spans="1:5" x14ac:dyDescent="0.35">
      <c r="A89">
        <f t="shared" si="4"/>
        <v>20250629</v>
      </c>
      <c r="B89" s="2">
        <v>45837</v>
      </c>
      <c r="C89" t="str">
        <f t="shared" si="5"/>
        <v>June</v>
      </c>
      <c r="D89" t="str">
        <f t="shared" si="6"/>
        <v>Q2</v>
      </c>
      <c r="E89">
        <f t="shared" si="7"/>
        <v>2025</v>
      </c>
    </row>
    <row r="90" spans="1:5" x14ac:dyDescent="0.35">
      <c r="A90">
        <f t="shared" si="4"/>
        <v>20250525</v>
      </c>
      <c r="B90" s="2">
        <v>45802</v>
      </c>
      <c r="C90" t="str">
        <f t="shared" si="5"/>
        <v>May</v>
      </c>
      <c r="D90" t="str">
        <f t="shared" si="6"/>
        <v>Q2</v>
      </c>
      <c r="E90">
        <f t="shared" si="7"/>
        <v>2025</v>
      </c>
    </row>
    <row r="91" spans="1:5" x14ac:dyDescent="0.35">
      <c r="A91">
        <f t="shared" si="4"/>
        <v>20251028</v>
      </c>
      <c r="B91" s="2">
        <v>45958</v>
      </c>
      <c r="C91" t="str">
        <f t="shared" si="5"/>
        <v>October</v>
      </c>
      <c r="D91" t="str">
        <f t="shared" si="6"/>
        <v>Q4</v>
      </c>
      <c r="E91">
        <f t="shared" si="7"/>
        <v>2025</v>
      </c>
    </row>
    <row r="92" spans="1:5" x14ac:dyDescent="0.35">
      <c r="A92">
        <f t="shared" si="4"/>
        <v>20260104</v>
      </c>
      <c r="B92" s="2">
        <v>46026</v>
      </c>
      <c r="C92" t="str">
        <f t="shared" si="5"/>
        <v>January</v>
      </c>
      <c r="D92" t="str">
        <f t="shared" si="6"/>
        <v>Q1</v>
      </c>
      <c r="E92">
        <f t="shared" si="7"/>
        <v>2026</v>
      </c>
    </row>
    <row r="93" spans="1:5" x14ac:dyDescent="0.35">
      <c r="A93">
        <f t="shared" si="4"/>
        <v>20250903</v>
      </c>
      <c r="B93" s="2">
        <v>45903</v>
      </c>
      <c r="C93" t="str">
        <f t="shared" si="5"/>
        <v>September</v>
      </c>
      <c r="D93" t="str">
        <f t="shared" si="6"/>
        <v>Q3</v>
      </c>
      <c r="E93">
        <f t="shared" si="7"/>
        <v>2025</v>
      </c>
    </row>
    <row r="94" spans="1:5" x14ac:dyDescent="0.35">
      <c r="A94">
        <f t="shared" si="4"/>
        <v>20250310</v>
      </c>
      <c r="B94" s="2">
        <v>45726</v>
      </c>
      <c r="C94" t="str">
        <f t="shared" si="5"/>
        <v>March</v>
      </c>
      <c r="D94" t="str">
        <f t="shared" si="6"/>
        <v>Q1</v>
      </c>
      <c r="E94">
        <f t="shared" si="7"/>
        <v>2025</v>
      </c>
    </row>
    <row r="95" spans="1:5" x14ac:dyDescent="0.35">
      <c r="A95">
        <f t="shared" si="4"/>
        <v>20251213</v>
      </c>
      <c r="B95" s="2">
        <v>46004</v>
      </c>
      <c r="C95" t="str">
        <f t="shared" si="5"/>
        <v>December</v>
      </c>
      <c r="D95" t="str">
        <f t="shared" si="6"/>
        <v>Q4</v>
      </c>
      <c r="E95">
        <f t="shared" si="7"/>
        <v>2025</v>
      </c>
    </row>
    <row r="96" spans="1:5" x14ac:dyDescent="0.35">
      <c r="A96">
        <f t="shared" si="4"/>
        <v>20251215</v>
      </c>
      <c r="B96" s="2">
        <v>46006</v>
      </c>
      <c r="C96" t="str">
        <f t="shared" si="5"/>
        <v>December</v>
      </c>
      <c r="D96" t="str">
        <f t="shared" si="6"/>
        <v>Q4</v>
      </c>
      <c r="E96">
        <f t="shared" si="7"/>
        <v>2025</v>
      </c>
    </row>
    <row r="97" spans="1:5" x14ac:dyDescent="0.35">
      <c r="A97">
        <f t="shared" si="4"/>
        <v>20250318</v>
      </c>
      <c r="B97" s="2">
        <v>45734</v>
      </c>
      <c r="C97" t="str">
        <f t="shared" si="5"/>
        <v>March</v>
      </c>
      <c r="D97" t="str">
        <f t="shared" si="6"/>
        <v>Q1</v>
      </c>
      <c r="E97">
        <f t="shared" si="7"/>
        <v>2025</v>
      </c>
    </row>
    <row r="98" spans="1:5" x14ac:dyDescent="0.35">
      <c r="A98">
        <f t="shared" si="4"/>
        <v>20251011</v>
      </c>
      <c r="B98" s="2">
        <v>45941</v>
      </c>
      <c r="C98" t="str">
        <f t="shared" si="5"/>
        <v>October</v>
      </c>
      <c r="D98" t="str">
        <f t="shared" si="6"/>
        <v>Q4</v>
      </c>
      <c r="E98">
        <f t="shared" si="7"/>
        <v>2025</v>
      </c>
    </row>
    <row r="99" spans="1:5" x14ac:dyDescent="0.35">
      <c r="A99">
        <f t="shared" si="4"/>
        <v>20250118</v>
      </c>
      <c r="B99" s="2">
        <v>45675</v>
      </c>
      <c r="C99" t="str">
        <f t="shared" si="5"/>
        <v>January</v>
      </c>
      <c r="D99" t="str">
        <f t="shared" si="6"/>
        <v>Q1</v>
      </c>
      <c r="E99">
        <f t="shared" si="7"/>
        <v>2025</v>
      </c>
    </row>
    <row r="100" spans="1:5" x14ac:dyDescent="0.35">
      <c r="A100">
        <f t="shared" si="4"/>
        <v>20250703</v>
      </c>
      <c r="B100" s="2">
        <v>45841</v>
      </c>
      <c r="C100" t="str">
        <f t="shared" si="5"/>
        <v>July</v>
      </c>
      <c r="D100" t="str">
        <f t="shared" si="6"/>
        <v>Q3</v>
      </c>
      <c r="E100">
        <f t="shared" si="7"/>
        <v>2025</v>
      </c>
    </row>
    <row r="101" spans="1:5" x14ac:dyDescent="0.35">
      <c r="A101">
        <f t="shared" si="4"/>
        <v>20250323</v>
      </c>
      <c r="B101" s="2">
        <v>45739</v>
      </c>
      <c r="C101" t="str">
        <f t="shared" si="5"/>
        <v>March</v>
      </c>
      <c r="D101" t="str">
        <f t="shared" si="6"/>
        <v>Q1</v>
      </c>
      <c r="E101">
        <f t="shared" si="7"/>
        <v>2025</v>
      </c>
    </row>
    <row r="102" spans="1:5" x14ac:dyDescent="0.35">
      <c r="A102">
        <f t="shared" si="4"/>
        <v>20250611</v>
      </c>
      <c r="B102" s="2">
        <v>45819</v>
      </c>
      <c r="C102" t="str">
        <f t="shared" si="5"/>
        <v>June</v>
      </c>
      <c r="D102" t="str">
        <f t="shared" si="6"/>
        <v>Q2</v>
      </c>
      <c r="E102">
        <f t="shared" si="7"/>
        <v>2025</v>
      </c>
    </row>
    <row r="103" spans="1:5" x14ac:dyDescent="0.35">
      <c r="A103">
        <f t="shared" si="4"/>
        <v>20250713</v>
      </c>
      <c r="B103" s="2">
        <v>45851</v>
      </c>
      <c r="C103" t="str">
        <f t="shared" si="5"/>
        <v>July</v>
      </c>
      <c r="D103" t="str">
        <f t="shared" si="6"/>
        <v>Q3</v>
      </c>
      <c r="E103">
        <f t="shared" si="7"/>
        <v>2025</v>
      </c>
    </row>
    <row r="104" spans="1:5" x14ac:dyDescent="0.35">
      <c r="A104">
        <f t="shared" si="4"/>
        <v>20250630</v>
      </c>
      <c r="B104" s="2">
        <v>45838</v>
      </c>
      <c r="C104" t="str">
        <f t="shared" si="5"/>
        <v>June</v>
      </c>
      <c r="D104" t="str">
        <f t="shared" si="6"/>
        <v>Q2</v>
      </c>
      <c r="E104">
        <f t="shared" si="7"/>
        <v>2025</v>
      </c>
    </row>
    <row r="105" spans="1:5" x14ac:dyDescent="0.35">
      <c r="A105">
        <f t="shared" si="4"/>
        <v>20250413</v>
      </c>
      <c r="B105" s="2">
        <v>45760</v>
      </c>
      <c r="C105" t="str">
        <f t="shared" si="5"/>
        <v>April</v>
      </c>
      <c r="D105" t="str">
        <f t="shared" si="6"/>
        <v>Q2</v>
      </c>
      <c r="E105">
        <f t="shared" si="7"/>
        <v>2025</v>
      </c>
    </row>
    <row r="106" spans="1:5" x14ac:dyDescent="0.35">
      <c r="A106">
        <f t="shared" si="4"/>
        <v>20250829</v>
      </c>
      <c r="B106" s="2">
        <v>45898</v>
      </c>
      <c r="C106" t="str">
        <f t="shared" si="5"/>
        <v>August</v>
      </c>
      <c r="D106" t="str">
        <f t="shared" si="6"/>
        <v>Q3</v>
      </c>
      <c r="E106">
        <f t="shared" si="7"/>
        <v>2025</v>
      </c>
    </row>
    <row r="107" spans="1:5" x14ac:dyDescent="0.35">
      <c r="A107">
        <f t="shared" si="4"/>
        <v>20260101</v>
      </c>
      <c r="B107" s="2">
        <v>46023</v>
      </c>
      <c r="C107" t="str">
        <f t="shared" si="5"/>
        <v>January</v>
      </c>
      <c r="D107" t="str">
        <f t="shared" si="6"/>
        <v>Q1</v>
      </c>
      <c r="E107">
        <f t="shared" si="7"/>
        <v>2026</v>
      </c>
    </row>
    <row r="108" spans="1:5" x14ac:dyDescent="0.35">
      <c r="A108">
        <f t="shared" si="4"/>
        <v>20251018</v>
      </c>
      <c r="B108" s="2">
        <v>45948</v>
      </c>
      <c r="C108" t="str">
        <f t="shared" si="5"/>
        <v>October</v>
      </c>
      <c r="D108" t="str">
        <f t="shared" si="6"/>
        <v>Q4</v>
      </c>
      <c r="E108">
        <f t="shared" si="7"/>
        <v>2025</v>
      </c>
    </row>
    <row r="109" spans="1:5" x14ac:dyDescent="0.35">
      <c r="A109">
        <f t="shared" si="4"/>
        <v>20250731</v>
      </c>
      <c r="B109" s="2">
        <v>45869</v>
      </c>
      <c r="C109" t="str">
        <f t="shared" si="5"/>
        <v>July</v>
      </c>
      <c r="D109" t="str">
        <f t="shared" si="6"/>
        <v>Q3</v>
      </c>
      <c r="E109">
        <f t="shared" si="7"/>
        <v>2025</v>
      </c>
    </row>
    <row r="110" spans="1:5" x14ac:dyDescent="0.35">
      <c r="A110">
        <f t="shared" si="4"/>
        <v>20250420</v>
      </c>
      <c r="B110" s="2">
        <v>45767</v>
      </c>
      <c r="C110" t="str">
        <f t="shared" si="5"/>
        <v>April</v>
      </c>
      <c r="D110" t="str">
        <f t="shared" si="6"/>
        <v>Q2</v>
      </c>
      <c r="E110">
        <f t="shared" si="7"/>
        <v>2025</v>
      </c>
    </row>
    <row r="111" spans="1:5" x14ac:dyDescent="0.35">
      <c r="A111">
        <f t="shared" si="4"/>
        <v>20250801</v>
      </c>
      <c r="B111" s="2">
        <v>45870</v>
      </c>
      <c r="C111" t="str">
        <f t="shared" si="5"/>
        <v>August</v>
      </c>
      <c r="D111" t="str">
        <f t="shared" si="6"/>
        <v>Q3</v>
      </c>
      <c r="E111">
        <f t="shared" si="7"/>
        <v>2025</v>
      </c>
    </row>
    <row r="112" spans="1:5" x14ac:dyDescent="0.35">
      <c r="A112">
        <f t="shared" si="4"/>
        <v>20250811</v>
      </c>
      <c r="B112" s="2">
        <v>45880</v>
      </c>
      <c r="C112" t="str">
        <f t="shared" si="5"/>
        <v>August</v>
      </c>
      <c r="D112" t="str">
        <f t="shared" si="6"/>
        <v>Q3</v>
      </c>
      <c r="E112">
        <f t="shared" si="7"/>
        <v>2025</v>
      </c>
    </row>
    <row r="113" spans="1:5" x14ac:dyDescent="0.35">
      <c r="A113">
        <f t="shared" si="4"/>
        <v>20250302</v>
      </c>
      <c r="B113" s="2">
        <v>45718</v>
      </c>
      <c r="C113" t="str">
        <f t="shared" si="5"/>
        <v>March</v>
      </c>
      <c r="D113" t="str">
        <f t="shared" si="6"/>
        <v>Q1</v>
      </c>
      <c r="E113">
        <f t="shared" si="7"/>
        <v>2025</v>
      </c>
    </row>
    <row r="114" spans="1:5" x14ac:dyDescent="0.35">
      <c r="A114">
        <f t="shared" si="4"/>
        <v>20250919</v>
      </c>
      <c r="B114" s="2">
        <v>45919</v>
      </c>
      <c r="C114" t="str">
        <f t="shared" si="5"/>
        <v>September</v>
      </c>
      <c r="D114" t="str">
        <f t="shared" si="6"/>
        <v>Q3</v>
      </c>
      <c r="E114">
        <f t="shared" si="7"/>
        <v>2025</v>
      </c>
    </row>
    <row r="115" spans="1:5" x14ac:dyDescent="0.35">
      <c r="A115">
        <f t="shared" si="4"/>
        <v>20260102</v>
      </c>
      <c r="B115" s="2">
        <v>46024</v>
      </c>
      <c r="C115" t="str">
        <f t="shared" si="5"/>
        <v>January</v>
      </c>
      <c r="D115" t="str">
        <f t="shared" si="6"/>
        <v>Q1</v>
      </c>
      <c r="E115">
        <f t="shared" si="7"/>
        <v>2026</v>
      </c>
    </row>
    <row r="116" spans="1:5" x14ac:dyDescent="0.35">
      <c r="A116">
        <f t="shared" si="4"/>
        <v>20251020</v>
      </c>
      <c r="B116" s="2">
        <v>45950</v>
      </c>
      <c r="C116" t="str">
        <f t="shared" si="5"/>
        <v>October</v>
      </c>
      <c r="D116" t="str">
        <f t="shared" si="6"/>
        <v>Q4</v>
      </c>
      <c r="E116">
        <f t="shared" si="7"/>
        <v>2025</v>
      </c>
    </row>
    <row r="117" spans="1:5" x14ac:dyDescent="0.35">
      <c r="A117">
        <f t="shared" si="4"/>
        <v>20250221</v>
      </c>
      <c r="B117" s="2">
        <v>45709</v>
      </c>
      <c r="C117" t="str">
        <f t="shared" si="5"/>
        <v>February</v>
      </c>
      <c r="D117" t="str">
        <f t="shared" si="6"/>
        <v>Q1</v>
      </c>
      <c r="E117">
        <f t="shared" si="7"/>
        <v>2025</v>
      </c>
    </row>
    <row r="118" spans="1:5" x14ac:dyDescent="0.35">
      <c r="A118">
        <f t="shared" si="4"/>
        <v>20250926</v>
      </c>
      <c r="B118" s="2">
        <v>45926</v>
      </c>
      <c r="C118" t="str">
        <f t="shared" si="5"/>
        <v>September</v>
      </c>
      <c r="D118" t="str">
        <f t="shared" si="6"/>
        <v>Q3</v>
      </c>
      <c r="E118">
        <f t="shared" si="7"/>
        <v>2025</v>
      </c>
    </row>
    <row r="119" spans="1:5" x14ac:dyDescent="0.35">
      <c r="A119">
        <f t="shared" si="4"/>
        <v>20250328</v>
      </c>
      <c r="B119" s="2">
        <v>45744</v>
      </c>
      <c r="C119" t="str">
        <f t="shared" si="5"/>
        <v>March</v>
      </c>
      <c r="D119" t="str">
        <f t="shared" si="6"/>
        <v>Q1</v>
      </c>
      <c r="E119">
        <f t="shared" si="7"/>
        <v>2025</v>
      </c>
    </row>
    <row r="120" spans="1:5" x14ac:dyDescent="0.35">
      <c r="A120">
        <f t="shared" si="4"/>
        <v>20260103</v>
      </c>
      <c r="B120" s="2">
        <v>46025</v>
      </c>
      <c r="C120" t="str">
        <f t="shared" si="5"/>
        <v>January</v>
      </c>
      <c r="D120" t="str">
        <f t="shared" si="6"/>
        <v>Q1</v>
      </c>
      <c r="E120">
        <f t="shared" si="7"/>
        <v>2026</v>
      </c>
    </row>
    <row r="121" spans="1:5" x14ac:dyDescent="0.35">
      <c r="A121">
        <f t="shared" si="4"/>
        <v>20250411</v>
      </c>
      <c r="B121" s="2">
        <v>45758</v>
      </c>
      <c r="C121" t="str">
        <f t="shared" si="5"/>
        <v>April</v>
      </c>
      <c r="D121" t="str">
        <f t="shared" si="6"/>
        <v>Q2</v>
      </c>
      <c r="E121">
        <f t="shared" si="7"/>
        <v>2025</v>
      </c>
    </row>
    <row r="122" spans="1:5" x14ac:dyDescent="0.35">
      <c r="A122">
        <f t="shared" si="4"/>
        <v>20251021</v>
      </c>
      <c r="B122" s="2">
        <v>45951</v>
      </c>
      <c r="C122" t="str">
        <f t="shared" si="5"/>
        <v>October</v>
      </c>
      <c r="D122" t="str">
        <f t="shared" si="6"/>
        <v>Q4</v>
      </c>
      <c r="E122">
        <f t="shared" si="7"/>
        <v>2025</v>
      </c>
    </row>
    <row r="123" spans="1:5" x14ac:dyDescent="0.35">
      <c r="A123">
        <f t="shared" si="4"/>
        <v>20250312</v>
      </c>
      <c r="B123" s="2">
        <v>45728</v>
      </c>
      <c r="C123" t="str">
        <f t="shared" si="5"/>
        <v>March</v>
      </c>
      <c r="D123" t="str">
        <f t="shared" si="6"/>
        <v>Q1</v>
      </c>
      <c r="E123">
        <f t="shared" si="7"/>
        <v>2025</v>
      </c>
    </row>
    <row r="124" spans="1:5" x14ac:dyDescent="0.35">
      <c r="A124">
        <f t="shared" si="4"/>
        <v>20250406</v>
      </c>
      <c r="B124" s="2">
        <v>45753</v>
      </c>
      <c r="C124" t="str">
        <f t="shared" si="5"/>
        <v>April</v>
      </c>
      <c r="D124" t="str">
        <f t="shared" si="6"/>
        <v>Q2</v>
      </c>
      <c r="E124">
        <f t="shared" si="7"/>
        <v>2025</v>
      </c>
    </row>
    <row r="125" spans="1:5" x14ac:dyDescent="0.35">
      <c r="A125">
        <f t="shared" si="4"/>
        <v>20250426</v>
      </c>
      <c r="B125" s="2">
        <v>45773</v>
      </c>
      <c r="C125" t="str">
        <f t="shared" si="5"/>
        <v>April</v>
      </c>
      <c r="D125" t="str">
        <f t="shared" si="6"/>
        <v>Q2</v>
      </c>
      <c r="E125">
        <f t="shared" si="7"/>
        <v>2025</v>
      </c>
    </row>
    <row r="126" spans="1:5" x14ac:dyDescent="0.35">
      <c r="A126">
        <f t="shared" si="4"/>
        <v>20250317</v>
      </c>
      <c r="B126" s="2">
        <v>45733</v>
      </c>
      <c r="C126" t="str">
        <f t="shared" si="5"/>
        <v>March</v>
      </c>
      <c r="D126" t="str">
        <f t="shared" si="6"/>
        <v>Q1</v>
      </c>
      <c r="E126">
        <f t="shared" si="7"/>
        <v>2025</v>
      </c>
    </row>
    <row r="127" spans="1:5" x14ac:dyDescent="0.35">
      <c r="A127">
        <f t="shared" si="4"/>
        <v>20250806</v>
      </c>
      <c r="B127" s="2">
        <v>45875</v>
      </c>
      <c r="C127" t="str">
        <f t="shared" si="5"/>
        <v>August</v>
      </c>
      <c r="D127" t="str">
        <f t="shared" si="6"/>
        <v>Q3</v>
      </c>
      <c r="E127">
        <f t="shared" si="7"/>
        <v>2025</v>
      </c>
    </row>
    <row r="128" spans="1:5" x14ac:dyDescent="0.35">
      <c r="A128">
        <f t="shared" si="4"/>
        <v>20250307</v>
      </c>
      <c r="B128" s="2">
        <v>45723</v>
      </c>
      <c r="C128" t="str">
        <f t="shared" si="5"/>
        <v>March</v>
      </c>
      <c r="D128" t="str">
        <f t="shared" si="6"/>
        <v>Q1</v>
      </c>
      <c r="E128">
        <f t="shared" si="7"/>
        <v>2025</v>
      </c>
    </row>
    <row r="129" spans="1:5" x14ac:dyDescent="0.35">
      <c r="A129">
        <f t="shared" si="4"/>
        <v>20250604</v>
      </c>
      <c r="B129" s="2">
        <v>45812</v>
      </c>
      <c r="C129" t="str">
        <f t="shared" si="5"/>
        <v>June</v>
      </c>
      <c r="D129" t="str">
        <f t="shared" si="6"/>
        <v>Q2</v>
      </c>
      <c r="E129">
        <f t="shared" si="7"/>
        <v>2025</v>
      </c>
    </row>
    <row r="130" spans="1:5" x14ac:dyDescent="0.35">
      <c r="A130">
        <f t="shared" si="4"/>
        <v>20250616</v>
      </c>
      <c r="B130" s="2">
        <v>45824</v>
      </c>
      <c r="C130" t="str">
        <f t="shared" si="5"/>
        <v>June</v>
      </c>
      <c r="D130" t="str">
        <f t="shared" si="6"/>
        <v>Q2</v>
      </c>
      <c r="E130">
        <f t="shared" si="7"/>
        <v>2025</v>
      </c>
    </row>
    <row r="131" spans="1:5" x14ac:dyDescent="0.35">
      <c r="A131">
        <f t="shared" ref="A131:A194" si="8">YEAR(B131)*10000 + MONTH(B131)*100 + DAY(B131)</f>
        <v>20250601</v>
      </c>
      <c r="B131" s="2">
        <v>45809</v>
      </c>
      <c r="C131" t="str">
        <f t="shared" ref="C131:C194" si="9">TEXT(B131,"mmmm")</f>
        <v>June</v>
      </c>
      <c r="D131" t="str">
        <f t="shared" ref="D131:D194" si="10">"Q"&amp;ROUNDUP(MONTH(B131)/3,0)</f>
        <v>Q2</v>
      </c>
      <c r="E131">
        <f t="shared" ref="E131:E194" si="11">YEAR(B131)</f>
        <v>2025</v>
      </c>
    </row>
    <row r="132" spans="1:5" x14ac:dyDescent="0.35">
      <c r="A132">
        <f t="shared" si="8"/>
        <v>20250117</v>
      </c>
      <c r="B132" s="2">
        <v>45674</v>
      </c>
      <c r="C132" t="str">
        <f t="shared" si="9"/>
        <v>January</v>
      </c>
      <c r="D132" t="str">
        <f t="shared" si="10"/>
        <v>Q1</v>
      </c>
      <c r="E132">
        <f t="shared" si="11"/>
        <v>2025</v>
      </c>
    </row>
    <row r="133" spans="1:5" x14ac:dyDescent="0.35">
      <c r="A133">
        <f t="shared" si="8"/>
        <v>20250622</v>
      </c>
      <c r="B133" s="2">
        <v>45830</v>
      </c>
      <c r="C133" t="str">
        <f t="shared" si="9"/>
        <v>June</v>
      </c>
      <c r="D133" t="str">
        <f t="shared" si="10"/>
        <v>Q2</v>
      </c>
      <c r="E133">
        <f t="shared" si="11"/>
        <v>2025</v>
      </c>
    </row>
    <row r="134" spans="1:5" x14ac:dyDescent="0.35">
      <c r="A134">
        <f t="shared" si="8"/>
        <v>20251009</v>
      </c>
      <c r="B134" s="2">
        <v>45939</v>
      </c>
      <c r="C134" t="str">
        <f t="shared" si="9"/>
        <v>October</v>
      </c>
      <c r="D134" t="str">
        <f t="shared" si="10"/>
        <v>Q4</v>
      </c>
      <c r="E134">
        <f t="shared" si="11"/>
        <v>2025</v>
      </c>
    </row>
    <row r="135" spans="1:5" x14ac:dyDescent="0.35">
      <c r="A135">
        <f t="shared" si="8"/>
        <v>20251120</v>
      </c>
      <c r="B135" s="2">
        <v>45981</v>
      </c>
      <c r="C135" t="str">
        <f t="shared" si="9"/>
        <v>November</v>
      </c>
      <c r="D135" t="str">
        <f t="shared" si="10"/>
        <v>Q4</v>
      </c>
      <c r="E135">
        <f t="shared" si="11"/>
        <v>2025</v>
      </c>
    </row>
    <row r="136" spans="1:5" x14ac:dyDescent="0.35">
      <c r="A136">
        <f t="shared" si="8"/>
        <v>20250225</v>
      </c>
      <c r="B136" s="2">
        <v>45713</v>
      </c>
      <c r="C136" t="str">
        <f t="shared" si="9"/>
        <v>February</v>
      </c>
      <c r="D136" t="str">
        <f t="shared" si="10"/>
        <v>Q1</v>
      </c>
      <c r="E136">
        <f t="shared" si="11"/>
        <v>2025</v>
      </c>
    </row>
    <row r="137" spans="1:5" x14ac:dyDescent="0.35">
      <c r="A137">
        <f t="shared" si="8"/>
        <v>20250526</v>
      </c>
      <c r="B137" s="2">
        <v>45803</v>
      </c>
      <c r="C137" t="str">
        <f t="shared" si="9"/>
        <v>May</v>
      </c>
      <c r="D137" t="str">
        <f t="shared" si="10"/>
        <v>Q2</v>
      </c>
      <c r="E137">
        <f t="shared" si="11"/>
        <v>2025</v>
      </c>
    </row>
    <row r="138" spans="1:5" x14ac:dyDescent="0.35">
      <c r="A138">
        <f t="shared" si="8"/>
        <v>20250726</v>
      </c>
      <c r="B138" s="2">
        <v>45864</v>
      </c>
      <c r="C138" t="str">
        <f t="shared" si="9"/>
        <v>July</v>
      </c>
      <c r="D138" t="str">
        <f t="shared" si="10"/>
        <v>Q3</v>
      </c>
      <c r="E138">
        <f t="shared" si="11"/>
        <v>2025</v>
      </c>
    </row>
    <row r="139" spans="1:5" x14ac:dyDescent="0.35">
      <c r="A139">
        <f t="shared" si="8"/>
        <v>20250527</v>
      </c>
      <c r="B139" s="2">
        <v>45804</v>
      </c>
      <c r="C139" t="str">
        <f t="shared" si="9"/>
        <v>May</v>
      </c>
      <c r="D139" t="str">
        <f t="shared" si="10"/>
        <v>Q2</v>
      </c>
      <c r="E139">
        <f t="shared" si="11"/>
        <v>2025</v>
      </c>
    </row>
    <row r="140" spans="1:5" x14ac:dyDescent="0.35">
      <c r="A140">
        <f t="shared" si="8"/>
        <v>20250104</v>
      </c>
      <c r="B140" s="2">
        <v>45661</v>
      </c>
      <c r="C140" t="str">
        <f t="shared" si="9"/>
        <v>January</v>
      </c>
      <c r="D140" t="str">
        <f t="shared" si="10"/>
        <v>Q1</v>
      </c>
      <c r="E140">
        <f t="shared" si="11"/>
        <v>2025</v>
      </c>
    </row>
    <row r="141" spans="1:5" x14ac:dyDescent="0.35">
      <c r="A141">
        <f t="shared" si="8"/>
        <v>20250516</v>
      </c>
      <c r="B141" s="2">
        <v>45793</v>
      </c>
      <c r="C141" t="str">
        <f t="shared" si="9"/>
        <v>May</v>
      </c>
      <c r="D141" t="str">
        <f t="shared" si="10"/>
        <v>Q2</v>
      </c>
      <c r="E141">
        <f t="shared" si="11"/>
        <v>2025</v>
      </c>
    </row>
    <row r="142" spans="1:5" x14ac:dyDescent="0.35">
      <c r="A142">
        <f t="shared" si="8"/>
        <v>20250628</v>
      </c>
      <c r="B142" s="2">
        <v>45836</v>
      </c>
      <c r="C142" t="str">
        <f t="shared" si="9"/>
        <v>June</v>
      </c>
      <c r="D142" t="str">
        <f t="shared" si="10"/>
        <v>Q2</v>
      </c>
      <c r="E142">
        <f t="shared" si="11"/>
        <v>2025</v>
      </c>
    </row>
    <row r="143" spans="1:5" x14ac:dyDescent="0.35">
      <c r="A143">
        <f t="shared" si="8"/>
        <v>20251204</v>
      </c>
      <c r="B143" s="2">
        <v>45995</v>
      </c>
      <c r="C143" t="str">
        <f t="shared" si="9"/>
        <v>December</v>
      </c>
      <c r="D143" t="str">
        <f t="shared" si="10"/>
        <v>Q4</v>
      </c>
      <c r="E143">
        <f t="shared" si="11"/>
        <v>2025</v>
      </c>
    </row>
    <row r="144" spans="1:5" x14ac:dyDescent="0.35">
      <c r="A144">
        <f t="shared" si="8"/>
        <v>20250216</v>
      </c>
      <c r="B144" s="2">
        <v>45704</v>
      </c>
      <c r="C144" t="str">
        <f t="shared" si="9"/>
        <v>February</v>
      </c>
      <c r="D144" t="str">
        <f t="shared" si="10"/>
        <v>Q1</v>
      </c>
      <c r="E144">
        <f t="shared" si="11"/>
        <v>2025</v>
      </c>
    </row>
    <row r="145" spans="1:5" x14ac:dyDescent="0.35">
      <c r="A145">
        <f t="shared" si="8"/>
        <v>20250506</v>
      </c>
      <c r="B145" s="2">
        <v>45783</v>
      </c>
      <c r="C145" t="str">
        <f t="shared" si="9"/>
        <v>May</v>
      </c>
      <c r="D145" t="str">
        <f t="shared" si="10"/>
        <v>Q2</v>
      </c>
      <c r="E145">
        <f t="shared" si="11"/>
        <v>2025</v>
      </c>
    </row>
    <row r="146" spans="1:5" x14ac:dyDescent="0.35">
      <c r="A146">
        <f t="shared" si="8"/>
        <v>20250804</v>
      </c>
      <c r="B146" s="2">
        <v>45873</v>
      </c>
      <c r="C146" t="str">
        <f t="shared" si="9"/>
        <v>August</v>
      </c>
      <c r="D146" t="str">
        <f t="shared" si="10"/>
        <v>Q3</v>
      </c>
      <c r="E146">
        <f t="shared" si="11"/>
        <v>2025</v>
      </c>
    </row>
    <row r="147" spans="1:5" x14ac:dyDescent="0.35">
      <c r="A147">
        <f t="shared" si="8"/>
        <v>20250505</v>
      </c>
      <c r="B147" s="2">
        <v>45782</v>
      </c>
      <c r="C147" t="str">
        <f t="shared" si="9"/>
        <v>May</v>
      </c>
      <c r="D147" t="str">
        <f t="shared" si="10"/>
        <v>Q2</v>
      </c>
      <c r="E147">
        <f t="shared" si="11"/>
        <v>2025</v>
      </c>
    </row>
    <row r="148" spans="1:5" x14ac:dyDescent="0.35">
      <c r="A148">
        <f t="shared" si="8"/>
        <v>20251227</v>
      </c>
      <c r="B148" s="2">
        <v>46018</v>
      </c>
      <c r="C148" t="str">
        <f t="shared" si="9"/>
        <v>December</v>
      </c>
      <c r="D148" t="str">
        <f t="shared" si="10"/>
        <v>Q4</v>
      </c>
      <c r="E148">
        <f t="shared" si="11"/>
        <v>2025</v>
      </c>
    </row>
    <row r="149" spans="1:5" x14ac:dyDescent="0.35">
      <c r="A149">
        <f t="shared" si="8"/>
        <v>20251003</v>
      </c>
      <c r="B149" s="2">
        <v>45933</v>
      </c>
      <c r="C149" t="str">
        <f t="shared" si="9"/>
        <v>October</v>
      </c>
      <c r="D149" t="str">
        <f t="shared" si="10"/>
        <v>Q4</v>
      </c>
      <c r="E149">
        <f t="shared" si="11"/>
        <v>2025</v>
      </c>
    </row>
    <row r="150" spans="1:5" x14ac:dyDescent="0.35">
      <c r="A150">
        <f t="shared" si="8"/>
        <v>20250210</v>
      </c>
      <c r="B150" s="2">
        <v>45698</v>
      </c>
      <c r="C150" t="str">
        <f t="shared" si="9"/>
        <v>February</v>
      </c>
      <c r="D150" t="str">
        <f t="shared" si="10"/>
        <v>Q1</v>
      </c>
      <c r="E150">
        <f t="shared" si="11"/>
        <v>2025</v>
      </c>
    </row>
    <row r="151" spans="1:5" x14ac:dyDescent="0.35">
      <c r="A151">
        <f t="shared" si="8"/>
        <v>20250822</v>
      </c>
      <c r="B151" s="2">
        <v>45891</v>
      </c>
      <c r="C151" t="str">
        <f t="shared" si="9"/>
        <v>August</v>
      </c>
      <c r="D151" t="str">
        <f t="shared" si="10"/>
        <v>Q3</v>
      </c>
      <c r="E151">
        <f t="shared" si="11"/>
        <v>2025</v>
      </c>
    </row>
    <row r="152" spans="1:5" x14ac:dyDescent="0.35">
      <c r="A152">
        <f t="shared" si="8"/>
        <v>20250723</v>
      </c>
      <c r="B152" s="2">
        <v>45861</v>
      </c>
      <c r="C152" t="str">
        <f t="shared" si="9"/>
        <v>July</v>
      </c>
      <c r="D152" t="str">
        <f t="shared" si="10"/>
        <v>Q3</v>
      </c>
      <c r="E152">
        <f t="shared" si="11"/>
        <v>2025</v>
      </c>
    </row>
    <row r="153" spans="1:5" x14ac:dyDescent="0.35">
      <c r="A153">
        <f t="shared" si="8"/>
        <v>20251022</v>
      </c>
      <c r="B153" s="2">
        <v>45952</v>
      </c>
      <c r="C153" t="str">
        <f t="shared" si="9"/>
        <v>October</v>
      </c>
      <c r="D153" t="str">
        <f t="shared" si="10"/>
        <v>Q4</v>
      </c>
      <c r="E153">
        <f t="shared" si="11"/>
        <v>2025</v>
      </c>
    </row>
    <row r="154" spans="1:5" x14ac:dyDescent="0.35">
      <c r="A154">
        <f t="shared" si="8"/>
        <v>20250523</v>
      </c>
      <c r="B154" s="2">
        <v>45800</v>
      </c>
      <c r="C154" t="str">
        <f t="shared" si="9"/>
        <v>May</v>
      </c>
      <c r="D154" t="str">
        <f t="shared" si="10"/>
        <v>Q2</v>
      </c>
      <c r="E154">
        <f t="shared" si="11"/>
        <v>2025</v>
      </c>
    </row>
    <row r="155" spans="1:5" x14ac:dyDescent="0.35">
      <c r="A155">
        <f t="shared" si="8"/>
        <v>20250129</v>
      </c>
      <c r="B155" s="2">
        <v>45686</v>
      </c>
      <c r="C155" t="str">
        <f t="shared" si="9"/>
        <v>January</v>
      </c>
      <c r="D155" t="str">
        <f t="shared" si="10"/>
        <v>Q1</v>
      </c>
      <c r="E155">
        <f t="shared" si="11"/>
        <v>2025</v>
      </c>
    </row>
    <row r="156" spans="1:5" x14ac:dyDescent="0.35">
      <c r="A156">
        <f t="shared" si="8"/>
        <v>20251101</v>
      </c>
      <c r="B156" s="2">
        <v>45962</v>
      </c>
      <c r="C156" t="str">
        <f t="shared" si="9"/>
        <v>November</v>
      </c>
      <c r="D156" t="str">
        <f t="shared" si="10"/>
        <v>Q4</v>
      </c>
      <c r="E156">
        <f t="shared" si="11"/>
        <v>2025</v>
      </c>
    </row>
    <row r="157" spans="1:5" x14ac:dyDescent="0.35">
      <c r="A157">
        <f t="shared" si="8"/>
        <v>20251111</v>
      </c>
      <c r="B157" s="2">
        <v>45972</v>
      </c>
      <c r="C157" t="str">
        <f t="shared" si="9"/>
        <v>November</v>
      </c>
      <c r="D157" t="str">
        <f t="shared" si="10"/>
        <v>Q4</v>
      </c>
      <c r="E157">
        <f t="shared" si="11"/>
        <v>2025</v>
      </c>
    </row>
    <row r="158" spans="1:5" x14ac:dyDescent="0.35">
      <c r="A158">
        <f t="shared" si="8"/>
        <v>20251225</v>
      </c>
      <c r="B158" s="2">
        <v>46016</v>
      </c>
      <c r="C158" t="str">
        <f t="shared" si="9"/>
        <v>December</v>
      </c>
      <c r="D158" t="str">
        <f t="shared" si="10"/>
        <v>Q4</v>
      </c>
      <c r="E158">
        <f t="shared" si="11"/>
        <v>2025</v>
      </c>
    </row>
    <row r="159" spans="1:5" x14ac:dyDescent="0.35">
      <c r="A159">
        <f t="shared" si="8"/>
        <v>20250709</v>
      </c>
      <c r="B159" s="2">
        <v>45847</v>
      </c>
      <c r="C159" t="str">
        <f t="shared" si="9"/>
        <v>July</v>
      </c>
      <c r="D159" t="str">
        <f t="shared" si="10"/>
        <v>Q3</v>
      </c>
      <c r="E159">
        <f t="shared" si="11"/>
        <v>2025</v>
      </c>
    </row>
    <row r="160" spans="1:5" x14ac:dyDescent="0.35">
      <c r="A160">
        <f t="shared" si="8"/>
        <v>20251210</v>
      </c>
      <c r="B160" s="2">
        <v>46001</v>
      </c>
      <c r="C160" t="str">
        <f t="shared" si="9"/>
        <v>December</v>
      </c>
      <c r="D160" t="str">
        <f t="shared" si="10"/>
        <v>Q4</v>
      </c>
      <c r="E160">
        <f t="shared" si="11"/>
        <v>2025</v>
      </c>
    </row>
    <row r="161" spans="1:5" x14ac:dyDescent="0.35">
      <c r="A161">
        <f t="shared" si="8"/>
        <v>20250111</v>
      </c>
      <c r="B161" s="2">
        <v>45668</v>
      </c>
      <c r="C161" t="str">
        <f t="shared" si="9"/>
        <v>January</v>
      </c>
      <c r="D161" t="str">
        <f t="shared" si="10"/>
        <v>Q1</v>
      </c>
      <c r="E161">
        <f t="shared" si="11"/>
        <v>2025</v>
      </c>
    </row>
    <row r="162" spans="1:5" x14ac:dyDescent="0.35">
      <c r="A162">
        <f t="shared" si="8"/>
        <v>20250911</v>
      </c>
      <c r="B162" s="2">
        <v>45911</v>
      </c>
      <c r="C162" t="str">
        <f t="shared" si="9"/>
        <v>September</v>
      </c>
      <c r="D162" t="str">
        <f t="shared" si="10"/>
        <v>Q3</v>
      </c>
      <c r="E162">
        <f t="shared" si="11"/>
        <v>2025</v>
      </c>
    </row>
    <row r="163" spans="1:5" x14ac:dyDescent="0.35">
      <c r="A163">
        <f t="shared" si="8"/>
        <v>20250314</v>
      </c>
      <c r="B163" s="2">
        <v>45730</v>
      </c>
      <c r="C163" t="str">
        <f t="shared" si="9"/>
        <v>March</v>
      </c>
      <c r="D163" t="str">
        <f t="shared" si="10"/>
        <v>Q1</v>
      </c>
      <c r="E163">
        <f t="shared" si="11"/>
        <v>2025</v>
      </c>
    </row>
    <row r="164" spans="1:5" x14ac:dyDescent="0.35">
      <c r="A164">
        <f t="shared" si="8"/>
        <v>20250423</v>
      </c>
      <c r="B164" s="2">
        <v>45770</v>
      </c>
      <c r="C164" t="str">
        <f t="shared" si="9"/>
        <v>April</v>
      </c>
      <c r="D164" t="str">
        <f t="shared" si="10"/>
        <v>Q2</v>
      </c>
      <c r="E164">
        <f t="shared" si="11"/>
        <v>2025</v>
      </c>
    </row>
    <row r="165" spans="1:5" x14ac:dyDescent="0.35">
      <c r="A165">
        <f t="shared" si="8"/>
        <v>20250223</v>
      </c>
      <c r="B165" s="2">
        <v>45711</v>
      </c>
      <c r="C165" t="str">
        <f t="shared" si="9"/>
        <v>February</v>
      </c>
      <c r="D165" t="str">
        <f t="shared" si="10"/>
        <v>Q1</v>
      </c>
      <c r="E165">
        <f t="shared" si="11"/>
        <v>2025</v>
      </c>
    </row>
    <row r="166" spans="1:5" x14ac:dyDescent="0.35">
      <c r="A166">
        <f t="shared" si="8"/>
        <v>20250920</v>
      </c>
      <c r="B166" s="2">
        <v>45920</v>
      </c>
      <c r="C166" t="str">
        <f t="shared" si="9"/>
        <v>September</v>
      </c>
      <c r="D166" t="str">
        <f t="shared" si="10"/>
        <v>Q3</v>
      </c>
      <c r="E166">
        <f t="shared" si="11"/>
        <v>2025</v>
      </c>
    </row>
    <row r="167" spans="1:5" x14ac:dyDescent="0.35">
      <c r="A167">
        <f t="shared" si="8"/>
        <v>20250831</v>
      </c>
      <c r="B167" s="2">
        <v>45900</v>
      </c>
      <c r="C167" t="str">
        <f t="shared" si="9"/>
        <v>August</v>
      </c>
      <c r="D167" t="str">
        <f t="shared" si="10"/>
        <v>Q3</v>
      </c>
      <c r="E167">
        <f t="shared" si="11"/>
        <v>2025</v>
      </c>
    </row>
    <row r="168" spans="1:5" x14ac:dyDescent="0.35">
      <c r="A168">
        <f t="shared" si="8"/>
        <v>20250927</v>
      </c>
      <c r="B168" s="2">
        <v>45927</v>
      </c>
      <c r="C168" t="str">
        <f t="shared" si="9"/>
        <v>September</v>
      </c>
      <c r="D168" t="str">
        <f t="shared" si="10"/>
        <v>Q3</v>
      </c>
      <c r="E168">
        <f t="shared" si="11"/>
        <v>2025</v>
      </c>
    </row>
    <row r="169" spans="1:5" x14ac:dyDescent="0.35">
      <c r="A169">
        <f t="shared" si="8"/>
        <v>20250902</v>
      </c>
      <c r="B169" s="2">
        <v>45902</v>
      </c>
      <c r="C169" t="str">
        <f t="shared" si="9"/>
        <v>September</v>
      </c>
      <c r="D169" t="str">
        <f t="shared" si="10"/>
        <v>Q3</v>
      </c>
      <c r="E169">
        <f t="shared" si="11"/>
        <v>2025</v>
      </c>
    </row>
    <row r="170" spans="1:5" x14ac:dyDescent="0.35">
      <c r="A170">
        <f t="shared" si="8"/>
        <v>20250311</v>
      </c>
      <c r="B170" s="2">
        <v>45727</v>
      </c>
      <c r="C170" t="str">
        <f t="shared" si="9"/>
        <v>March</v>
      </c>
      <c r="D170" t="str">
        <f t="shared" si="10"/>
        <v>Q1</v>
      </c>
      <c r="E170">
        <f t="shared" si="11"/>
        <v>2025</v>
      </c>
    </row>
    <row r="171" spans="1:5" x14ac:dyDescent="0.35">
      <c r="A171">
        <f t="shared" si="8"/>
        <v>20250418</v>
      </c>
      <c r="B171" s="2">
        <v>45765</v>
      </c>
      <c r="C171" t="str">
        <f t="shared" si="9"/>
        <v>April</v>
      </c>
      <c r="D171" t="str">
        <f t="shared" si="10"/>
        <v>Q2</v>
      </c>
      <c r="E171">
        <f t="shared" si="11"/>
        <v>2025</v>
      </c>
    </row>
    <row r="172" spans="1:5" x14ac:dyDescent="0.35">
      <c r="A172">
        <f t="shared" si="8"/>
        <v>20250814</v>
      </c>
      <c r="B172" s="2">
        <v>45883</v>
      </c>
      <c r="C172" t="str">
        <f t="shared" si="9"/>
        <v>August</v>
      </c>
      <c r="D172" t="str">
        <f t="shared" si="10"/>
        <v>Q3</v>
      </c>
      <c r="E172">
        <f t="shared" si="11"/>
        <v>2025</v>
      </c>
    </row>
    <row r="173" spans="1:5" x14ac:dyDescent="0.35">
      <c r="A173">
        <f t="shared" si="8"/>
        <v>20250509</v>
      </c>
      <c r="B173" s="2">
        <v>45786</v>
      </c>
      <c r="C173" t="str">
        <f t="shared" si="9"/>
        <v>May</v>
      </c>
      <c r="D173" t="str">
        <f t="shared" si="10"/>
        <v>Q2</v>
      </c>
      <c r="E173">
        <f t="shared" si="11"/>
        <v>2025</v>
      </c>
    </row>
    <row r="174" spans="1:5" x14ac:dyDescent="0.35">
      <c r="A174">
        <f t="shared" si="8"/>
        <v>20250805</v>
      </c>
      <c r="B174" s="2">
        <v>45874</v>
      </c>
      <c r="C174" t="str">
        <f t="shared" si="9"/>
        <v>August</v>
      </c>
      <c r="D174" t="str">
        <f t="shared" si="10"/>
        <v>Q3</v>
      </c>
      <c r="E174">
        <f t="shared" si="11"/>
        <v>2025</v>
      </c>
    </row>
    <row r="175" spans="1:5" x14ac:dyDescent="0.35">
      <c r="A175">
        <f t="shared" si="8"/>
        <v>20250326</v>
      </c>
      <c r="B175" s="2">
        <v>45742</v>
      </c>
      <c r="C175" t="str">
        <f t="shared" si="9"/>
        <v>March</v>
      </c>
      <c r="D175" t="str">
        <f t="shared" si="10"/>
        <v>Q1</v>
      </c>
      <c r="E175">
        <f t="shared" si="11"/>
        <v>2025</v>
      </c>
    </row>
    <row r="176" spans="1:5" x14ac:dyDescent="0.35">
      <c r="A176">
        <f t="shared" si="8"/>
        <v>20250212</v>
      </c>
      <c r="B176" s="2">
        <v>45700</v>
      </c>
      <c r="C176" t="str">
        <f t="shared" si="9"/>
        <v>February</v>
      </c>
      <c r="D176" t="str">
        <f t="shared" si="10"/>
        <v>Q1</v>
      </c>
      <c r="E176">
        <f t="shared" si="11"/>
        <v>2025</v>
      </c>
    </row>
    <row r="177" spans="1:5" x14ac:dyDescent="0.35">
      <c r="A177">
        <f t="shared" si="8"/>
        <v>20250909</v>
      </c>
      <c r="B177" s="2">
        <v>45909</v>
      </c>
      <c r="C177" t="str">
        <f t="shared" si="9"/>
        <v>September</v>
      </c>
      <c r="D177" t="str">
        <f t="shared" si="10"/>
        <v>Q3</v>
      </c>
      <c r="E177">
        <f t="shared" si="11"/>
        <v>2025</v>
      </c>
    </row>
    <row r="178" spans="1:5" x14ac:dyDescent="0.35">
      <c r="A178">
        <f t="shared" si="8"/>
        <v>20250819</v>
      </c>
      <c r="B178" s="2">
        <v>45888</v>
      </c>
      <c r="C178" t="str">
        <f t="shared" si="9"/>
        <v>August</v>
      </c>
      <c r="D178" t="str">
        <f t="shared" si="10"/>
        <v>Q3</v>
      </c>
      <c r="E178">
        <f t="shared" si="11"/>
        <v>2025</v>
      </c>
    </row>
    <row r="179" spans="1:5" x14ac:dyDescent="0.35">
      <c r="A179">
        <f t="shared" si="8"/>
        <v>20251030</v>
      </c>
      <c r="B179" s="2">
        <v>45960</v>
      </c>
      <c r="C179" t="str">
        <f t="shared" si="9"/>
        <v>October</v>
      </c>
      <c r="D179" t="str">
        <f t="shared" si="10"/>
        <v>Q4</v>
      </c>
      <c r="E179">
        <f t="shared" si="11"/>
        <v>2025</v>
      </c>
    </row>
    <row r="180" spans="1:5" x14ac:dyDescent="0.35">
      <c r="A180">
        <f t="shared" si="8"/>
        <v>20251016</v>
      </c>
      <c r="B180" s="2">
        <v>45946</v>
      </c>
      <c r="C180" t="str">
        <f t="shared" si="9"/>
        <v>October</v>
      </c>
      <c r="D180" t="str">
        <f t="shared" si="10"/>
        <v>Q4</v>
      </c>
      <c r="E180">
        <f t="shared" si="11"/>
        <v>2025</v>
      </c>
    </row>
    <row r="181" spans="1:5" x14ac:dyDescent="0.35">
      <c r="A181">
        <f t="shared" si="8"/>
        <v>20251025</v>
      </c>
      <c r="B181" s="2">
        <v>45955</v>
      </c>
      <c r="C181" t="str">
        <f t="shared" si="9"/>
        <v>October</v>
      </c>
      <c r="D181" t="str">
        <f t="shared" si="10"/>
        <v>Q4</v>
      </c>
      <c r="E181">
        <f t="shared" si="11"/>
        <v>2025</v>
      </c>
    </row>
    <row r="182" spans="1:5" x14ac:dyDescent="0.35">
      <c r="A182">
        <f t="shared" si="8"/>
        <v>20250320</v>
      </c>
      <c r="B182" s="2">
        <v>45736</v>
      </c>
      <c r="C182" t="str">
        <f t="shared" si="9"/>
        <v>March</v>
      </c>
      <c r="D182" t="str">
        <f t="shared" si="10"/>
        <v>Q1</v>
      </c>
      <c r="E182">
        <f t="shared" si="11"/>
        <v>2025</v>
      </c>
    </row>
    <row r="183" spans="1:5" x14ac:dyDescent="0.35">
      <c r="A183">
        <f t="shared" si="8"/>
        <v>20250507</v>
      </c>
      <c r="B183" s="2">
        <v>45784</v>
      </c>
      <c r="C183" t="str">
        <f t="shared" si="9"/>
        <v>May</v>
      </c>
      <c r="D183" t="str">
        <f t="shared" si="10"/>
        <v>Q2</v>
      </c>
      <c r="E183">
        <f t="shared" si="11"/>
        <v>2025</v>
      </c>
    </row>
    <row r="184" spans="1:5" x14ac:dyDescent="0.35">
      <c r="A184">
        <f t="shared" si="8"/>
        <v>20251122</v>
      </c>
      <c r="B184" s="2">
        <v>45983</v>
      </c>
      <c r="C184" t="str">
        <f t="shared" si="9"/>
        <v>November</v>
      </c>
      <c r="D184" t="str">
        <f t="shared" si="10"/>
        <v>Q4</v>
      </c>
      <c r="E184">
        <f t="shared" si="11"/>
        <v>2025</v>
      </c>
    </row>
    <row r="185" spans="1:5" x14ac:dyDescent="0.35">
      <c r="A185">
        <f t="shared" si="8"/>
        <v>20250825</v>
      </c>
      <c r="B185" s="2">
        <v>45894</v>
      </c>
      <c r="C185" t="str">
        <f t="shared" si="9"/>
        <v>August</v>
      </c>
      <c r="D185" t="str">
        <f t="shared" si="10"/>
        <v>Q3</v>
      </c>
      <c r="E185">
        <f t="shared" si="11"/>
        <v>2025</v>
      </c>
    </row>
    <row r="186" spans="1:5" x14ac:dyDescent="0.35">
      <c r="A186">
        <f t="shared" si="8"/>
        <v>20250906</v>
      </c>
      <c r="B186" s="2">
        <v>45906</v>
      </c>
      <c r="C186" t="str">
        <f t="shared" si="9"/>
        <v>September</v>
      </c>
      <c r="D186" t="str">
        <f t="shared" si="10"/>
        <v>Q3</v>
      </c>
      <c r="E186">
        <f t="shared" si="11"/>
        <v>2025</v>
      </c>
    </row>
    <row r="187" spans="1:5" x14ac:dyDescent="0.35">
      <c r="A187">
        <f t="shared" si="8"/>
        <v>20250518</v>
      </c>
      <c r="B187" s="2">
        <v>45795</v>
      </c>
      <c r="C187" t="str">
        <f t="shared" si="9"/>
        <v>May</v>
      </c>
      <c r="D187" t="str">
        <f t="shared" si="10"/>
        <v>Q2</v>
      </c>
      <c r="E187">
        <f t="shared" si="11"/>
        <v>2025</v>
      </c>
    </row>
    <row r="188" spans="1:5" x14ac:dyDescent="0.35">
      <c r="A188">
        <f t="shared" si="8"/>
        <v>20251222</v>
      </c>
      <c r="B188" s="2">
        <v>46013</v>
      </c>
      <c r="C188" t="str">
        <f t="shared" si="9"/>
        <v>December</v>
      </c>
      <c r="D188" t="str">
        <f t="shared" si="10"/>
        <v>Q4</v>
      </c>
      <c r="E188">
        <f t="shared" si="11"/>
        <v>2025</v>
      </c>
    </row>
    <row r="189" spans="1:5" x14ac:dyDescent="0.35">
      <c r="A189">
        <f t="shared" si="8"/>
        <v>20250621</v>
      </c>
      <c r="B189" s="2">
        <v>45829</v>
      </c>
      <c r="C189" t="str">
        <f t="shared" si="9"/>
        <v>June</v>
      </c>
      <c r="D189" t="str">
        <f t="shared" si="10"/>
        <v>Q2</v>
      </c>
      <c r="E189">
        <f t="shared" si="11"/>
        <v>2025</v>
      </c>
    </row>
    <row r="190" spans="1:5" x14ac:dyDescent="0.35">
      <c r="A190">
        <f t="shared" si="8"/>
        <v>20251221</v>
      </c>
      <c r="B190" s="2">
        <v>46012</v>
      </c>
      <c r="C190" t="str">
        <f t="shared" si="9"/>
        <v>December</v>
      </c>
      <c r="D190" t="str">
        <f t="shared" si="10"/>
        <v>Q4</v>
      </c>
      <c r="E190">
        <f t="shared" si="11"/>
        <v>2025</v>
      </c>
    </row>
    <row r="191" spans="1:5" x14ac:dyDescent="0.35">
      <c r="A191">
        <f t="shared" si="8"/>
        <v>20250219</v>
      </c>
      <c r="B191" s="2">
        <v>45707</v>
      </c>
      <c r="C191" t="str">
        <f t="shared" si="9"/>
        <v>February</v>
      </c>
      <c r="D191" t="str">
        <f t="shared" si="10"/>
        <v>Q1</v>
      </c>
      <c r="E191">
        <f t="shared" si="11"/>
        <v>2025</v>
      </c>
    </row>
    <row r="192" spans="1:5" x14ac:dyDescent="0.35">
      <c r="A192">
        <f t="shared" si="8"/>
        <v>20251014</v>
      </c>
      <c r="B192" s="2">
        <v>45944</v>
      </c>
      <c r="C192" t="str">
        <f t="shared" si="9"/>
        <v>October</v>
      </c>
      <c r="D192" t="str">
        <f t="shared" si="10"/>
        <v>Q4</v>
      </c>
      <c r="E192">
        <f t="shared" si="11"/>
        <v>2025</v>
      </c>
    </row>
    <row r="193" spans="1:5" x14ac:dyDescent="0.35">
      <c r="A193">
        <f t="shared" si="8"/>
        <v>20250124</v>
      </c>
      <c r="B193" s="2">
        <v>45681</v>
      </c>
      <c r="C193" t="str">
        <f t="shared" si="9"/>
        <v>January</v>
      </c>
      <c r="D193" t="str">
        <f t="shared" si="10"/>
        <v>Q1</v>
      </c>
      <c r="E193">
        <f t="shared" si="11"/>
        <v>2025</v>
      </c>
    </row>
    <row r="194" spans="1:5" x14ac:dyDescent="0.35">
      <c r="A194">
        <f t="shared" si="8"/>
        <v>20250724</v>
      </c>
      <c r="B194" s="2">
        <v>45862</v>
      </c>
      <c r="C194" t="str">
        <f t="shared" si="9"/>
        <v>July</v>
      </c>
      <c r="D194" t="str">
        <f t="shared" si="10"/>
        <v>Q3</v>
      </c>
      <c r="E194">
        <f t="shared" si="11"/>
        <v>2025</v>
      </c>
    </row>
    <row r="195" spans="1:5" x14ac:dyDescent="0.35">
      <c r="A195">
        <f t="shared" ref="A195:A258" si="12">YEAR(B195)*10000 + MONTH(B195)*100 + DAY(B195)</f>
        <v>20250923</v>
      </c>
      <c r="B195" s="2">
        <v>45923</v>
      </c>
      <c r="C195" t="str">
        <f t="shared" ref="C195:C258" si="13">TEXT(B195,"mmmm")</f>
        <v>September</v>
      </c>
      <c r="D195" t="str">
        <f t="shared" ref="D195:D258" si="14">"Q"&amp;ROUNDUP(MONTH(B195)/3,0)</f>
        <v>Q3</v>
      </c>
      <c r="E195">
        <f t="shared" ref="E195:E258" si="15">YEAR(B195)</f>
        <v>2025</v>
      </c>
    </row>
    <row r="196" spans="1:5" x14ac:dyDescent="0.35">
      <c r="A196">
        <f t="shared" si="12"/>
        <v>20250818</v>
      </c>
      <c r="B196" s="2">
        <v>45887</v>
      </c>
      <c r="C196" t="str">
        <f t="shared" si="13"/>
        <v>August</v>
      </c>
      <c r="D196" t="str">
        <f t="shared" si="14"/>
        <v>Q3</v>
      </c>
      <c r="E196">
        <f t="shared" si="15"/>
        <v>2025</v>
      </c>
    </row>
    <row r="197" spans="1:5" x14ac:dyDescent="0.35">
      <c r="A197">
        <f t="shared" si="12"/>
        <v>20250613</v>
      </c>
      <c r="B197" s="2">
        <v>45821</v>
      </c>
      <c r="C197" t="str">
        <f t="shared" si="13"/>
        <v>June</v>
      </c>
      <c r="D197" t="str">
        <f t="shared" si="14"/>
        <v>Q2</v>
      </c>
      <c r="E197">
        <f t="shared" si="15"/>
        <v>2025</v>
      </c>
    </row>
    <row r="198" spans="1:5" x14ac:dyDescent="0.35">
      <c r="A198">
        <f t="shared" si="12"/>
        <v>20250722</v>
      </c>
      <c r="B198" s="2">
        <v>45860</v>
      </c>
      <c r="C198" t="str">
        <f t="shared" si="13"/>
        <v>July</v>
      </c>
      <c r="D198" t="str">
        <f t="shared" si="14"/>
        <v>Q3</v>
      </c>
      <c r="E198">
        <f t="shared" si="15"/>
        <v>2025</v>
      </c>
    </row>
    <row r="199" spans="1:5" x14ac:dyDescent="0.35">
      <c r="A199">
        <f t="shared" si="12"/>
        <v>20250714</v>
      </c>
      <c r="B199" s="2">
        <v>45852</v>
      </c>
      <c r="C199" t="str">
        <f t="shared" si="13"/>
        <v>July</v>
      </c>
      <c r="D199" t="str">
        <f t="shared" si="14"/>
        <v>Q3</v>
      </c>
      <c r="E199">
        <f t="shared" si="15"/>
        <v>2025</v>
      </c>
    </row>
    <row r="200" spans="1:5" x14ac:dyDescent="0.35">
      <c r="A200">
        <f t="shared" si="12"/>
        <v>20251130</v>
      </c>
      <c r="B200" s="2">
        <v>45991</v>
      </c>
      <c r="C200" t="str">
        <f t="shared" si="13"/>
        <v>November</v>
      </c>
      <c r="D200" t="str">
        <f t="shared" si="14"/>
        <v>Q4</v>
      </c>
      <c r="E200">
        <f t="shared" si="15"/>
        <v>2025</v>
      </c>
    </row>
    <row r="201" spans="1:5" x14ac:dyDescent="0.35">
      <c r="A201">
        <f t="shared" si="12"/>
        <v>20250306</v>
      </c>
      <c r="B201" s="2">
        <v>45722</v>
      </c>
      <c r="C201" t="str">
        <f t="shared" si="13"/>
        <v>March</v>
      </c>
      <c r="D201" t="str">
        <f t="shared" si="14"/>
        <v>Q1</v>
      </c>
      <c r="E201">
        <f t="shared" si="15"/>
        <v>2025</v>
      </c>
    </row>
    <row r="202" spans="1:5" x14ac:dyDescent="0.35">
      <c r="A202">
        <f t="shared" si="12"/>
        <v>20251127</v>
      </c>
      <c r="B202" s="2">
        <v>45988</v>
      </c>
      <c r="C202" t="str">
        <f t="shared" si="13"/>
        <v>November</v>
      </c>
      <c r="D202" t="str">
        <f t="shared" si="14"/>
        <v>Q4</v>
      </c>
      <c r="E202">
        <f t="shared" si="15"/>
        <v>2025</v>
      </c>
    </row>
    <row r="203" spans="1:5" x14ac:dyDescent="0.35">
      <c r="A203">
        <f t="shared" si="12"/>
        <v>20250502</v>
      </c>
      <c r="B203" s="2">
        <v>45779</v>
      </c>
      <c r="C203" t="str">
        <f t="shared" si="13"/>
        <v>May</v>
      </c>
      <c r="D203" t="str">
        <f t="shared" si="14"/>
        <v>Q2</v>
      </c>
      <c r="E203">
        <f t="shared" si="15"/>
        <v>2025</v>
      </c>
    </row>
    <row r="204" spans="1:5" x14ac:dyDescent="0.35">
      <c r="A204">
        <f t="shared" si="12"/>
        <v>20250901</v>
      </c>
      <c r="B204" s="2">
        <v>45901</v>
      </c>
      <c r="C204" t="str">
        <f t="shared" si="13"/>
        <v>September</v>
      </c>
      <c r="D204" t="str">
        <f t="shared" si="14"/>
        <v>Q3</v>
      </c>
      <c r="E204">
        <f t="shared" si="15"/>
        <v>2025</v>
      </c>
    </row>
    <row r="205" spans="1:5" x14ac:dyDescent="0.35">
      <c r="A205">
        <f t="shared" si="12"/>
        <v>20250511</v>
      </c>
      <c r="B205" s="2">
        <v>45788</v>
      </c>
      <c r="C205" t="str">
        <f t="shared" si="13"/>
        <v>May</v>
      </c>
      <c r="D205" t="str">
        <f t="shared" si="14"/>
        <v>Q2</v>
      </c>
      <c r="E205">
        <f t="shared" si="15"/>
        <v>2025</v>
      </c>
    </row>
    <row r="206" spans="1:5" x14ac:dyDescent="0.35">
      <c r="A206">
        <f t="shared" si="12"/>
        <v>20250324</v>
      </c>
      <c r="B206" s="2">
        <v>45740</v>
      </c>
      <c r="C206" t="str">
        <f t="shared" si="13"/>
        <v>March</v>
      </c>
      <c r="D206" t="str">
        <f t="shared" si="14"/>
        <v>Q1</v>
      </c>
      <c r="E206">
        <f t="shared" si="15"/>
        <v>2025</v>
      </c>
    </row>
    <row r="207" spans="1:5" x14ac:dyDescent="0.35">
      <c r="A207">
        <f t="shared" si="12"/>
        <v>20250626</v>
      </c>
      <c r="B207" s="2">
        <v>45834</v>
      </c>
      <c r="C207" t="str">
        <f t="shared" si="13"/>
        <v>June</v>
      </c>
      <c r="D207" t="str">
        <f t="shared" si="14"/>
        <v>Q2</v>
      </c>
      <c r="E207">
        <f t="shared" si="15"/>
        <v>2025</v>
      </c>
    </row>
    <row r="208" spans="1:5" x14ac:dyDescent="0.35">
      <c r="A208">
        <f t="shared" si="12"/>
        <v>20251218</v>
      </c>
      <c r="B208" s="2">
        <v>46009</v>
      </c>
      <c r="C208" t="str">
        <f t="shared" si="13"/>
        <v>December</v>
      </c>
      <c r="D208" t="str">
        <f t="shared" si="14"/>
        <v>Q4</v>
      </c>
      <c r="E208">
        <f t="shared" si="15"/>
        <v>2025</v>
      </c>
    </row>
    <row r="209" spans="1:5" x14ac:dyDescent="0.35">
      <c r="A209">
        <f t="shared" si="12"/>
        <v>20250930</v>
      </c>
      <c r="B209" s="2">
        <v>45930</v>
      </c>
      <c r="C209" t="str">
        <f t="shared" si="13"/>
        <v>September</v>
      </c>
      <c r="D209" t="str">
        <f t="shared" si="14"/>
        <v>Q3</v>
      </c>
      <c r="E209">
        <f t="shared" si="15"/>
        <v>2025</v>
      </c>
    </row>
    <row r="210" spans="1:5" x14ac:dyDescent="0.35">
      <c r="A210">
        <f t="shared" si="12"/>
        <v>20250319</v>
      </c>
      <c r="B210" s="2">
        <v>45735</v>
      </c>
      <c r="C210" t="str">
        <f t="shared" si="13"/>
        <v>March</v>
      </c>
      <c r="D210" t="str">
        <f t="shared" si="14"/>
        <v>Q1</v>
      </c>
      <c r="E210">
        <f t="shared" si="15"/>
        <v>2025</v>
      </c>
    </row>
    <row r="211" spans="1:5" x14ac:dyDescent="0.35">
      <c r="A211">
        <f t="shared" si="12"/>
        <v>20250925</v>
      </c>
      <c r="B211" s="2">
        <v>45925</v>
      </c>
      <c r="C211" t="str">
        <f t="shared" si="13"/>
        <v>September</v>
      </c>
      <c r="D211" t="str">
        <f t="shared" si="14"/>
        <v>Q3</v>
      </c>
      <c r="E211">
        <f t="shared" si="15"/>
        <v>2025</v>
      </c>
    </row>
    <row r="212" spans="1:5" x14ac:dyDescent="0.35">
      <c r="A212">
        <f t="shared" si="12"/>
        <v>20250427</v>
      </c>
      <c r="B212" s="2">
        <v>45774</v>
      </c>
      <c r="C212" t="str">
        <f t="shared" si="13"/>
        <v>April</v>
      </c>
      <c r="D212" t="str">
        <f t="shared" si="14"/>
        <v>Q2</v>
      </c>
      <c r="E212">
        <f t="shared" si="15"/>
        <v>2025</v>
      </c>
    </row>
    <row r="213" spans="1:5" x14ac:dyDescent="0.35">
      <c r="A213">
        <f t="shared" si="12"/>
        <v>20250815</v>
      </c>
      <c r="B213" s="2">
        <v>45884</v>
      </c>
      <c r="C213" t="str">
        <f t="shared" si="13"/>
        <v>August</v>
      </c>
      <c r="D213" t="str">
        <f t="shared" si="14"/>
        <v>Q3</v>
      </c>
      <c r="E213">
        <f t="shared" si="15"/>
        <v>2025</v>
      </c>
    </row>
    <row r="214" spans="1:5" x14ac:dyDescent="0.35">
      <c r="A214">
        <f t="shared" si="12"/>
        <v>20250329</v>
      </c>
      <c r="B214" s="2">
        <v>45745</v>
      </c>
      <c r="C214" t="str">
        <f t="shared" si="13"/>
        <v>March</v>
      </c>
      <c r="D214" t="str">
        <f t="shared" si="14"/>
        <v>Q1</v>
      </c>
      <c r="E214">
        <f t="shared" si="15"/>
        <v>2025</v>
      </c>
    </row>
    <row r="215" spans="1:5" x14ac:dyDescent="0.35">
      <c r="A215">
        <f t="shared" si="12"/>
        <v>20250204</v>
      </c>
      <c r="B215" s="2">
        <v>45692</v>
      </c>
      <c r="C215" t="str">
        <f t="shared" si="13"/>
        <v>February</v>
      </c>
      <c r="D215" t="str">
        <f t="shared" si="14"/>
        <v>Q1</v>
      </c>
      <c r="E215">
        <f t="shared" si="15"/>
        <v>2025</v>
      </c>
    </row>
    <row r="216" spans="1:5" x14ac:dyDescent="0.35">
      <c r="A216">
        <f t="shared" si="12"/>
        <v>20250627</v>
      </c>
      <c r="B216" s="2">
        <v>45835</v>
      </c>
      <c r="C216" t="str">
        <f t="shared" si="13"/>
        <v>June</v>
      </c>
      <c r="D216" t="str">
        <f t="shared" si="14"/>
        <v>Q2</v>
      </c>
      <c r="E216">
        <f t="shared" si="15"/>
        <v>2025</v>
      </c>
    </row>
    <row r="217" spans="1:5" x14ac:dyDescent="0.35">
      <c r="A217">
        <f t="shared" si="12"/>
        <v>20251224</v>
      </c>
      <c r="B217" s="2">
        <v>46015</v>
      </c>
      <c r="C217" t="str">
        <f t="shared" si="13"/>
        <v>December</v>
      </c>
      <c r="D217" t="str">
        <f t="shared" si="14"/>
        <v>Q4</v>
      </c>
      <c r="E217">
        <f t="shared" si="15"/>
        <v>2025</v>
      </c>
    </row>
    <row r="218" spans="1:5" x14ac:dyDescent="0.35">
      <c r="A218">
        <f t="shared" si="12"/>
        <v>20250824</v>
      </c>
      <c r="B218" s="2">
        <v>45893</v>
      </c>
      <c r="C218" t="str">
        <f t="shared" si="13"/>
        <v>August</v>
      </c>
      <c r="D218" t="str">
        <f t="shared" si="14"/>
        <v>Q3</v>
      </c>
      <c r="E218">
        <f t="shared" si="15"/>
        <v>2025</v>
      </c>
    </row>
    <row r="219" spans="1:5" x14ac:dyDescent="0.35">
      <c r="A219">
        <f t="shared" si="12"/>
        <v>20250214</v>
      </c>
      <c r="B219" s="2">
        <v>45702</v>
      </c>
      <c r="C219" t="str">
        <f t="shared" si="13"/>
        <v>February</v>
      </c>
      <c r="D219" t="str">
        <f t="shared" si="14"/>
        <v>Q1</v>
      </c>
      <c r="E219">
        <f t="shared" si="15"/>
        <v>2025</v>
      </c>
    </row>
    <row r="220" spans="1:5" x14ac:dyDescent="0.35">
      <c r="A220">
        <f t="shared" si="12"/>
        <v>20250517</v>
      </c>
      <c r="B220" s="2">
        <v>45794</v>
      </c>
      <c r="C220" t="str">
        <f t="shared" si="13"/>
        <v>May</v>
      </c>
      <c r="D220" t="str">
        <f t="shared" si="14"/>
        <v>Q2</v>
      </c>
      <c r="E220">
        <f t="shared" si="15"/>
        <v>2025</v>
      </c>
    </row>
    <row r="221" spans="1:5" x14ac:dyDescent="0.35">
      <c r="A221">
        <f t="shared" si="12"/>
        <v>20250304</v>
      </c>
      <c r="B221" s="2">
        <v>45720</v>
      </c>
      <c r="C221" t="str">
        <f t="shared" si="13"/>
        <v>March</v>
      </c>
      <c r="D221" t="str">
        <f t="shared" si="14"/>
        <v>Q1</v>
      </c>
      <c r="E221">
        <f t="shared" si="15"/>
        <v>2025</v>
      </c>
    </row>
    <row r="222" spans="1:5" x14ac:dyDescent="0.35">
      <c r="A222">
        <f t="shared" si="12"/>
        <v>20250106</v>
      </c>
      <c r="B222" s="2">
        <v>45663</v>
      </c>
      <c r="C222" t="str">
        <f t="shared" si="13"/>
        <v>January</v>
      </c>
      <c r="D222" t="str">
        <f t="shared" si="14"/>
        <v>Q1</v>
      </c>
      <c r="E222">
        <f t="shared" si="15"/>
        <v>2025</v>
      </c>
    </row>
    <row r="223" spans="1:5" x14ac:dyDescent="0.35">
      <c r="A223">
        <f t="shared" si="12"/>
        <v>20250206</v>
      </c>
      <c r="B223" s="2">
        <v>45694</v>
      </c>
      <c r="C223" t="str">
        <f t="shared" si="13"/>
        <v>February</v>
      </c>
      <c r="D223" t="str">
        <f t="shared" si="14"/>
        <v>Q1</v>
      </c>
      <c r="E223">
        <f t="shared" si="15"/>
        <v>2025</v>
      </c>
    </row>
    <row r="224" spans="1:5" x14ac:dyDescent="0.35">
      <c r="A224">
        <f t="shared" si="12"/>
        <v>20250702</v>
      </c>
      <c r="B224" s="2">
        <v>45840</v>
      </c>
      <c r="C224" t="str">
        <f t="shared" si="13"/>
        <v>July</v>
      </c>
      <c r="D224" t="str">
        <f t="shared" si="14"/>
        <v>Q3</v>
      </c>
      <c r="E224">
        <f t="shared" si="15"/>
        <v>2025</v>
      </c>
    </row>
    <row r="225" spans="1:5" x14ac:dyDescent="0.35">
      <c r="A225">
        <f t="shared" si="12"/>
        <v>20250606</v>
      </c>
      <c r="B225" s="2">
        <v>45814</v>
      </c>
      <c r="C225" t="str">
        <f t="shared" si="13"/>
        <v>June</v>
      </c>
      <c r="D225" t="str">
        <f t="shared" si="14"/>
        <v>Q2</v>
      </c>
      <c r="E225">
        <f t="shared" si="15"/>
        <v>2025</v>
      </c>
    </row>
    <row r="226" spans="1:5" x14ac:dyDescent="0.35">
      <c r="A226">
        <f t="shared" si="12"/>
        <v>20250417</v>
      </c>
      <c r="B226" s="2">
        <v>45764</v>
      </c>
      <c r="C226" t="str">
        <f t="shared" si="13"/>
        <v>April</v>
      </c>
      <c r="D226" t="str">
        <f t="shared" si="14"/>
        <v>Q2</v>
      </c>
      <c r="E226">
        <f t="shared" si="15"/>
        <v>2025</v>
      </c>
    </row>
    <row r="227" spans="1:5" x14ac:dyDescent="0.35">
      <c r="A227">
        <f t="shared" si="12"/>
        <v>20251115</v>
      </c>
      <c r="B227" s="2">
        <v>45976</v>
      </c>
      <c r="C227" t="str">
        <f t="shared" si="13"/>
        <v>November</v>
      </c>
      <c r="D227" t="str">
        <f t="shared" si="14"/>
        <v>Q4</v>
      </c>
      <c r="E227">
        <f t="shared" si="15"/>
        <v>2025</v>
      </c>
    </row>
    <row r="228" spans="1:5" x14ac:dyDescent="0.35">
      <c r="A228">
        <f t="shared" si="12"/>
        <v>20250602</v>
      </c>
      <c r="B228" s="2">
        <v>45810</v>
      </c>
      <c r="C228" t="str">
        <f t="shared" si="13"/>
        <v>June</v>
      </c>
      <c r="D228" t="str">
        <f t="shared" si="14"/>
        <v>Q2</v>
      </c>
      <c r="E228">
        <f t="shared" si="15"/>
        <v>2025</v>
      </c>
    </row>
    <row r="229" spans="1:5" x14ac:dyDescent="0.35">
      <c r="A229">
        <f t="shared" si="12"/>
        <v>20250508</v>
      </c>
      <c r="B229" s="2">
        <v>45785</v>
      </c>
      <c r="C229" t="str">
        <f t="shared" si="13"/>
        <v>May</v>
      </c>
      <c r="D229" t="str">
        <f t="shared" si="14"/>
        <v>Q2</v>
      </c>
      <c r="E229">
        <f t="shared" si="15"/>
        <v>2025</v>
      </c>
    </row>
    <row r="230" spans="1:5" x14ac:dyDescent="0.35">
      <c r="A230">
        <f t="shared" si="12"/>
        <v>20250718</v>
      </c>
      <c r="B230" s="2">
        <v>45856</v>
      </c>
      <c r="C230" t="str">
        <f t="shared" si="13"/>
        <v>July</v>
      </c>
      <c r="D230" t="str">
        <f t="shared" si="14"/>
        <v>Q3</v>
      </c>
      <c r="E230">
        <f t="shared" si="15"/>
        <v>2025</v>
      </c>
    </row>
    <row r="231" spans="1:5" x14ac:dyDescent="0.35">
      <c r="A231">
        <f t="shared" si="12"/>
        <v>20251207</v>
      </c>
      <c r="B231" s="2">
        <v>45998</v>
      </c>
      <c r="C231" t="str">
        <f t="shared" si="13"/>
        <v>December</v>
      </c>
      <c r="D231" t="str">
        <f t="shared" si="14"/>
        <v>Q4</v>
      </c>
      <c r="E231">
        <f t="shared" si="15"/>
        <v>2025</v>
      </c>
    </row>
    <row r="232" spans="1:5" x14ac:dyDescent="0.35">
      <c r="A232">
        <f t="shared" si="12"/>
        <v>20250430</v>
      </c>
      <c r="B232" s="2">
        <v>45777</v>
      </c>
      <c r="C232" t="str">
        <f t="shared" si="13"/>
        <v>April</v>
      </c>
      <c r="D232" t="str">
        <f t="shared" si="14"/>
        <v>Q2</v>
      </c>
      <c r="E232">
        <f t="shared" si="15"/>
        <v>2025</v>
      </c>
    </row>
    <row r="233" spans="1:5" x14ac:dyDescent="0.35">
      <c r="A233">
        <f t="shared" si="12"/>
        <v>20251031</v>
      </c>
      <c r="B233" s="2">
        <v>45961</v>
      </c>
      <c r="C233" t="str">
        <f t="shared" si="13"/>
        <v>October</v>
      </c>
      <c r="D233" t="str">
        <f t="shared" si="14"/>
        <v>Q4</v>
      </c>
      <c r="E233">
        <f t="shared" si="15"/>
        <v>2025</v>
      </c>
    </row>
    <row r="234" spans="1:5" x14ac:dyDescent="0.35">
      <c r="A234">
        <f t="shared" si="12"/>
        <v>20250105</v>
      </c>
      <c r="B234" s="2">
        <v>45662</v>
      </c>
      <c r="C234" t="str">
        <f t="shared" si="13"/>
        <v>January</v>
      </c>
      <c r="D234" t="str">
        <f t="shared" si="14"/>
        <v>Q1</v>
      </c>
      <c r="E234">
        <f t="shared" si="15"/>
        <v>2025</v>
      </c>
    </row>
    <row r="235" spans="1:5" x14ac:dyDescent="0.35">
      <c r="A235">
        <f t="shared" si="12"/>
        <v>20250504</v>
      </c>
      <c r="B235" s="2">
        <v>45781</v>
      </c>
      <c r="C235" t="str">
        <f t="shared" si="13"/>
        <v>May</v>
      </c>
      <c r="D235" t="str">
        <f t="shared" si="14"/>
        <v>Q2</v>
      </c>
      <c r="E235">
        <f t="shared" si="15"/>
        <v>2025</v>
      </c>
    </row>
    <row r="236" spans="1:5" x14ac:dyDescent="0.35">
      <c r="A236">
        <f t="shared" si="12"/>
        <v>20250910</v>
      </c>
      <c r="B236" s="2">
        <v>45910</v>
      </c>
      <c r="C236" t="str">
        <f t="shared" si="13"/>
        <v>September</v>
      </c>
      <c r="D236" t="str">
        <f t="shared" si="14"/>
        <v>Q3</v>
      </c>
      <c r="E236">
        <f t="shared" si="15"/>
        <v>2025</v>
      </c>
    </row>
    <row r="237" spans="1:5" x14ac:dyDescent="0.35">
      <c r="A237">
        <f t="shared" si="12"/>
        <v>20250315</v>
      </c>
      <c r="B237" s="2">
        <v>45731</v>
      </c>
      <c r="C237" t="str">
        <f t="shared" si="13"/>
        <v>March</v>
      </c>
      <c r="D237" t="str">
        <f t="shared" si="14"/>
        <v>Q1</v>
      </c>
      <c r="E237">
        <f t="shared" si="15"/>
        <v>2025</v>
      </c>
    </row>
    <row r="238" spans="1:5" x14ac:dyDescent="0.35">
      <c r="A238">
        <f t="shared" si="12"/>
        <v>20250912</v>
      </c>
      <c r="B238" s="2">
        <v>45912</v>
      </c>
      <c r="C238" t="str">
        <f t="shared" si="13"/>
        <v>September</v>
      </c>
      <c r="D238" t="str">
        <f t="shared" si="14"/>
        <v>Q3</v>
      </c>
      <c r="E238">
        <f t="shared" si="15"/>
        <v>2025</v>
      </c>
    </row>
    <row r="239" spans="1:5" x14ac:dyDescent="0.35">
      <c r="A239">
        <f t="shared" si="12"/>
        <v>20251231</v>
      </c>
      <c r="B239" s="2">
        <v>46022</v>
      </c>
      <c r="C239" t="str">
        <f t="shared" si="13"/>
        <v>December</v>
      </c>
      <c r="D239" t="str">
        <f t="shared" si="14"/>
        <v>Q4</v>
      </c>
      <c r="E239">
        <f t="shared" si="15"/>
        <v>2025</v>
      </c>
    </row>
    <row r="240" spans="1:5" x14ac:dyDescent="0.35">
      <c r="A240">
        <f t="shared" si="12"/>
        <v>20251108</v>
      </c>
      <c r="B240" s="2">
        <v>45969</v>
      </c>
      <c r="C240" t="str">
        <f t="shared" si="13"/>
        <v>November</v>
      </c>
      <c r="D240" t="str">
        <f t="shared" si="14"/>
        <v>Q4</v>
      </c>
      <c r="E240">
        <f t="shared" si="15"/>
        <v>2025</v>
      </c>
    </row>
    <row r="241" spans="1:5" x14ac:dyDescent="0.35">
      <c r="A241">
        <f t="shared" si="12"/>
        <v>20251208</v>
      </c>
      <c r="B241" s="2">
        <v>45999</v>
      </c>
      <c r="C241" t="str">
        <f t="shared" si="13"/>
        <v>December</v>
      </c>
      <c r="D241" t="str">
        <f t="shared" si="14"/>
        <v>Q4</v>
      </c>
      <c r="E241">
        <f t="shared" si="15"/>
        <v>2025</v>
      </c>
    </row>
    <row r="242" spans="1:5" x14ac:dyDescent="0.35">
      <c r="A242">
        <f t="shared" si="12"/>
        <v>20251209</v>
      </c>
      <c r="B242" s="2">
        <v>46000</v>
      </c>
      <c r="C242" t="str">
        <f t="shared" si="13"/>
        <v>December</v>
      </c>
      <c r="D242" t="str">
        <f t="shared" si="14"/>
        <v>Q4</v>
      </c>
      <c r="E242">
        <f t="shared" si="15"/>
        <v>2025</v>
      </c>
    </row>
    <row r="243" spans="1:5" x14ac:dyDescent="0.35">
      <c r="A243">
        <f t="shared" si="12"/>
        <v>20250904</v>
      </c>
      <c r="B243" s="2">
        <v>45904</v>
      </c>
      <c r="C243" t="str">
        <f t="shared" si="13"/>
        <v>September</v>
      </c>
      <c r="D243" t="str">
        <f t="shared" si="14"/>
        <v>Q3</v>
      </c>
      <c r="E243">
        <f t="shared" si="15"/>
        <v>2025</v>
      </c>
    </row>
    <row r="244" spans="1:5" x14ac:dyDescent="0.35">
      <c r="A244">
        <f t="shared" si="12"/>
        <v>20250716</v>
      </c>
      <c r="B244" s="2">
        <v>45854</v>
      </c>
      <c r="C244" t="str">
        <f t="shared" si="13"/>
        <v>July</v>
      </c>
      <c r="D244" t="str">
        <f t="shared" si="14"/>
        <v>Q3</v>
      </c>
      <c r="E244">
        <f t="shared" si="15"/>
        <v>2025</v>
      </c>
    </row>
    <row r="245" spans="1:5" x14ac:dyDescent="0.35">
      <c r="A245">
        <f t="shared" si="12"/>
        <v>20250116</v>
      </c>
      <c r="B245" s="2">
        <v>45673</v>
      </c>
      <c r="C245" t="str">
        <f t="shared" si="13"/>
        <v>January</v>
      </c>
      <c r="D245" t="str">
        <f t="shared" si="14"/>
        <v>Q1</v>
      </c>
      <c r="E245">
        <f t="shared" si="15"/>
        <v>2025</v>
      </c>
    </row>
    <row r="246" spans="1:5" x14ac:dyDescent="0.35">
      <c r="A246">
        <f t="shared" si="12"/>
        <v>20251129</v>
      </c>
      <c r="B246" s="2">
        <v>45990</v>
      </c>
      <c r="C246" t="str">
        <f t="shared" si="13"/>
        <v>November</v>
      </c>
      <c r="D246" t="str">
        <f t="shared" si="14"/>
        <v>Q4</v>
      </c>
      <c r="E246">
        <f t="shared" si="15"/>
        <v>2025</v>
      </c>
    </row>
    <row r="247" spans="1:5" x14ac:dyDescent="0.35">
      <c r="A247">
        <f t="shared" si="12"/>
        <v>20250916</v>
      </c>
      <c r="B247" s="2">
        <v>45916</v>
      </c>
      <c r="C247" t="str">
        <f t="shared" si="13"/>
        <v>September</v>
      </c>
      <c r="D247" t="str">
        <f t="shared" si="14"/>
        <v>Q3</v>
      </c>
      <c r="E247">
        <f t="shared" si="15"/>
        <v>2025</v>
      </c>
    </row>
    <row r="248" spans="1:5" x14ac:dyDescent="0.35">
      <c r="A248">
        <f t="shared" si="12"/>
        <v>20250201</v>
      </c>
      <c r="B248" s="2">
        <v>45689</v>
      </c>
      <c r="C248" t="str">
        <f t="shared" si="13"/>
        <v>February</v>
      </c>
      <c r="D248" t="str">
        <f t="shared" si="14"/>
        <v>Q1</v>
      </c>
      <c r="E248">
        <f t="shared" si="15"/>
        <v>2025</v>
      </c>
    </row>
    <row r="249" spans="1:5" x14ac:dyDescent="0.35">
      <c r="A249">
        <f t="shared" si="12"/>
        <v>20250521</v>
      </c>
      <c r="B249" s="2">
        <v>45798</v>
      </c>
      <c r="C249" t="str">
        <f t="shared" si="13"/>
        <v>May</v>
      </c>
      <c r="D249" t="str">
        <f t="shared" si="14"/>
        <v>Q2</v>
      </c>
      <c r="E249">
        <f t="shared" si="15"/>
        <v>2025</v>
      </c>
    </row>
    <row r="250" spans="1:5" x14ac:dyDescent="0.35">
      <c r="A250">
        <f t="shared" si="12"/>
        <v>20251017</v>
      </c>
      <c r="B250" s="2">
        <v>45947</v>
      </c>
      <c r="C250" t="str">
        <f t="shared" si="13"/>
        <v>October</v>
      </c>
      <c r="D250" t="str">
        <f t="shared" si="14"/>
        <v>Q4</v>
      </c>
      <c r="E250">
        <f t="shared" si="15"/>
        <v>2025</v>
      </c>
    </row>
    <row r="251" spans="1:5" x14ac:dyDescent="0.35">
      <c r="A251">
        <f t="shared" si="12"/>
        <v>20251013</v>
      </c>
      <c r="B251" s="2">
        <v>45943</v>
      </c>
      <c r="C251" t="str">
        <f t="shared" si="13"/>
        <v>October</v>
      </c>
      <c r="D251" t="str">
        <f t="shared" si="14"/>
        <v>Q4</v>
      </c>
      <c r="E251">
        <f t="shared" si="15"/>
        <v>2025</v>
      </c>
    </row>
    <row r="252" spans="1:5" x14ac:dyDescent="0.35">
      <c r="A252">
        <f t="shared" si="12"/>
        <v>20251114</v>
      </c>
      <c r="B252" s="2">
        <v>45975</v>
      </c>
      <c r="C252" t="str">
        <f t="shared" si="13"/>
        <v>November</v>
      </c>
      <c r="D252" t="str">
        <f t="shared" si="14"/>
        <v>Q4</v>
      </c>
      <c r="E252">
        <f t="shared" si="15"/>
        <v>2025</v>
      </c>
    </row>
    <row r="253" spans="1:5" x14ac:dyDescent="0.35">
      <c r="A253">
        <f t="shared" si="12"/>
        <v>20250422</v>
      </c>
      <c r="B253" s="2">
        <v>45769</v>
      </c>
      <c r="C253" t="str">
        <f t="shared" si="13"/>
        <v>April</v>
      </c>
      <c r="D253" t="str">
        <f t="shared" si="14"/>
        <v>Q2</v>
      </c>
      <c r="E253">
        <f t="shared" si="15"/>
        <v>2025</v>
      </c>
    </row>
    <row r="254" spans="1:5" x14ac:dyDescent="0.35">
      <c r="A254">
        <f t="shared" si="12"/>
        <v>20250514</v>
      </c>
      <c r="B254" s="2">
        <v>45791</v>
      </c>
      <c r="C254" t="str">
        <f t="shared" si="13"/>
        <v>May</v>
      </c>
      <c r="D254" t="str">
        <f t="shared" si="14"/>
        <v>Q2</v>
      </c>
      <c r="E254">
        <f t="shared" si="15"/>
        <v>2025</v>
      </c>
    </row>
    <row r="255" spans="1:5" x14ac:dyDescent="0.35">
      <c r="A255">
        <f t="shared" si="12"/>
        <v>20250425</v>
      </c>
      <c r="B255" s="2">
        <v>45772</v>
      </c>
      <c r="C255" t="str">
        <f t="shared" si="13"/>
        <v>April</v>
      </c>
      <c r="D255" t="str">
        <f t="shared" si="14"/>
        <v>Q2</v>
      </c>
      <c r="E255">
        <f t="shared" si="15"/>
        <v>2025</v>
      </c>
    </row>
    <row r="256" spans="1:5" x14ac:dyDescent="0.35">
      <c r="A256">
        <f t="shared" si="12"/>
        <v>20250727</v>
      </c>
      <c r="B256" s="2">
        <v>45865</v>
      </c>
      <c r="C256" t="str">
        <f t="shared" si="13"/>
        <v>July</v>
      </c>
      <c r="D256" t="str">
        <f t="shared" si="14"/>
        <v>Q3</v>
      </c>
      <c r="E256">
        <f t="shared" si="15"/>
        <v>2025</v>
      </c>
    </row>
    <row r="257" spans="1:5" x14ac:dyDescent="0.35">
      <c r="A257">
        <f t="shared" si="12"/>
        <v>20250108</v>
      </c>
      <c r="B257" s="2">
        <v>45665</v>
      </c>
      <c r="C257" t="str">
        <f t="shared" si="13"/>
        <v>January</v>
      </c>
      <c r="D257" t="str">
        <f t="shared" si="14"/>
        <v>Q1</v>
      </c>
      <c r="E257">
        <f t="shared" si="15"/>
        <v>2025</v>
      </c>
    </row>
    <row r="258" spans="1:5" x14ac:dyDescent="0.35">
      <c r="A258">
        <f t="shared" si="12"/>
        <v>20250113</v>
      </c>
      <c r="B258" s="2">
        <v>45670</v>
      </c>
      <c r="C258" t="str">
        <f t="shared" si="13"/>
        <v>January</v>
      </c>
      <c r="D258" t="str">
        <f t="shared" si="14"/>
        <v>Q1</v>
      </c>
      <c r="E258">
        <f t="shared" si="15"/>
        <v>2025</v>
      </c>
    </row>
    <row r="259" spans="1:5" x14ac:dyDescent="0.35">
      <c r="A259">
        <f t="shared" ref="A259:A322" si="16">YEAR(B259)*10000 + MONTH(B259)*100 + DAY(B259)</f>
        <v>20250419</v>
      </c>
      <c r="B259" s="2">
        <v>45766</v>
      </c>
      <c r="C259" t="str">
        <f t="shared" ref="C259:C322" si="17">TEXT(B259,"mmmm")</f>
        <v>April</v>
      </c>
      <c r="D259" t="str">
        <f t="shared" ref="D259:D322" si="18">"Q"&amp;ROUNDUP(MONTH(B259)/3,0)</f>
        <v>Q2</v>
      </c>
      <c r="E259">
        <f t="shared" ref="E259:E322" si="19">YEAR(B259)</f>
        <v>2025</v>
      </c>
    </row>
    <row r="260" spans="1:5" x14ac:dyDescent="0.35">
      <c r="A260">
        <f t="shared" si="16"/>
        <v>20250717</v>
      </c>
      <c r="B260" s="2">
        <v>45855</v>
      </c>
      <c r="C260" t="str">
        <f t="shared" si="17"/>
        <v>July</v>
      </c>
      <c r="D260" t="str">
        <f t="shared" si="18"/>
        <v>Q3</v>
      </c>
      <c r="E260">
        <f t="shared" si="19"/>
        <v>2025</v>
      </c>
    </row>
    <row r="261" spans="1:5" x14ac:dyDescent="0.35">
      <c r="A261">
        <f t="shared" si="16"/>
        <v>20250918</v>
      </c>
      <c r="B261" s="2">
        <v>45918</v>
      </c>
      <c r="C261" t="str">
        <f t="shared" si="17"/>
        <v>September</v>
      </c>
      <c r="D261" t="str">
        <f t="shared" si="18"/>
        <v>Q3</v>
      </c>
      <c r="E261">
        <f t="shared" si="19"/>
        <v>2025</v>
      </c>
    </row>
    <row r="262" spans="1:5" x14ac:dyDescent="0.35">
      <c r="A262">
        <f t="shared" si="16"/>
        <v>20250809</v>
      </c>
      <c r="B262" s="2">
        <v>45878</v>
      </c>
      <c r="C262" t="str">
        <f t="shared" si="17"/>
        <v>August</v>
      </c>
      <c r="D262" t="str">
        <f t="shared" si="18"/>
        <v>Q3</v>
      </c>
      <c r="E262">
        <f t="shared" si="19"/>
        <v>2025</v>
      </c>
    </row>
    <row r="263" spans="1:5" x14ac:dyDescent="0.35">
      <c r="A263">
        <f t="shared" si="16"/>
        <v>20250112</v>
      </c>
      <c r="B263" s="2">
        <v>45669</v>
      </c>
      <c r="C263" t="str">
        <f t="shared" si="17"/>
        <v>January</v>
      </c>
      <c r="D263" t="str">
        <f t="shared" si="18"/>
        <v>Q1</v>
      </c>
      <c r="E263">
        <f t="shared" si="19"/>
        <v>2025</v>
      </c>
    </row>
    <row r="264" spans="1:5" x14ac:dyDescent="0.35">
      <c r="A264">
        <f t="shared" si="16"/>
        <v>20250928</v>
      </c>
      <c r="B264" s="2">
        <v>45928</v>
      </c>
      <c r="C264" t="str">
        <f t="shared" si="17"/>
        <v>September</v>
      </c>
      <c r="D264" t="str">
        <f t="shared" si="18"/>
        <v>Q3</v>
      </c>
      <c r="E264">
        <f t="shared" si="19"/>
        <v>2025</v>
      </c>
    </row>
    <row r="265" spans="1:5" x14ac:dyDescent="0.35">
      <c r="A265">
        <f t="shared" si="16"/>
        <v>20250407</v>
      </c>
      <c r="B265" s="2">
        <v>45754</v>
      </c>
      <c r="C265" t="str">
        <f t="shared" si="17"/>
        <v>April</v>
      </c>
      <c r="D265" t="str">
        <f t="shared" si="18"/>
        <v>Q2</v>
      </c>
      <c r="E265">
        <f t="shared" si="19"/>
        <v>2025</v>
      </c>
    </row>
    <row r="266" spans="1:5" x14ac:dyDescent="0.35">
      <c r="A266">
        <f t="shared" si="16"/>
        <v>20250325</v>
      </c>
      <c r="B266" s="2">
        <v>45741</v>
      </c>
      <c r="C266" t="str">
        <f t="shared" si="17"/>
        <v>March</v>
      </c>
      <c r="D266" t="str">
        <f t="shared" si="18"/>
        <v>Q1</v>
      </c>
      <c r="E266">
        <f t="shared" si="19"/>
        <v>2025</v>
      </c>
    </row>
    <row r="267" spans="1:5" x14ac:dyDescent="0.35">
      <c r="A267">
        <f t="shared" si="16"/>
        <v>20251124</v>
      </c>
      <c r="B267" s="2">
        <v>45985</v>
      </c>
      <c r="C267" t="str">
        <f t="shared" si="17"/>
        <v>November</v>
      </c>
      <c r="D267" t="str">
        <f t="shared" si="18"/>
        <v>Q4</v>
      </c>
      <c r="E267">
        <f t="shared" si="19"/>
        <v>2025</v>
      </c>
    </row>
    <row r="268" spans="1:5" x14ac:dyDescent="0.35">
      <c r="A268">
        <f t="shared" si="16"/>
        <v>20250330</v>
      </c>
      <c r="B268" s="2">
        <v>45746</v>
      </c>
      <c r="C268" t="str">
        <f t="shared" si="17"/>
        <v>March</v>
      </c>
      <c r="D268" t="str">
        <f t="shared" si="18"/>
        <v>Q1</v>
      </c>
      <c r="E268">
        <f t="shared" si="19"/>
        <v>2025</v>
      </c>
    </row>
    <row r="269" spans="1:5" x14ac:dyDescent="0.35">
      <c r="A269">
        <f t="shared" si="16"/>
        <v>20251112</v>
      </c>
      <c r="B269" s="2">
        <v>45973</v>
      </c>
      <c r="C269" t="str">
        <f t="shared" si="17"/>
        <v>November</v>
      </c>
      <c r="D269" t="str">
        <f t="shared" si="18"/>
        <v>Q4</v>
      </c>
      <c r="E269">
        <f t="shared" si="19"/>
        <v>2025</v>
      </c>
    </row>
    <row r="270" spans="1:5" x14ac:dyDescent="0.35">
      <c r="A270">
        <f t="shared" si="16"/>
        <v>20250704</v>
      </c>
      <c r="B270" s="2">
        <v>45842</v>
      </c>
      <c r="C270" t="str">
        <f t="shared" si="17"/>
        <v>July</v>
      </c>
      <c r="D270" t="str">
        <f t="shared" si="18"/>
        <v>Q3</v>
      </c>
      <c r="E270">
        <f t="shared" si="19"/>
        <v>2025</v>
      </c>
    </row>
    <row r="271" spans="1:5" x14ac:dyDescent="0.35">
      <c r="A271">
        <f t="shared" si="16"/>
        <v>20251005</v>
      </c>
      <c r="B271" s="2">
        <v>45935</v>
      </c>
      <c r="C271" t="str">
        <f t="shared" si="17"/>
        <v>October</v>
      </c>
      <c r="D271" t="str">
        <f t="shared" si="18"/>
        <v>Q4</v>
      </c>
      <c r="E271">
        <f t="shared" si="19"/>
        <v>2025</v>
      </c>
    </row>
    <row r="272" spans="1:5" x14ac:dyDescent="0.35">
      <c r="A272">
        <f t="shared" si="16"/>
        <v>20250305</v>
      </c>
      <c r="B272" s="2">
        <v>45721</v>
      </c>
      <c r="C272" t="str">
        <f t="shared" si="17"/>
        <v>March</v>
      </c>
      <c r="D272" t="str">
        <f t="shared" si="18"/>
        <v>Q1</v>
      </c>
      <c r="E272">
        <f t="shared" si="19"/>
        <v>2025</v>
      </c>
    </row>
    <row r="273" spans="1:5" x14ac:dyDescent="0.35">
      <c r="A273">
        <f t="shared" si="16"/>
        <v>20251113</v>
      </c>
      <c r="B273" s="2">
        <v>45974</v>
      </c>
      <c r="C273" t="str">
        <f t="shared" si="17"/>
        <v>November</v>
      </c>
      <c r="D273" t="str">
        <f t="shared" si="18"/>
        <v>Q4</v>
      </c>
      <c r="E273">
        <f t="shared" si="19"/>
        <v>2025</v>
      </c>
    </row>
    <row r="274" spans="1:5" x14ac:dyDescent="0.35">
      <c r="A274">
        <f t="shared" si="16"/>
        <v>20251107</v>
      </c>
      <c r="B274" s="2">
        <v>45968</v>
      </c>
      <c r="C274" t="str">
        <f t="shared" si="17"/>
        <v>November</v>
      </c>
      <c r="D274" t="str">
        <f t="shared" si="18"/>
        <v>Q4</v>
      </c>
      <c r="E274">
        <f t="shared" si="19"/>
        <v>2025</v>
      </c>
    </row>
    <row r="275" spans="1:5" x14ac:dyDescent="0.35">
      <c r="A275">
        <f t="shared" si="16"/>
        <v>20250515</v>
      </c>
      <c r="B275" s="2">
        <v>45792</v>
      </c>
      <c r="C275" t="str">
        <f t="shared" si="17"/>
        <v>May</v>
      </c>
      <c r="D275" t="str">
        <f t="shared" si="18"/>
        <v>Q2</v>
      </c>
      <c r="E275">
        <f t="shared" si="19"/>
        <v>2025</v>
      </c>
    </row>
    <row r="276" spans="1:5" x14ac:dyDescent="0.35">
      <c r="A276">
        <f t="shared" si="16"/>
        <v>20250401</v>
      </c>
      <c r="B276" s="2">
        <v>45748</v>
      </c>
      <c r="C276" t="str">
        <f t="shared" si="17"/>
        <v>April</v>
      </c>
      <c r="D276" t="str">
        <f t="shared" si="18"/>
        <v>Q2</v>
      </c>
      <c r="E276">
        <f t="shared" si="19"/>
        <v>2025</v>
      </c>
    </row>
    <row r="277" spans="1:5" x14ac:dyDescent="0.35">
      <c r="A277">
        <f t="shared" si="16"/>
        <v>20250213</v>
      </c>
      <c r="B277" s="2">
        <v>45701</v>
      </c>
      <c r="C277" t="str">
        <f t="shared" si="17"/>
        <v>February</v>
      </c>
      <c r="D277" t="str">
        <f t="shared" si="18"/>
        <v>Q1</v>
      </c>
      <c r="E277">
        <f t="shared" si="19"/>
        <v>2025</v>
      </c>
    </row>
    <row r="278" spans="1:5" x14ac:dyDescent="0.35">
      <c r="A278">
        <f t="shared" si="16"/>
        <v>20251002</v>
      </c>
      <c r="B278" s="2">
        <v>45932</v>
      </c>
      <c r="C278" t="str">
        <f t="shared" si="17"/>
        <v>October</v>
      </c>
      <c r="D278" t="str">
        <f t="shared" si="18"/>
        <v>Q4</v>
      </c>
      <c r="E278">
        <f t="shared" si="19"/>
        <v>2025</v>
      </c>
    </row>
    <row r="279" spans="1:5" x14ac:dyDescent="0.35">
      <c r="A279">
        <f t="shared" si="16"/>
        <v>20250308</v>
      </c>
      <c r="B279" s="2">
        <v>45724</v>
      </c>
      <c r="C279" t="str">
        <f t="shared" si="17"/>
        <v>March</v>
      </c>
      <c r="D279" t="str">
        <f t="shared" si="18"/>
        <v>Q1</v>
      </c>
      <c r="E279">
        <f t="shared" si="19"/>
        <v>2025</v>
      </c>
    </row>
    <row r="280" spans="1:5" x14ac:dyDescent="0.35">
      <c r="A280">
        <f t="shared" si="16"/>
        <v>20251125</v>
      </c>
      <c r="B280" s="2">
        <v>45986</v>
      </c>
      <c r="C280" t="str">
        <f t="shared" si="17"/>
        <v>November</v>
      </c>
      <c r="D280" t="str">
        <f t="shared" si="18"/>
        <v>Q4</v>
      </c>
      <c r="E280">
        <f t="shared" si="19"/>
        <v>2025</v>
      </c>
    </row>
    <row r="281" spans="1:5" x14ac:dyDescent="0.35">
      <c r="A281">
        <f t="shared" si="16"/>
        <v>20251023</v>
      </c>
      <c r="B281" s="2">
        <v>45953</v>
      </c>
      <c r="C281" t="str">
        <f t="shared" si="17"/>
        <v>October</v>
      </c>
      <c r="D281" t="str">
        <f t="shared" si="18"/>
        <v>Q4</v>
      </c>
      <c r="E281">
        <f t="shared" si="19"/>
        <v>2025</v>
      </c>
    </row>
    <row r="282" spans="1:5" x14ac:dyDescent="0.35">
      <c r="A282">
        <f t="shared" si="16"/>
        <v>20250409</v>
      </c>
      <c r="B282" s="2">
        <v>45756</v>
      </c>
      <c r="C282" t="str">
        <f t="shared" si="17"/>
        <v>April</v>
      </c>
      <c r="D282" t="str">
        <f t="shared" si="18"/>
        <v>Q2</v>
      </c>
      <c r="E282">
        <f t="shared" si="19"/>
        <v>2025</v>
      </c>
    </row>
    <row r="283" spans="1:5" x14ac:dyDescent="0.35">
      <c r="A283">
        <f t="shared" si="16"/>
        <v>20250624</v>
      </c>
      <c r="B283" s="2">
        <v>45832</v>
      </c>
      <c r="C283" t="str">
        <f t="shared" si="17"/>
        <v>June</v>
      </c>
      <c r="D283" t="str">
        <f t="shared" si="18"/>
        <v>Q2</v>
      </c>
      <c r="E283">
        <f t="shared" si="19"/>
        <v>2025</v>
      </c>
    </row>
    <row r="284" spans="1:5" x14ac:dyDescent="0.35">
      <c r="A284">
        <f t="shared" si="16"/>
        <v>20250424</v>
      </c>
      <c r="B284" s="2">
        <v>45771</v>
      </c>
      <c r="C284" t="str">
        <f t="shared" si="17"/>
        <v>April</v>
      </c>
      <c r="D284" t="str">
        <f t="shared" si="18"/>
        <v>Q2</v>
      </c>
      <c r="E284">
        <f t="shared" si="19"/>
        <v>2025</v>
      </c>
    </row>
    <row r="285" spans="1:5" x14ac:dyDescent="0.35">
      <c r="A285">
        <f t="shared" si="16"/>
        <v>20250929</v>
      </c>
      <c r="B285" s="2">
        <v>45929</v>
      </c>
      <c r="C285" t="str">
        <f t="shared" si="17"/>
        <v>September</v>
      </c>
      <c r="D285" t="str">
        <f t="shared" si="18"/>
        <v>Q3</v>
      </c>
      <c r="E285">
        <f t="shared" si="19"/>
        <v>2025</v>
      </c>
    </row>
    <row r="286" spans="1:5" x14ac:dyDescent="0.35">
      <c r="A286">
        <f t="shared" si="16"/>
        <v>20250922</v>
      </c>
      <c r="B286" s="2">
        <v>45922</v>
      </c>
      <c r="C286" t="str">
        <f t="shared" si="17"/>
        <v>September</v>
      </c>
      <c r="D286" t="str">
        <f t="shared" si="18"/>
        <v>Q3</v>
      </c>
      <c r="E286">
        <f t="shared" si="19"/>
        <v>2025</v>
      </c>
    </row>
    <row r="287" spans="1:5" x14ac:dyDescent="0.35">
      <c r="A287">
        <f t="shared" si="16"/>
        <v>20250830</v>
      </c>
      <c r="B287" s="2">
        <v>45899</v>
      </c>
      <c r="C287" t="str">
        <f t="shared" si="17"/>
        <v>August</v>
      </c>
      <c r="D287" t="str">
        <f t="shared" si="18"/>
        <v>Q3</v>
      </c>
      <c r="E287">
        <f t="shared" si="19"/>
        <v>2025</v>
      </c>
    </row>
    <row r="288" spans="1:5" x14ac:dyDescent="0.35">
      <c r="A288">
        <f t="shared" si="16"/>
        <v>20250107</v>
      </c>
      <c r="B288" s="2">
        <v>45664</v>
      </c>
      <c r="C288" t="str">
        <f t="shared" si="17"/>
        <v>January</v>
      </c>
      <c r="D288" t="str">
        <f t="shared" si="18"/>
        <v>Q1</v>
      </c>
      <c r="E288">
        <f t="shared" si="19"/>
        <v>2025</v>
      </c>
    </row>
    <row r="289" spans="1:5" x14ac:dyDescent="0.35">
      <c r="A289">
        <f t="shared" si="16"/>
        <v>20250224</v>
      </c>
      <c r="B289" s="2">
        <v>45712</v>
      </c>
      <c r="C289" t="str">
        <f t="shared" si="17"/>
        <v>February</v>
      </c>
      <c r="D289" t="str">
        <f t="shared" si="18"/>
        <v>Q1</v>
      </c>
      <c r="E289">
        <f t="shared" si="19"/>
        <v>2025</v>
      </c>
    </row>
    <row r="290" spans="1:5" x14ac:dyDescent="0.35">
      <c r="A290">
        <f t="shared" si="16"/>
        <v>20250202</v>
      </c>
      <c r="B290" s="2">
        <v>45690</v>
      </c>
      <c r="C290" t="str">
        <f t="shared" si="17"/>
        <v>February</v>
      </c>
      <c r="D290" t="str">
        <f t="shared" si="18"/>
        <v>Q1</v>
      </c>
      <c r="E290">
        <f t="shared" si="19"/>
        <v>2025</v>
      </c>
    </row>
    <row r="291" spans="1:5" x14ac:dyDescent="0.35">
      <c r="A291">
        <f t="shared" si="16"/>
        <v>20250730</v>
      </c>
      <c r="B291" s="2">
        <v>45868</v>
      </c>
      <c r="C291" t="str">
        <f t="shared" si="17"/>
        <v>July</v>
      </c>
      <c r="D291" t="str">
        <f t="shared" si="18"/>
        <v>Q3</v>
      </c>
      <c r="E291">
        <f t="shared" si="19"/>
        <v>2025</v>
      </c>
    </row>
    <row r="292" spans="1:5" x14ac:dyDescent="0.35">
      <c r="A292">
        <f t="shared" si="16"/>
        <v>20250828</v>
      </c>
      <c r="B292" s="2">
        <v>45897</v>
      </c>
      <c r="C292" t="str">
        <f t="shared" si="17"/>
        <v>August</v>
      </c>
      <c r="D292" t="str">
        <f t="shared" si="18"/>
        <v>Q3</v>
      </c>
      <c r="E292">
        <f t="shared" si="19"/>
        <v>2025</v>
      </c>
    </row>
    <row r="293" spans="1:5" x14ac:dyDescent="0.35">
      <c r="A293">
        <f t="shared" si="16"/>
        <v>20250127</v>
      </c>
      <c r="B293" s="2">
        <v>45684</v>
      </c>
      <c r="C293" t="str">
        <f t="shared" si="17"/>
        <v>January</v>
      </c>
      <c r="D293" t="str">
        <f t="shared" si="18"/>
        <v>Q1</v>
      </c>
      <c r="E293">
        <f t="shared" si="19"/>
        <v>2025</v>
      </c>
    </row>
    <row r="294" spans="1:5" x14ac:dyDescent="0.35">
      <c r="A294">
        <f t="shared" si="16"/>
        <v>20250510</v>
      </c>
      <c r="B294" s="2">
        <v>45787</v>
      </c>
      <c r="C294" t="str">
        <f t="shared" si="17"/>
        <v>May</v>
      </c>
      <c r="D294" t="str">
        <f t="shared" si="18"/>
        <v>Q2</v>
      </c>
      <c r="E294">
        <f t="shared" si="19"/>
        <v>2025</v>
      </c>
    </row>
    <row r="295" spans="1:5" x14ac:dyDescent="0.35">
      <c r="A295">
        <f t="shared" si="16"/>
        <v>20250428</v>
      </c>
      <c r="B295" s="2">
        <v>45775</v>
      </c>
      <c r="C295" t="str">
        <f t="shared" si="17"/>
        <v>April</v>
      </c>
      <c r="D295" t="str">
        <f t="shared" si="18"/>
        <v>Q2</v>
      </c>
      <c r="E295">
        <f t="shared" si="19"/>
        <v>2025</v>
      </c>
    </row>
    <row r="296" spans="1:5" x14ac:dyDescent="0.35">
      <c r="A296">
        <f t="shared" si="16"/>
        <v>20250531</v>
      </c>
      <c r="B296" s="2">
        <v>45808</v>
      </c>
      <c r="C296" t="str">
        <f t="shared" si="17"/>
        <v>May</v>
      </c>
      <c r="D296" t="str">
        <f t="shared" si="18"/>
        <v>Q2</v>
      </c>
      <c r="E296">
        <f t="shared" si="19"/>
        <v>2025</v>
      </c>
    </row>
    <row r="297" spans="1:5" x14ac:dyDescent="0.35">
      <c r="A297">
        <f t="shared" si="16"/>
        <v>20250412</v>
      </c>
      <c r="B297" s="2">
        <v>45759</v>
      </c>
      <c r="C297" t="str">
        <f t="shared" si="17"/>
        <v>April</v>
      </c>
      <c r="D297" t="str">
        <f t="shared" si="18"/>
        <v>Q2</v>
      </c>
      <c r="E297">
        <f t="shared" si="19"/>
        <v>2025</v>
      </c>
    </row>
    <row r="298" spans="1:5" x14ac:dyDescent="0.35">
      <c r="A298">
        <f t="shared" si="16"/>
        <v>20250414</v>
      </c>
      <c r="B298" s="2">
        <v>45761</v>
      </c>
      <c r="C298" t="str">
        <f t="shared" si="17"/>
        <v>April</v>
      </c>
      <c r="D298" t="str">
        <f t="shared" si="18"/>
        <v>Q2</v>
      </c>
      <c r="E298">
        <f t="shared" si="19"/>
        <v>2025</v>
      </c>
    </row>
    <row r="299" spans="1:5" x14ac:dyDescent="0.35">
      <c r="A299">
        <f t="shared" si="16"/>
        <v>20250203</v>
      </c>
      <c r="B299" s="2">
        <v>45691</v>
      </c>
      <c r="C299" t="str">
        <f t="shared" si="17"/>
        <v>February</v>
      </c>
      <c r="D299" t="str">
        <f t="shared" si="18"/>
        <v>Q1</v>
      </c>
      <c r="E299">
        <f t="shared" si="19"/>
        <v>2025</v>
      </c>
    </row>
    <row r="300" spans="1:5" x14ac:dyDescent="0.35">
      <c r="A300">
        <f t="shared" si="16"/>
        <v>20250812</v>
      </c>
      <c r="B300" s="2">
        <v>45881</v>
      </c>
      <c r="C300" t="str">
        <f t="shared" si="17"/>
        <v>August</v>
      </c>
      <c r="D300" t="str">
        <f t="shared" si="18"/>
        <v>Q3</v>
      </c>
      <c r="E300">
        <f t="shared" si="19"/>
        <v>2025</v>
      </c>
    </row>
    <row r="301" spans="1:5" x14ac:dyDescent="0.35">
      <c r="A301">
        <f t="shared" si="16"/>
        <v>20251007</v>
      </c>
      <c r="B301" s="2">
        <v>45937</v>
      </c>
      <c r="C301" t="str">
        <f t="shared" si="17"/>
        <v>October</v>
      </c>
      <c r="D301" t="str">
        <f t="shared" si="18"/>
        <v>Q4</v>
      </c>
      <c r="E301">
        <f t="shared" si="19"/>
        <v>2025</v>
      </c>
    </row>
    <row r="302" spans="1:5" x14ac:dyDescent="0.35">
      <c r="A302">
        <f t="shared" si="16"/>
        <v>20250706</v>
      </c>
      <c r="B302" s="2">
        <v>45844</v>
      </c>
      <c r="C302" t="str">
        <f t="shared" si="17"/>
        <v>July</v>
      </c>
      <c r="D302" t="str">
        <f t="shared" si="18"/>
        <v>Q3</v>
      </c>
      <c r="E302">
        <f t="shared" si="19"/>
        <v>2025</v>
      </c>
    </row>
    <row r="303" spans="1:5" x14ac:dyDescent="0.35">
      <c r="A303">
        <f t="shared" si="16"/>
        <v>20250907</v>
      </c>
      <c r="B303" s="2">
        <v>45907</v>
      </c>
      <c r="C303" t="str">
        <f t="shared" si="17"/>
        <v>September</v>
      </c>
      <c r="D303" t="str">
        <f t="shared" si="18"/>
        <v>Q3</v>
      </c>
      <c r="E303">
        <f t="shared" si="19"/>
        <v>2025</v>
      </c>
    </row>
    <row r="304" spans="1:5" x14ac:dyDescent="0.35">
      <c r="A304">
        <f t="shared" si="16"/>
        <v>20251230</v>
      </c>
      <c r="B304" s="2">
        <v>46021</v>
      </c>
      <c r="C304" t="str">
        <f t="shared" si="17"/>
        <v>December</v>
      </c>
      <c r="D304" t="str">
        <f t="shared" si="18"/>
        <v>Q4</v>
      </c>
      <c r="E304">
        <f t="shared" si="19"/>
        <v>2025</v>
      </c>
    </row>
    <row r="305" spans="1:5" x14ac:dyDescent="0.35">
      <c r="A305">
        <f t="shared" si="16"/>
        <v>20251206</v>
      </c>
      <c r="B305" s="2">
        <v>45997</v>
      </c>
      <c r="C305" t="str">
        <f t="shared" si="17"/>
        <v>December</v>
      </c>
      <c r="D305" t="str">
        <f t="shared" si="18"/>
        <v>Q4</v>
      </c>
      <c r="E305">
        <f t="shared" si="19"/>
        <v>2025</v>
      </c>
    </row>
    <row r="306" spans="1:5" x14ac:dyDescent="0.35">
      <c r="A306">
        <f t="shared" si="16"/>
        <v>20250228</v>
      </c>
      <c r="B306" s="2">
        <v>45716</v>
      </c>
      <c r="C306" t="str">
        <f t="shared" si="17"/>
        <v>February</v>
      </c>
      <c r="D306" t="str">
        <f t="shared" si="18"/>
        <v>Q1</v>
      </c>
      <c r="E306">
        <f t="shared" si="19"/>
        <v>2025</v>
      </c>
    </row>
    <row r="307" spans="1:5" x14ac:dyDescent="0.35">
      <c r="A307">
        <f t="shared" si="16"/>
        <v>20250322</v>
      </c>
      <c r="B307" s="2">
        <v>45738</v>
      </c>
      <c r="C307" t="str">
        <f t="shared" si="17"/>
        <v>March</v>
      </c>
      <c r="D307" t="str">
        <f t="shared" si="18"/>
        <v>Q1</v>
      </c>
      <c r="E307">
        <f t="shared" si="19"/>
        <v>2025</v>
      </c>
    </row>
    <row r="308" spans="1:5" x14ac:dyDescent="0.35">
      <c r="A308">
        <f t="shared" si="16"/>
        <v>20250303</v>
      </c>
      <c r="B308" s="2">
        <v>45719</v>
      </c>
      <c r="C308" t="str">
        <f t="shared" si="17"/>
        <v>March</v>
      </c>
      <c r="D308" t="str">
        <f t="shared" si="18"/>
        <v>Q1</v>
      </c>
      <c r="E308">
        <f t="shared" si="19"/>
        <v>2025</v>
      </c>
    </row>
    <row r="309" spans="1:5" x14ac:dyDescent="0.35">
      <c r="A309">
        <f t="shared" si="16"/>
        <v>20251019</v>
      </c>
      <c r="B309" s="2">
        <v>45949</v>
      </c>
      <c r="C309" t="str">
        <f t="shared" si="17"/>
        <v>October</v>
      </c>
      <c r="D309" t="str">
        <f t="shared" si="18"/>
        <v>Q4</v>
      </c>
      <c r="E309">
        <f t="shared" si="19"/>
        <v>2025</v>
      </c>
    </row>
    <row r="310" spans="1:5" x14ac:dyDescent="0.35">
      <c r="A310">
        <f t="shared" si="16"/>
        <v>20251116</v>
      </c>
      <c r="B310" s="2">
        <v>45977</v>
      </c>
      <c r="C310" t="str">
        <f t="shared" si="17"/>
        <v>November</v>
      </c>
      <c r="D310" t="str">
        <f t="shared" si="18"/>
        <v>Q4</v>
      </c>
      <c r="E310">
        <f t="shared" si="19"/>
        <v>2025</v>
      </c>
    </row>
    <row r="311" spans="1:5" x14ac:dyDescent="0.35">
      <c r="A311">
        <f t="shared" si="16"/>
        <v>20250612</v>
      </c>
      <c r="B311" s="2">
        <v>45820</v>
      </c>
      <c r="C311" t="str">
        <f t="shared" si="17"/>
        <v>June</v>
      </c>
      <c r="D311" t="str">
        <f t="shared" si="18"/>
        <v>Q2</v>
      </c>
      <c r="E311">
        <f t="shared" si="19"/>
        <v>2025</v>
      </c>
    </row>
    <row r="312" spans="1:5" x14ac:dyDescent="0.35">
      <c r="A312">
        <f t="shared" si="16"/>
        <v>20250120</v>
      </c>
      <c r="B312" s="2">
        <v>45677</v>
      </c>
      <c r="C312" t="str">
        <f t="shared" si="17"/>
        <v>January</v>
      </c>
      <c r="D312" t="str">
        <f t="shared" si="18"/>
        <v>Q1</v>
      </c>
      <c r="E312">
        <f t="shared" si="19"/>
        <v>2025</v>
      </c>
    </row>
    <row r="313" spans="1:5" x14ac:dyDescent="0.35">
      <c r="A313">
        <f t="shared" si="16"/>
        <v>20251012</v>
      </c>
      <c r="B313" s="2">
        <v>45942</v>
      </c>
      <c r="C313" t="str">
        <f t="shared" si="17"/>
        <v>October</v>
      </c>
      <c r="D313" t="str">
        <f t="shared" si="18"/>
        <v>Q4</v>
      </c>
      <c r="E313">
        <f t="shared" si="19"/>
        <v>2025</v>
      </c>
    </row>
    <row r="314" spans="1:5" x14ac:dyDescent="0.35">
      <c r="A314">
        <f t="shared" si="16"/>
        <v>20251229</v>
      </c>
      <c r="B314" s="2">
        <v>46020</v>
      </c>
      <c r="C314" t="str">
        <f t="shared" si="17"/>
        <v>December</v>
      </c>
      <c r="D314" t="str">
        <f t="shared" si="18"/>
        <v>Q4</v>
      </c>
      <c r="E314">
        <f t="shared" si="19"/>
        <v>2025</v>
      </c>
    </row>
    <row r="315" spans="1:5" x14ac:dyDescent="0.35">
      <c r="A315">
        <f t="shared" si="16"/>
        <v>20250227</v>
      </c>
      <c r="B315" s="2">
        <v>45715</v>
      </c>
      <c r="C315" t="str">
        <f t="shared" si="17"/>
        <v>February</v>
      </c>
      <c r="D315" t="str">
        <f t="shared" si="18"/>
        <v>Q1</v>
      </c>
      <c r="E315">
        <f t="shared" si="19"/>
        <v>2025</v>
      </c>
    </row>
    <row r="316" spans="1:5" x14ac:dyDescent="0.35">
      <c r="A316">
        <f t="shared" si="16"/>
        <v>20250712</v>
      </c>
      <c r="B316" s="2">
        <v>45850</v>
      </c>
      <c r="C316" t="str">
        <f t="shared" si="17"/>
        <v>July</v>
      </c>
      <c r="D316" t="str">
        <f t="shared" si="18"/>
        <v>Q3</v>
      </c>
      <c r="E316">
        <f t="shared" si="19"/>
        <v>2025</v>
      </c>
    </row>
    <row r="317" spans="1:5" x14ac:dyDescent="0.35">
      <c r="A317">
        <f t="shared" si="16"/>
        <v>20251010</v>
      </c>
      <c r="B317" s="2">
        <v>45940</v>
      </c>
      <c r="C317" t="str">
        <f t="shared" si="17"/>
        <v>October</v>
      </c>
      <c r="D317" t="str">
        <f t="shared" si="18"/>
        <v>Q4</v>
      </c>
      <c r="E317">
        <f t="shared" si="19"/>
        <v>2025</v>
      </c>
    </row>
    <row r="318" spans="1:5" x14ac:dyDescent="0.35">
      <c r="A318">
        <f t="shared" si="16"/>
        <v>20251102</v>
      </c>
      <c r="B318" s="2">
        <v>45963</v>
      </c>
      <c r="C318" t="str">
        <f t="shared" si="17"/>
        <v>November</v>
      </c>
      <c r="D318" t="str">
        <f t="shared" si="18"/>
        <v>Q4</v>
      </c>
      <c r="E318">
        <f t="shared" si="19"/>
        <v>2025</v>
      </c>
    </row>
    <row r="319" spans="1:5" x14ac:dyDescent="0.35">
      <c r="A319">
        <f t="shared" si="16"/>
        <v>20250618</v>
      </c>
      <c r="B319" s="2">
        <v>45826</v>
      </c>
      <c r="C319" t="str">
        <f t="shared" si="17"/>
        <v>June</v>
      </c>
      <c r="D319" t="str">
        <f t="shared" si="18"/>
        <v>Q2</v>
      </c>
      <c r="E319">
        <f t="shared" si="19"/>
        <v>2025</v>
      </c>
    </row>
    <row r="320" spans="1:5" x14ac:dyDescent="0.35">
      <c r="A320">
        <f t="shared" si="16"/>
        <v>20250119</v>
      </c>
      <c r="B320" s="2">
        <v>45676</v>
      </c>
      <c r="C320" t="str">
        <f t="shared" si="17"/>
        <v>January</v>
      </c>
      <c r="D320" t="str">
        <f t="shared" si="18"/>
        <v>Q1</v>
      </c>
      <c r="E320">
        <f t="shared" si="19"/>
        <v>2025</v>
      </c>
    </row>
    <row r="321" spans="1:5" x14ac:dyDescent="0.35">
      <c r="A321">
        <f t="shared" si="16"/>
        <v>20251119</v>
      </c>
      <c r="B321" s="2">
        <v>45980</v>
      </c>
      <c r="C321" t="str">
        <f t="shared" si="17"/>
        <v>November</v>
      </c>
      <c r="D321" t="str">
        <f t="shared" si="18"/>
        <v>Q4</v>
      </c>
      <c r="E321">
        <f t="shared" si="19"/>
        <v>2025</v>
      </c>
    </row>
    <row r="322" spans="1:5" x14ac:dyDescent="0.35">
      <c r="A322">
        <f t="shared" si="16"/>
        <v>20251103</v>
      </c>
      <c r="B322" s="2">
        <v>45964</v>
      </c>
      <c r="C322" t="str">
        <f t="shared" si="17"/>
        <v>November</v>
      </c>
      <c r="D322" t="str">
        <f t="shared" si="18"/>
        <v>Q4</v>
      </c>
      <c r="E322">
        <f t="shared" si="19"/>
        <v>2025</v>
      </c>
    </row>
    <row r="323" spans="1:5" x14ac:dyDescent="0.35">
      <c r="A323">
        <f t="shared" ref="A323:A348" si="20">YEAR(B323)*10000 + MONTH(B323)*100 + DAY(B323)</f>
        <v>20250913</v>
      </c>
      <c r="B323" s="2">
        <v>45913</v>
      </c>
      <c r="C323" t="str">
        <f t="shared" ref="C323:C348" si="21">TEXT(B323,"mmmm")</f>
        <v>September</v>
      </c>
      <c r="D323" t="str">
        <f t="shared" ref="D323:D348" si="22">"Q"&amp;ROUNDUP(MONTH(B323)/3,0)</f>
        <v>Q3</v>
      </c>
      <c r="E323">
        <f t="shared" ref="E323:E348" si="23">YEAR(B323)</f>
        <v>2025</v>
      </c>
    </row>
    <row r="324" spans="1:5" x14ac:dyDescent="0.35">
      <c r="A324">
        <f t="shared" si="20"/>
        <v>20251126</v>
      </c>
      <c r="B324" s="2">
        <v>45987</v>
      </c>
      <c r="C324" t="str">
        <f t="shared" si="21"/>
        <v>November</v>
      </c>
      <c r="D324" t="str">
        <f t="shared" si="22"/>
        <v>Q4</v>
      </c>
      <c r="E324">
        <f t="shared" si="23"/>
        <v>2025</v>
      </c>
    </row>
    <row r="325" spans="1:5" x14ac:dyDescent="0.35">
      <c r="A325">
        <f t="shared" si="20"/>
        <v>20251211</v>
      </c>
      <c r="B325" s="2">
        <v>46002</v>
      </c>
      <c r="C325" t="str">
        <f t="shared" si="21"/>
        <v>December</v>
      </c>
      <c r="D325" t="str">
        <f t="shared" si="22"/>
        <v>Q4</v>
      </c>
      <c r="E325">
        <f t="shared" si="23"/>
        <v>2025</v>
      </c>
    </row>
    <row r="326" spans="1:5" x14ac:dyDescent="0.35">
      <c r="A326">
        <f t="shared" si="20"/>
        <v>20250209</v>
      </c>
      <c r="B326" s="2">
        <v>45697</v>
      </c>
      <c r="C326" t="str">
        <f t="shared" si="21"/>
        <v>February</v>
      </c>
      <c r="D326" t="str">
        <f t="shared" si="22"/>
        <v>Q1</v>
      </c>
      <c r="E326">
        <f t="shared" si="23"/>
        <v>2025</v>
      </c>
    </row>
    <row r="327" spans="1:5" x14ac:dyDescent="0.35">
      <c r="A327">
        <f t="shared" si="20"/>
        <v>20250331</v>
      </c>
      <c r="B327" s="2">
        <v>45747</v>
      </c>
      <c r="C327" t="str">
        <f t="shared" si="21"/>
        <v>March</v>
      </c>
      <c r="D327" t="str">
        <f t="shared" si="22"/>
        <v>Q1</v>
      </c>
      <c r="E327">
        <f t="shared" si="23"/>
        <v>2025</v>
      </c>
    </row>
    <row r="328" spans="1:5" x14ac:dyDescent="0.35">
      <c r="A328">
        <f t="shared" si="20"/>
        <v>20250222</v>
      </c>
      <c r="B328" s="2">
        <v>45710</v>
      </c>
      <c r="C328" t="str">
        <f t="shared" si="21"/>
        <v>February</v>
      </c>
      <c r="D328" t="str">
        <f t="shared" si="22"/>
        <v>Q1</v>
      </c>
      <c r="E328">
        <f t="shared" si="23"/>
        <v>2025</v>
      </c>
    </row>
    <row r="329" spans="1:5" x14ac:dyDescent="0.35">
      <c r="A329">
        <f t="shared" si="20"/>
        <v>20251202</v>
      </c>
      <c r="B329" s="2">
        <v>45993</v>
      </c>
      <c r="C329" t="str">
        <f t="shared" si="21"/>
        <v>December</v>
      </c>
      <c r="D329" t="str">
        <f t="shared" si="22"/>
        <v>Q4</v>
      </c>
      <c r="E329">
        <f t="shared" si="23"/>
        <v>2025</v>
      </c>
    </row>
    <row r="330" spans="1:5" x14ac:dyDescent="0.35">
      <c r="A330">
        <f t="shared" si="20"/>
        <v>20250519</v>
      </c>
      <c r="B330" s="2">
        <v>45796</v>
      </c>
      <c r="C330" t="str">
        <f t="shared" si="21"/>
        <v>May</v>
      </c>
      <c r="D330" t="str">
        <f t="shared" si="22"/>
        <v>Q2</v>
      </c>
      <c r="E330">
        <f t="shared" si="23"/>
        <v>2025</v>
      </c>
    </row>
    <row r="331" spans="1:5" x14ac:dyDescent="0.35">
      <c r="A331">
        <f t="shared" si="20"/>
        <v>20251105</v>
      </c>
      <c r="B331" s="2">
        <v>45966</v>
      </c>
      <c r="C331" t="str">
        <f t="shared" si="21"/>
        <v>November</v>
      </c>
      <c r="D331" t="str">
        <f t="shared" si="22"/>
        <v>Q4</v>
      </c>
      <c r="E331">
        <f t="shared" si="23"/>
        <v>2025</v>
      </c>
    </row>
    <row r="332" spans="1:5" x14ac:dyDescent="0.35">
      <c r="A332">
        <f t="shared" si="20"/>
        <v>20250605</v>
      </c>
      <c r="B332" s="2">
        <v>45813</v>
      </c>
      <c r="C332" t="str">
        <f t="shared" si="21"/>
        <v>June</v>
      </c>
      <c r="D332" t="str">
        <f t="shared" si="22"/>
        <v>Q2</v>
      </c>
      <c r="E332">
        <f t="shared" si="23"/>
        <v>2025</v>
      </c>
    </row>
    <row r="333" spans="1:5" x14ac:dyDescent="0.35">
      <c r="A333">
        <f t="shared" si="20"/>
        <v>20250915</v>
      </c>
      <c r="B333" s="2">
        <v>45915</v>
      </c>
      <c r="C333" t="str">
        <f t="shared" si="21"/>
        <v>September</v>
      </c>
      <c r="D333" t="str">
        <f t="shared" si="22"/>
        <v>Q3</v>
      </c>
      <c r="E333">
        <f t="shared" si="23"/>
        <v>2025</v>
      </c>
    </row>
    <row r="334" spans="1:5" x14ac:dyDescent="0.35">
      <c r="A334">
        <f t="shared" si="20"/>
        <v>20250128</v>
      </c>
      <c r="B334" s="2">
        <v>45685</v>
      </c>
      <c r="C334" t="str">
        <f t="shared" si="21"/>
        <v>January</v>
      </c>
      <c r="D334" t="str">
        <f t="shared" si="22"/>
        <v>Q1</v>
      </c>
      <c r="E334">
        <f t="shared" si="23"/>
        <v>2025</v>
      </c>
    </row>
    <row r="335" spans="1:5" x14ac:dyDescent="0.35">
      <c r="A335">
        <f t="shared" si="20"/>
        <v>20251214</v>
      </c>
      <c r="B335" s="2">
        <v>46005</v>
      </c>
      <c r="C335" t="str">
        <f t="shared" si="21"/>
        <v>December</v>
      </c>
      <c r="D335" t="str">
        <f t="shared" si="22"/>
        <v>Q4</v>
      </c>
      <c r="E335">
        <f t="shared" si="23"/>
        <v>2025</v>
      </c>
    </row>
    <row r="336" spans="1:5" x14ac:dyDescent="0.35">
      <c r="A336">
        <f t="shared" si="20"/>
        <v>20250416</v>
      </c>
      <c r="B336" s="2">
        <v>45763</v>
      </c>
      <c r="C336" t="str">
        <f t="shared" si="21"/>
        <v>April</v>
      </c>
      <c r="D336" t="str">
        <f t="shared" si="22"/>
        <v>Q2</v>
      </c>
      <c r="E336">
        <f t="shared" si="23"/>
        <v>2025</v>
      </c>
    </row>
    <row r="337" spans="1:5" x14ac:dyDescent="0.35">
      <c r="A337">
        <f t="shared" si="20"/>
        <v>20250807</v>
      </c>
      <c r="B337" s="2">
        <v>45876</v>
      </c>
      <c r="C337" t="str">
        <f t="shared" si="21"/>
        <v>August</v>
      </c>
      <c r="D337" t="str">
        <f t="shared" si="22"/>
        <v>Q3</v>
      </c>
      <c r="E337">
        <f t="shared" si="23"/>
        <v>2025</v>
      </c>
    </row>
    <row r="338" spans="1:5" x14ac:dyDescent="0.35">
      <c r="A338">
        <f t="shared" si="20"/>
        <v>20251217</v>
      </c>
      <c r="B338" s="2">
        <v>46008</v>
      </c>
      <c r="C338" t="str">
        <f t="shared" si="21"/>
        <v>December</v>
      </c>
      <c r="D338" t="str">
        <f t="shared" si="22"/>
        <v>Q4</v>
      </c>
      <c r="E338">
        <f t="shared" si="23"/>
        <v>2025</v>
      </c>
    </row>
    <row r="339" spans="1:5" x14ac:dyDescent="0.35">
      <c r="A339">
        <f t="shared" si="20"/>
        <v>20250609</v>
      </c>
      <c r="B339" s="2">
        <v>45817</v>
      </c>
      <c r="C339" t="str">
        <f t="shared" si="21"/>
        <v>June</v>
      </c>
      <c r="D339" t="str">
        <f t="shared" si="22"/>
        <v>Q2</v>
      </c>
      <c r="E339">
        <f t="shared" si="23"/>
        <v>2025</v>
      </c>
    </row>
    <row r="340" spans="1:5" x14ac:dyDescent="0.35">
      <c r="A340">
        <f t="shared" si="20"/>
        <v>20250123</v>
      </c>
      <c r="B340" s="2">
        <v>45680</v>
      </c>
      <c r="C340" t="str">
        <f t="shared" si="21"/>
        <v>January</v>
      </c>
      <c r="D340" t="str">
        <f t="shared" si="22"/>
        <v>Q1</v>
      </c>
      <c r="E340">
        <f t="shared" si="23"/>
        <v>2025</v>
      </c>
    </row>
    <row r="341" spans="1:5" x14ac:dyDescent="0.35">
      <c r="A341">
        <f t="shared" si="20"/>
        <v>20250701</v>
      </c>
      <c r="B341" s="2">
        <v>45839</v>
      </c>
      <c r="C341" t="str">
        <f t="shared" si="21"/>
        <v>July</v>
      </c>
      <c r="D341" t="str">
        <f t="shared" si="22"/>
        <v>Q3</v>
      </c>
      <c r="E341">
        <f t="shared" si="23"/>
        <v>2025</v>
      </c>
    </row>
    <row r="342" spans="1:5" x14ac:dyDescent="0.35">
      <c r="A342">
        <f t="shared" si="20"/>
        <v>20250530</v>
      </c>
      <c r="B342" s="2">
        <v>45807</v>
      </c>
      <c r="C342" t="str">
        <f t="shared" si="21"/>
        <v>May</v>
      </c>
      <c r="D342" t="str">
        <f t="shared" si="22"/>
        <v>Q2</v>
      </c>
      <c r="E342">
        <f t="shared" si="23"/>
        <v>2025</v>
      </c>
    </row>
    <row r="343" spans="1:5" x14ac:dyDescent="0.35">
      <c r="A343">
        <f t="shared" si="20"/>
        <v>20250125</v>
      </c>
      <c r="B343" s="2">
        <v>45682</v>
      </c>
      <c r="C343" t="str">
        <f t="shared" si="21"/>
        <v>January</v>
      </c>
      <c r="D343" t="str">
        <f t="shared" si="22"/>
        <v>Q1</v>
      </c>
      <c r="E343">
        <f t="shared" si="23"/>
        <v>2025</v>
      </c>
    </row>
    <row r="344" spans="1:5" x14ac:dyDescent="0.35">
      <c r="A344">
        <f t="shared" si="20"/>
        <v>20250817</v>
      </c>
      <c r="B344" s="2">
        <v>45886</v>
      </c>
      <c r="C344" t="str">
        <f t="shared" si="21"/>
        <v>August</v>
      </c>
      <c r="D344" t="str">
        <f t="shared" si="22"/>
        <v>Q3</v>
      </c>
      <c r="E344">
        <f t="shared" si="23"/>
        <v>2025</v>
      </c>
    </row>
    <row r="345" spans="1:5" x14ac:dyDescent="0.35">
      <c r="A345">
        <f t="shared" si="20"/>
        <v>20251117</v>
      </c>
      <c r="B345" s="2">
        <v>45978</v>
      </c>
      <c r="C345" t="str">
        <f t="shared" si="21"/>
        <v>November</v>
      </c>
      <c r="D345" t="str">
        <f t="shared" si="22"/>
        <v>Q4</v>
      </c>
      <c r="E345">
        <f t="shared" si="23"/>
        <v>2025</v>
      </c>
    </row>
    <row r="346" spans="1:5" x14ac:dyDescent="0.35">
      <c r="A346">
        <f t="shared" si="20"/>
        <v>20250415</v>
      </c>
      <c r="B346" s="2">
        <v>45762</v>
      </c>
      <c r="C346" t="str">
        <f t="shared" si="21"/>
        <v>April</v>
      </c>
      <c r="D346" t="str">
        <f t="shared" si="22"/>
        <v>Q2</v>
      </c>
      <c r="E346">
        <f t="shared" si="23"/>
        <v>2025</v>
      </c>
    </row>
    <row r="347" spans="1:5" x14ac:dyDescent="0.35">
      <c r="A347">
        <f t="shared" si="20"/>
        <v>20250115</v>
      </c>
      <c r="B347" s="2">
        <v>45672</v>
      </c>
      <c r="C347" t="str">
        <f t="shared" si="21"/>
        <v>January</v>
      </c>
      <c r="D347" t="str">
        <f t="shared" si="22"/>
        <v>Q1</v>
      </c>
      <c r="E347">
        <f t="shared" si="23"/>
        <v>2025</v>
      </c>
    </row>
    <row r="348" spans="1:5" x14ac:dyDescent="0.35">
      <c r="A348">
        <f t="shared" si="20"/>
        <v>20251121</v>
      </c>
      <c r="B348" s="2">
        <v>45982</v>
      </c>
      <c r="C348" t="str">
        <f t="shared" si="21"/>
        <v>November</v>
      </c>
      <c r="D348" t="str">
        <f t="shared" si="22"/>
        <v>Q4</v>
      </c>
      <c r="E348">
        <f t="shared" si="23"/>
        <v>2025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1A95-C5DC-4AB8-A0B1-DBAB5F29917C}">
  <dimension ref="A1:F1201"/>
  <sheetViews>
    <sheetView workbookViewId="0">
      <selection activeCell="F2" sqref="F2:F1201"/>
    </sheetView>
  </sheetViews>
  <sheetFormatPr defaultRowHeight="14.5" x14ac:dyDescent="0.35"/>
  <cols>
    <col min="1" max="1" width="12.36328125" bestFit="1" customWidth="1"/>
    <col min="3" max="3" width="11.81640625" bestFit="1" customWidth="1"/>
    <col min="4" max="4" width="10.1796875" bestFit="1" customWidth="1"/>
    <col min="6" max="6" width="11.7265625" bestFit="1" customWidth="1"/>
  </cols>
  <sheetData>
    <row r="1" spans="1:6" x14ac:dyDescent="0.35">
      <c r="A1" s="4" t="s">
        <v>0</v>
      </c>
      <c r="B1" s="4" t="s">
        <v>3715</v>
      </c>
      <c r="C1" s="4" t="s">
        <v>3713</v>
      </c>
      <c r="D1" s="4" t="s">
        <v>3714</v>
      </c>
      <c r="E1" s="4" t="s">
        <v>11</v>
      </c>
      <c r="F1" s="4" t="s">
        <v>3712</v>
      </c>
    </row>
    <row r="2" spans="1:6" x14ac:dyDescent="0.35">
      <c r="A2" t="str">
        <f>clean_sales!A2</f>
        <v>TXN100000</v>
      </c>
      <c r="B2">
        <f>_xlfn.XLOOKUP(clean_sales!P2,Dim_Date!B:B,Dim_Date!A:A)</f>
        <v>20250813</v>
      </c>
      <c r="C2">
        <f>_xlfn.XLOOKUP(clean_sales!C2,Dim_Customer!B:B,Dim_Customer!A:A)</f>
        <v>1</v>
      </c>
      <c r="D2">
        <f>_xlfn.XLOOKUP(clean_sales!I2,Dim_Product!B:B,Dim_Product!A:A)</f>
        <v>1</v>
      </c>
      <c r="E2">
        <f>clean_sales!L2</f>
        <v>5</v>
      </c>
      <c r="F2">
        <f>clean_sales!T2</f>
        <v>60000</v>
      </c>
    </row>
    <row r="3" spans="1:6" x14ac:dyDescent="0.35">
      <c r="A3" t="str" cm="1">
        <f t="array" ref="A3:A1201">clean_sales!A3:A1201</f>
        <v>TXN100001</v>
      </c>
      <c r="B3">
        <f>_xlfn.XLOOKUP(clean_sales!P3,Dim_Date!B:B,Dim_Date!A:A)</f>
        <v>20250131</v>
      </c>
      <c r="C3">
        <f>_xlfn.XLOOKUP(clean_sales!C3,Dim_Customer!B:B,Dim_Customer!A:A)</f>
        <v>2</v>
      </c>
      <c r="D3">
        <f>_xlfn.XLOOKUP(clean_sales!I3,Dim_Product!B:B,Dim_Product!A:A)</f>
        <v>1</v>
      </c>
      <c r="E3">
        <f>clean_sales!L3</f>
        <v>3</v>
      </c>
      <c r="F3">
        <f>clean_sales!T3</f>
        <v>36000</v>
      </c>
    </row>
    <row r="4" spans="1:6" x14ac:dyDescent="0.35">
      <c r="A4" t="str">
        <v>TXN100002</v>
      </c>
      <c r="B4">
        <f>_xlfn.XLOOKUP(clean_sales!P4,Dim_Date!B:B,Dim_Date!A:A)</f>
        <v>20250810</v>
      </c>
      <c r="C4">
        <f>_xlfn.XLOOKUP(clean_sales!C4,Dim_Customer!B:B,Dim_Customer!A:A)</f>
        <v>3</v>
      </c>
      <c r="D4">
        <f>_xlfn.XLOOKUP(clean_sales!I4,Dim_Product!B:B,Dim_Product!A:A)</f>
        <v>2</v>
      </c>
      <c r="E4">
        <f>clean_sales!L4</f>
        <v>1</v>
      </c>
      <c r="F4">
        <f>clean_sales!T4</f>
        <v>65000</v>
      </c>
    </row>
    <row r="5" spans="1:6" x14ac:dyDescent="0.35">
      <c r="A5" t="str">
        <v>TXN100003</v>
      </c>
      <c r="B5">
        <f>_xlfn.XLOOKUP(clean_sales!P5,Dim_Date!B:B,Dim_Date!A:A)</f>
        <v>20251219</v>
      </c>
      <c r="C5">
        <f>_xlfn.XLOOKUP(clean_sales!C5,Dim_Customer!B:B,Dim_Customer!A:A)</f>
        <v>4</v>
      </c>
      <c r="D5">
        <f>_xlfn.XLOOKUP(clean_sales!I5,Dim_Product!B:B,Dim_Product!A:A)</f>
        <v>3</v>
      </c>
      <c r="E5">
        <f>clean_sales!L5</f>
        <v>4</v>
      </c>
      <c r="F5">
        <f>clean_sales!T5</f>
        <v>20000</v>
      </c>
    </row>
    <row r="6" spans="1:6" x14ac:dyDescent="0.35">
      <c r="A6" t="str">
        <v>TXN100004</v>
      </c>
      <c r="B6">
        <f>_xlfn.XLOOKUP(clean_sales!P6,Dim_Date!B:B,Dim_Date!A:A)</f>
        <v>20250501</v>
      </c>
      <c r="C6">
        <f>_xlfn.XLOOKUP(clean_sales!C6,Dim_Customer!B:B,Dim_Customer!A:A)</f>
        <v>5</v>
      </c>
      <c r="D6">
        <f>_xlfn.XLOOKUP(clean_sales!I6,Dim_Product!B:B,Dim_Product!A:A)</f>
        <v>4</v>
      </c>
      <c r="E6">
        <f>clean_sales!L6</f>
        <v>1</v>
      </c>
      <c r="F6">
        <f>clean_sales!T6</f>
        <v>4500</v>
      </c>
    </row>
    <row r="7" spans="1:6" x14ac:dyDescent="0.35">
      <c r="A7" t="str">
        <v>TXN100005</v>
      </c>
      <c r="B7">
        <f>_xlfn.XLOOKUP(clean_sales!P7,Dim_Date!B:B,Dim_Date!A:A)</f>
        <v>20250803</v>
      </c>
      <c r="C7">
        <f>_xlfn.XLOOKUP(clean_sales!C7,Dim_Customer!B:B,Dim_Customer!A:A)</f>
        <v>6</v>
      </c>
      <c r="D7">
        <f>_xlfn.XLOOKUP(clean_sales!I7,Dim_Product!B:B,Dim_Product!A:A)</f>
        <v>4</v>
      </c>
      <c r="E7">
        <f>clean_sales!L7</f>
        <v>4</v>
      </c>
      <c r="F7">
        <f>clean_sales!T7</f>
        <v>18000</v>
      </c>
    </row>
    <row r="8" spans="1:6" x14ac:dyDescent="0.35">
      <c r="A8" t="str">
        <v>TXN100006</v>
      </c>
      <c r="B8">
        <f>_xlfn.XLOOKUP(clean_sales!P8,Dim_Date!B:B,Dim_Date!A:A)</f>
        <v>20250522</v>
      </c>
      <c r="C8">
        <f>_xlfn.XLOOKUP(clean_sales!C8,Dim_Customer!B:B,Dim_Customer!A:A)</f>
        <v>7</v>
      </c>
      <c r="D8">
        <f>_xlfn.XLOOKUP(clean_sales!I8,Dim_Product!B:B,Dim_Product!A:A)</f>
        <v>2</v>
      </c>
      <c r="E8">
        <f>clean_sales!L8</f>
        <v>3</v>
      </c>
      <c r="F8">
        <f>clean_sales!T8</f>
        <v>195000</v>
      </c>
    </row>
    <row r="9" spans="1:6" x14ac:dyDescent="0.35">
      <c r="A9" t="str">
        <v>TXN100007</v>
      </c>
      <c r="B9">
        <f>_xlfn.XLOOKUP(clean_sales!P9,Dim_Date!B:B,Dim_Date!A:A)</f>
        <v>20250705</v>
      </c>
      <c r="C9">
        <f>_xlfn.XLOOKUP(clean_sales!C9,Dim_Customer!B:B,Dim_Customer!A:A)</f>
        <v>8</v>
      </c>
      <c r="D9">
        <f>_xlfn.XLOOKUP(clean_sales!I9,Dim_Product!B:B,Dim_Product!A:A)</f>
        <v>4</v>
      </c>
      <c r="E9">
        <f>clean_sales!L9</f>
        <v>4</v>
      </c>
      <c r="F9">
        <f>clean_sales!T9</f>
        <v>18000</v>
      </c>
    </row>
    <row r="10" spans="1:6" x14ac:dyDescent="0.35">
      <c r="A10" t="str">
        <v>TXN100008</v>
      </c>
      <c r="B10">
        <f>_xlfn.XLOOKUP(clean_sales!P10,Dim_Date!B:B,Dim_Date!A:A)</f>
        <v>20250512</v>
      </c>
      <c r="C10">
        <f>_xlfn.XLOOKUP(clean_sales!C10,Dim_Customer!B:B,Dim_Customer!A:A)</f>
        <v>9</v>
      </c>
      <c r="D10">
        <f>_xlfn.XLOOKUP(clean_sales!I10,Dim_Product!B:B,Dim_Product!A:A)</f>
        <v>5</v>
      </c>
      <c r="E10">
        <f>clean_sales!L10</f>
        <v>3</v>
      </c>
      <c r="F10">
        <f>clean_sales!T10</f>
        <v>5400</v>
      </c>
    </row>
    <row r="11" spans="1:6" x14ac:dyDescent="0.35">
      <c r="A11" t="str">
        <v>TXN100009</v>
      </c>
      <c r="B11">
        <f>_xlfn.XLOOKUP(clean_sales!P11,Dim_Date!B:B,Dim_Date!A:A)</f>
        <v>20250524</v>
      </c>
      <c r="C11">
        <f>_xlfn.XLOOKUP(clean_sales!C11,Dim_Customer!B:B,Dim_Customer!A:A)</f>
        <v>10</v>
      </c>
      <c r="D11">
        <f>_xlfn.XLOOKUP(clean_sales!I11,Dim_Product!B:B,Dim_Product!A:A)</f>
        <v>6</v>
      </c>
      <c r="E11">
        <f>clean_sales!L11</f>
        <v>1</v>
      </c>
      <c r="F11">
        <f>clean_sales!T11</f>
        <v>72000</v>
      </c>
    </row>
    <row r="12" spans="1:6" x14ac:dyDescent="0.35">
      <c r="A12" t="str">
        <v>TXN100010</v>
      </c>
      <c r="B12">
        <f>_xlfn.XLOOKUP(clean_sales!P12,Dim_Date!B:B,Dim_Date!A:A)</f>
        <v>20250725</v>
      </c>
      <c r="C12">
        <f>_xlfn.XLOOKUP(clean_sales!C12,Dim_Customer!B:B,Dim_Customer!A:A)</f>
        <v>11</v>
      </c>
      <c r="D12">
        <f>_xlfn.XLOOKUP(clean_sales!I12,Dim_Product!B:B,Dim_Product!A:A)</f>
        <v>5</v>
      </c>
      <c r="E12">
        <f>clean_sales!L12</f>
        <v>4</v>
      </c>
      <c r="F12">
        <f>clean_sales!T12</f>
        <v>7200</v>
      </c>
    </row>
    <row r="13" spans="1:6" x14ac:dyDescent="0.35">
      <c r="A13" t="str">
        <v>TXN100011</v>
      </c>
      <c r="B13">
        <f>_xlfn.XLOOKUP(clean_sales!P13,Dim_Date!B:B,Dim_Date!A:A)</f>
        <v>20250720</v>
      </c>
      <c r="C13">
        <f>_xlfn.XLOOKUP(clean_sales!C13,Dim_Customer!B:B,Dim_Customer!A:A)</f>
        <v>12</v>
      </c>
      <c r="D13">
        <f>_xlfn.XLOOKUP(clean_sales!I13,Dim_Product!B:B,Dim_Product!A:A)</f>
        <v>1</v>
      </c>
      <c r="E13">
        <f>clean_sales!L13</f>
        <v>2</v>
      </c>
      <c r="F13">
        <f>clean_sales!T13</f>
        <v>24000</v>
      </c>
    </row>
    <row r="14" spans="1:6" x14ac:dyDescent="0.35">
      <c r="A14" t="str">
        <v>TXN100012</v>
      </c>
      <c r="B14">
        <f>_xlfn.XLOOKUP(clean_sales!P14,Dim_Date!B:B,Dim_Date!A:A)</f>
        <v>20250220</v>
      </c>
      <c r="C14">
        <f>_xlfn.XLOOKUP(clean_sales!C14,Dim_Customer!B:B,Dim_Customer!A:A)</f>
        <v>13</v>
      </c>
      <c r="D14">
        <f>_xlfn.XLOOKUP(clean_sales!I14,Dim_Product!B:B,Dim_Product!A:A)</f>
        <v>4</v>
      </c>
      <c r="E14">
        <f>clean_sales!L14</f>
        <v>2</v>
      </c>
      <c r="F14">
        <f>clean_sales!T14</f>
        <v>9000</v>
      </c>
    </row>
    <row r="15" spans="1:6" x14ac:dyDescent="0.35">
      <c r="A15" t="str">
        <v>TXN100013</v>
      </c>
      <c r="B15">
        <f>_xlfn.XLOOKUP(clean_sales!P15,Dim_Date!B:B,Dim_Date!A:A)</f>
        <v>20251205</v>
      </c>
      <c r="C15">
        <f>_xlfn.XLOOKUP(clean_sales!C15,Dim_Customer!B:B,Dim_Customer!A:A)</f>
        <v>14</v>
      </c>
      <c r="D15">
        <f>_xlfn.XLOOKUP(clean_sales!I15,Dim_Product!B:B,Dim_Product!A:A)</f>
        <v>5</v>
      </c>
      <c r="E15">
        <f>clean_sales!L15</f>
        <v>5</v>
      </c>
      <c r="F15">
        <f>clean_sales!T15</f>
        <v>9000</v>
      </c>
    </row>
    <row r="16" spans="1:6" x14ac:dyDescent="0.35">
      <c r="A16" t="str">
        <v>TXN100014</v>
      </c>
      <c r="B16">
        <f>_xlfn.XLOOKUP(clean_sales!P16,Dim_Date!B:B,Dim_Date!A:A)</f>
        <v>20250316</v>
      </c>
      <c r="C16">
        <f>_xlfn.XLOOKUP(clean_sales!C16,Dim_Customer!B:B,Dim_Customer!A:A)</f>
        <v>15</v>
      </c>
      <c r="D16">
        <f>_xlfn.XLOOKUP(clean_sales!I16,Dim_Product!B:B,Dim_Product!A:A)</f>
        <v>6</v>
      </c>
      <c r="E16">
        <f>clean_sales!L16</f>
        <v>1</v>
      </c>
      <c r="F16">
        <f>clean_sales!T16</f>
        <v>72000</v>
      </c>
    </row>
    <row r="17" spans="1:6" x14ac:dyDescent="0.35">
      <c r="A17" t="str">
        <v>TXN100015</v>
      </c>
      <c r="B17">
        <f>_xlfn.XLOOKUP(clean_sales!P17,Dim_Date!B:B,Dim_Date!A:A)</f>
        <v>20250513</v>
      </c>
      <c r="C17">
        <f>_xlfn.XLOOKUP(clean_sales!C17,Dim_Customer!B:B,Dim_Customer!A:A)</f>
        <v>16</v>
      </c>
      <c r="D17">
        <f>_xlfn.XLOOKUP(clean_sales!I17,Dim_Product!B:B,Dim_Product!A:A)</f>
        <v>4</v>
      </c>
      <c r="E17">
        <f>clean_sales!L17</f>
        <v>5</v>
      </c>
      <c r="F17">
        <f>clean_sales!T17</f>
        <v>22500</v>
      </c>
    </row>
    <row r="18" spans="1:6" x14ac:dyDescent="0.35">
      <c r="A18" t="str">
        <v>TXN100016</v>
      </c>
      <c r="B18">
        <f>_xlfn.XLOOKUP(clean_sales!P18,Dim_Date!B:B,Dim_Date!A:A)</f>
        <v>20250821</v>
      </c>
      <c r="C18">
        <f>_xlfn.XLOOKUP(clean_sales!C18,Dim_Customer!B:B,Dim_Customer!A:A)</f>
        <v>17</v>
      </c>
      <c r="D18">
        <f>_xlfn.XLOOKUP(clean_sales!I18,Dim_Product!B:B,Dim_Product!A:A)</f>
        <v>3</v>
      </c>
      <c r="E18">
        <f>clean_sales!L18</f>
        <v>3</v>
      </c>
      <c r="F18">
        <f>clean_sales!T18</f>
        <v>15000</v>
      </c>
    </row>
    <row r="19" spans="1:6" x14ac:dyDescent="0.35">
      <c r="A19" t="str">
        <v>TXN100017</v>
      </c>
      <c r="B19">
        <f>_xlfn.XLOOKUP(clean_sales!P19,Dim_Date!B:B,Dim_Date!A:A)</f>
        <v>20250402</v>
      </c>
      <c r="C19">
        <f>_xlfn.XLOOKUP(clean_sales!C19,Dim_Customer!B:B,Dim_Customer!A:A)</f>
        <v>18</v>
      </c>
      <c r="D19">
        <f>_xlfn.XLOOKUP(clean_sales!I19,Dim_Product!B:B,Dim_Product!A:A)</f>
        <v>5</v>
      </c>
      <c r="E19">
        <f>clean_sales!L19</f>
        <v>5</v>
      </c>
      <c r="F19">
        <f>clean_sales!T19</f>
        <v>9000</v>
      </c>
    </row>
    <row r="20" spans="1:6" x14ac:dyDescent="0.35">
      <c r="A20" t="str">
        <v>TXN100018</v>
      </c>
      <c r="B20">
        <f>_xlfn.XLOOKUP(clean_sales!P20,Dim_Date!B:B,Dim_Date!A:A)</f>
        <v>20250921</v>
      </c>
      <c r="C20">
        <f>_xlfn.XLOOKUP(clean_sales!C20,Dim_Customer!B:B,Dim_Customer!A:A)</f>
        <v>19</v>
      </c>
      <c r="D20">
        <f>_xlfn.XLOOKUP(clean_sales!I20,Dim_Product!B:B,Dim_Product!A:A)</f>
        <v>1</v>
      </c>
      <c r="E20">
        <f>clean_sales!L20</f>
        <v>4</v>
      </c>
      <c r="F20">
        <f>clean_sales!T20</f>
        <v>48000</v>
      </c>
    </row>
    <row r="21" spans="1:6" x14ac:dyDescent="0.35">
      <c r="A21" t="str">
        <v>TXN100019</v>
      </c>
      <c r="B21">
        <f>_xlfn.XLOOKUP(clean_sales!P21,Dim_Date!B:B,Dim_Date!A:A)</f>
        <v>20250610</v>
      </c>
      <c r="C21">
        <f>_xlfn.XLOOKUP(clean_sales!C21,Dim_Customer!B:B,Dim_Customer!A:A)</f>
        <v>20</v>
      </c>
      <c r="D21">
        <f>_xlfn.XLOOKUP(clean_sales!I21,Dim_Product!B:B,Dim_Product!A:A)</f>
        <v>2</v>
      </c>
      <c r="E21">
        <f>clean_sales!L21</f>
        <v>4</v>
      </c>
      <c r="F21">
        <f>clean_sales!T21</f>
        <v>260000</v>
      </c>
    </row>
    <row r="22" spans="1:6" x14ac:dyDescent="0.35">
      <c r="A22" t="str">
        <v>TXN100020</v>
      </c>
      <c r="B22">
        <f>_xlfn.XLOOKUP(clean_sales!P22,Dim_Date!B:B,Dim_Date!A:A)</f>
        <v>20250708</v>
      </c>
      <c r="C22">
        <f>_xlfn.XLOOKUP(clean_sales!C22,Dim_Customer!B:B,Dim_Customer!A:A)</f>
        <v>21</v>
      </c>
      <c r="D22">
        <f>_xlfn.XLOOKUP(clean_sales!I22,Dim_Product!B:B,Dim_Product!A:A)</f>
        <v>6</v>
      </c>
      <c r="E22">
        <f>clean_sales!L22</f>
        <v>1</v>
      </c>
      <c r="F22">
        <f>clean_sales!T22</f>
        <v>72000</v>
      </c>
    </row>
    <row r="23" spans="1:6" x14ac:dyDescent="0.35">
      <c r="A23" t="str">
        <v>TXN100021</v>
      </c>
      <c r="B23">
        <f>_xlfn.XLOOKUP(clean_sales!P23,Dim_Date!B:B,Dim_Date!A:A)</f>
        <v>20250625</v>
      </c>
      <c r="C23">
        <f>_xlfn.XLOOKUP(clean_sales!C23,Dim_Customer!B:B,Dim_Customer!A:A)</f>
        <v>20</v>
      </c>
      <c r="D23">
        <f>_xlfn.XLOOKUP(clean_sales!I23,Dim_Product!B:B,Dim_Product!A:A)</f>
        <v>1</v>
      </c>
      <c r="E23">
        <f>clean_sales!L23</f>
        <v>4</v>
      </c>
      <c r="F23">
        <f>clean_sales!T23</f>
        <v>48000</v>
      </c>
    </row>
    <row r="24" spans="1:6" x14ac:dyDescent="0.35">
      <c r="A24" t="str">
        <v>TXN100022</v>
      </c>
      <c r="B24">
        <f>_xlfn.XLOOKUP(clean_sales!P24,Dim_Date!B:B,Dim_Date!A:A)</f>
        <v>20250823</v>
      </c>
      <c r="C24">
        <f>_xlfn.XLOOKUP(clean_sales!C24,Dim_Customer!B:B,Dim_Customer!A:A)</f>
        <v>22</v>
      </c>
      <c r="D24">
        <f>_xlfn.XLOOKUP(clean_sales!I24,Dim_Product!B:B,Dim_Product!A:A)</f>
        <v>6</v>
      </c>
      <c r="E24">
        <f>clean_sales!L24</f>
        <v>4</v>
      </c>
      <c r="F24">
        <f>clean_sales!T24</f>
        <v>288000</v>
      </c>
    </row>
    <row r="25" spans="1:6" x14ac:dyDescent="0.35">
      <c r="A25" t="str">
        <v>TXN100023</v>
      </c>
      <c r="B25">
        <f>_xlfn.XLOOKUP(clean_sales!P25,Dim_Date!B:B,Dim_Date!A:A)</f>
        <v>20250707</v>
      </c>
      <c r="C25">
        <f>_xlfn.XLOOKUP(clean_sales!C25,Dim_Customer!B:B,Dim_Customer!A:A)</f>
        <v>23</v>
      </c>
      <c r="D25">
        <f>_xlfn.XLOOKUP(clean_sales!I25,Dim_Product!B:B,Dim_Product!A:A)</f>
        <v>1</v>
      </c>
      <c r="E25">
        <f>clean_sales!L25</f>
        <v>5</v>
      </c>
      <c r="F25">
        <f>clean_sales!T25</f>
        <v>60000</v>
      </c>
    </row>
    <row r="26" spans="1:6" x14ac:dyDescent="0.35">
      <c r="A26" t="str">
        <v>TXN100024</v>
      </c>
      <c r="B26">
        <f>_xlfn.XLOOKUP(clean_sales!P26,Dim_Date!B:B,Dim_Date!A:A)</f>
        <v>20250110</v>
      </c>
      <c r="C26">
        <f>_xlfn.XLOOKUP(clean_sales!C26,Dim_Customer!B:B,Dim_Customer!A:A)</f>
        <v>24</v>
      </c>
      <c r="D26">
        <f>_xlfn.XLOOKUP(clean_sales!I26,Dim_Product!B:B,Dim_Product!A:A)</f>
        <v>4</v>
      </c>
      <c r="E26">
        <f>clean_sales!L26</f>
        <v>5</v>
      </c>
      <c r="F26">
        <f>clean_sales!T26</f>
        <v>22500</v>
      </c>
    </row>
    <row r="27" spans="1:6" x14ac:dyDescent="0.35">
      <c r="A27" t="str">
        <v>TXN100025</v>
      </c>
      <c r="B27">
        <f>_xlfn.XLOOKUP(clean_sales!P27,Dim_Date!B:B,Dim_Date!A:A)</f>
        <v>20250715</v>
      </c>
      <c r="C27">
        <f>_xlfn.XLOOKUP(clean_sales!C27,Dim_Customer!B:B,Dim_Customer!A:A)</f>
        <v>25</v>
      </c>
      <c r="D27">
        <f>_xlfn.XLOOKUP(clean_sales!I27,Dim_Product!B:B,Dim_Product!A:A)</f>
        <v>1</v>
      </c>
      <c r="E27">
        <f>clean_sales!L27</f>
        <v>5</v>
      </c>
      <c r="F27">
        <f>clean_sales!T27</f>
        <v>60000</v>
      </c>
    </row>
    <row r="28" spans="1:6" x14ac:dyDescent="0.35">
      <c r="A28" t="str">
        <v>TXN100026</v>
      </c>
      <c r="B28">
        <f>_xlfn.XLOOKUP(clean_sales!P28,Dim_Date!B:B,Dim_Date!A:A)</f>
        <v>20251226</v>
      </c>
      <c r="C28">
        <f>_xlfn.XLOOKUP(clean_sales!C28,Dim_Customer!B:B,Dim_Customer!A:A)</f>
        <v>26</v>
      </c>
      <c r="D28">
        <f>_xlfn.XLOOKUP(clean_sales!I28,Dim_Product!B:B,Dim_Product!A:A)</f>
        <v>6</v>
      </c>
      <c r="E28">
        <f>clean_sales!L28</f>
        <v>3</v>
      </c>
      <c r="F28">
        <f>clean_sales!T28</f>
        <v>216000</v>
      </c>
    </row>
    <row r="29" spans="1:6" x14ac:dyDescent="0.35">
      <c r="A29" t="str">
        <v>TXN100027</v>
      </c>
      <c r="B29">
        <f>_xlfn.XLOOKUP(clean_sales!P29,Dim_Date!B:B,Dim_Date!A:A)</f>
        <v>20251106</v>
      </c>
      <c r="C29">
        <f>_xlfn.XLOOKUP(clean_sales!C29,Dim_Customer!B:B,Dim_Customer!A:A)</f>
        <v>27</v>
      </c>
      <c r="D29">
        <f>_xlfn.XLOOKUP(clean_sales!I29,Dim_Product!B:B,Dim_Product!A:A)</f>
        <v>5</v>
      </c>
      <c r="E29">
        <f>clean_sales!L29</f>
        <v>5</v>
      </c>
      <c r="F29">
        <f>clean_sales!T29</f>
        <v>9000</v>
      </c>
    </row>
    <row r="30" spans="1:6" x14ac:dyDescent="0.35">
      <c r="A30" t="str">
        <v>TXN100028</v>
      </c>
      <c r="B30">
        <f>_xlfn.XLOOKUP(clean_sales!P30,Dim_Date!B:B,Dim_Date!A:A)</f>
        <v>20250205</v>
      </c>
      <c r="C30">
        <f>_xlfn.XLOOKUP(clean_sales!C30,Dim_Customer!B:B,Dim_Customer!A:A)</f>
        <v>28</v>
      </c>
      <c r="D30">
        <f>_xlfn.XLOOKUP(clean_sales!I30,Dim_Product!B:B,Dim_Product!A:A)</f>
        <v>7</v>
      </c>
      <c r="E30">
        <f>clean_sales!L30</f>
        <v>1</v>
      </c>
      <c r="F30">
        <f>clean_sales!T30</f>
        <v>58000</v>
      </c>
    </row>
    <row r="31" spans="1:6" x14ac:dyDescent="0.35">
      <c r="A31" t="str">
        <v>TXN100029</v>
      </c>
      <c r="B31">
        <f>_xlfn.XLOOKUP(clean_sales!P31,Dim_Date!B:B,Dim_Date!A:A)</f>
        <v>20250121</v>
      </c>
      <c r="C31">
        <f>_xlfn.XLOOKUP(clean_sales!C31,Dim_Customer!B:B,Dim_Customer!A:A)</f>
        <v>29</v>
      </c>
      <c r="D31">
        <f>_xlfn.XLOOKUP(clean_sales!I31,Dim_Product!B:B,Dim_Product!A:A)</f>
        <v>1</v>
      </c>
      <c r="E31">
        <f>clean_sales!L31</f>
        <v>3</v>
      </c>
      <c r="F31">
        <f>clean_sales!T31</f>
        <v>36000</v>
      </c>
    </row>
    <row r="32" spans="1:6" x14ac:dyDescent="0.35">
      <c r="A32" t="str">
        <v>TXN100030</v>
      </c>
      <c r="B32">
        <f>_xlfn.XLOOKUP(clean_sales!P32,Dim_Date!B:B,Dim_Date!A:A)</f>
        <v>20251219</v>
      </c>
      <c r="C32">
        <f>_xlfn.XLOOKUP(clean_sales!C32,Dim_Customer!B:B,Dim_Customer!A:A)</f>
        <v>30</v>
      </c>
      <c r="D32">
        <f>_xlfn.XLOOKUP(clean_sales!I32,Dim_Product!B:B,Dim_Product!A:A)</f>
        <v>6</v>
      </c>
      <c r="E32">
        <f>clean_sales!L32</f>
        <v>4</v>
      </c>
      <c r="F32">
        <f>clean_sales!T32</f>
        <v>288000</v>
      </c>
    </row>
    <row r="33" spans="1:6" x14ac:dyDescent="0.35">
      <c r="A33" t="str">
        <v>TXN100031</v>
      </c>
      <c r="B33">
        <f>_xlfn.XLOOKUP(clean_sales!P33,Dim_Date!B:B,Dim_Date!A:A)</f>
        <v>20250914</v>
      </c>
      <c r="C33">
        <f>_xlfn.XLOOKUP(clean_sales!C33,Dim_Customer!B:B,Dim_Customer!A:A)</f>
        <v>31</v>
      </c>
      <c r="D33">
        <f>_xlfn.XLOOKUP(clean_sales!I33,Dim_Product!B:B,Dim_Product!A:A)</f>
        <v>3</v>
      </c>
      <c r="E33">
        <f>clean_sales!L33</f>
        <v>1</v>
      </c>
      <c r="F33">
        <f>clean_sales!T33</f>
        <v>5000</v>
      </c>
    </row>
    <row r="34" spans="1:6" x14ac:dyDescent="0.35">
      <c r="A34" t="str">
        <v>TXN100032</v>
      </c>
      <c r="B34">
        <f>_xlfn.XLOOKUP(clean_sales!P34,Dim_Date!B:B,Dim_Date!A:A)</f>
        <v>20250313</v>
      </c>
      <c r="C34">
        <f>_xlfn.XLOOKUP(clean_sales!C34,Dim_Customer!B:B,Dim_Customer!A:A)</f>
        <v>32</v>
      </c>
      <c r="D34">
        <f>_xlfn.XLOOKUP(clean_sales!I34,Dim_Product!B:B,Dim_Product!A:A)</f>
        <v>3</v>
      </c>
      <c r="E34">
        <f>clean_sales!L34</f>
        <v>5</v>
      </c>
      <c r="F34">
        <f>clean_sales!T34</f>
        <v>25000</v>
      </c>
    </row>
    <row r="35" spans="1:6" x14ac:dyDescent="0.35">
      <c r="A35" t="str">
        <v>TXN100033</v>
      </c>
      <c r="B35">
        <f>_xlfn.XLOOKUP(clean_sales!P35,Dim_Date!B:B,Dim_Date!A:A)</f>
        <v>20250520</v>
      </c>
      <c r="C35">
        <f>_xlfn.XLOOKUP(clean_sales!C35,Dim_Customer!B:B,Dim_Customer!A:A)</f>
        <v>33</v>
      </c>
      <c r="D35">
        <f>_xlfn.XLOOKUP(clean_sales!I35,Dim_Product!B:B,Dim_Product!A:A)</f>
        <v>5</v>
      </c>
      <c r="E35">
        <f>clean_sales!L35</f>
        <v>5</v>
      </c>
      <c r="F35">
        <f>clean_sales!T35</f>
        <v>9000</v>
      </c>
    </row>
    <row r="36" spans="1:6" x14ac:dyDescent="0.35">
      <c r="A36" t="str">
        <v>TXN100034</v>
      </c>
      <c r="B36">
        <f>_xlfn.XLOOKUP(clean_sales!P36,Dim_Date!B:B,Dim_Date!A:A)</f>
        <v>20250620</v>
      </c>
      <c r="C36">
        <f>_xlfn.XLOOKUP(clean_sales!C36,Dim_Customer!B:B,Dim_Customer!A:A)</f>
        <v>34</v>
      </c>
      <c r="D36">
        <f>_xlfn.XLOOKUP(clean_sales!I36,Dim_Product!B:B,Dim_Product!A:A)</f>
        <v>5</v>
      </c>
      <c r="E36">
        <f>clean_sales!L36</f>
        <v>2</v>
      </c>
      <c r="F36">
        <f>clean_sales!T36</f>
        <v>3600</v>
      </c>
    </row>
    <row r="37" spans="1:6" x14ac:dyDescent="0.35">
      <c r="A37" t="str">
        <v>TXN100035</v>
      </c>
      <c r="B37">
        <f>_xlfn.XLOOKUP(clean_sales!P37,Dim_Date!B:B,Dim_Date!A:A)</f>
        <v>20251027</v>
      </c>
      <c r="C37">
        <f>_xlfn.XLOOKUP(clean_sales!C37,Dim_Customer!B:B,Dim_Customer!A:A)</f>
        <v>35</v>
      </c>
      <c r="D37">
        <f>_xlfn.XLOOKUP(clean_sales!I37,Dim_Product!B:B,Dim_Product!A:A)</f>
        <v>4</v>
      </c>
      <c r="E37">
        <f>clean_sales!L37</f>
        <v>2</v>
      </c>
      <c r="F37">
        <f>clean_sales!T37</f>
        <v>9000</v>
      </c>
    </row>
    <row r="38" spans="1:6" x14ac:dyDescent="0.35">
      <c r="A38" t="str">
        <v>TXN100036</v>
      </c>
      <c r="B38">
        <f>_xlfn.XLOOKUP(clean_sales!P38,Dim_Date!B:B,Dim_Date!A:A)</f>
        <v>20250608</v>
      </c>
      <c r="C38">
        <f>_xlfn.XLOOKUP(clean_sales!C38,Dim_Customer!B:B,Dim_Customer!A:A)</f>
        <v>36</v>
      </c>
      <c r="D38">
        <f>_xlfn.XLOOKUP(clean_sales!I38,Dim_Product!B:B,Dim_Product!A:A)</f>
        <v>4</v>
      </c>
      <c r="E38">
        <f>clean_sales!L38</f>
        <v>1</v>
      </c>
      <c r="F38">
        <f>clean_sales!T38</f>
        <v>4500</v>
      </c>
    </row>
    <row r="39" spans="1:6" x14ac:dyDescent="0.35">
      <c r="A39" t="str">
        <v>TXN100037</v>
      </c>
      <c r="B39">
        <f>_xlfn.XLOOKUP(clean_sales!P39,Dim_Date!B:B,Dim_Date!A:A)</f>
        <v>20251223</v>
      </c>
      <c r="C39">
        <f>_xlfn.XLOOKUP(clean_sales!C39,Dim_Customer!B:B,Dim_Customer!A:A)</f>
        <v>37</v>
      </c>
      <c r="D39">
        <f>_xlfn.XLOOKUP(clean_sales!I39,Dim_Product!B:B,Dim_Product!A:A)</f>
        <v>7</v>
      </c>
      <c r="E39">
        <f>clean_sales!L39</f>
        <v>2</v>
      </c>
      <c r="F39">
        <f>clean_sales!T39</f>
        <v>116000</v>
      </c>
    </row>
    <row r="40" spans="1:6" x14ac:dyDescent="0.35">
      <c r="A40" t="str">
        <v>TXN100038</v>
      </c>
      <c r="B40">
        <f>_xlfn.XLOOKUP(clean_sales!P40,Dim_Date!B:B,Dim_Date!A:A)</f>
        <v>20250529</v>
      </c>
      <c r="C40">
        <f>_xlfn.XLOOKUP(clean_sales!C40,Dim_Customer!B:B,Dim_Customer!A:A)</f>
        <v>38</v>
      </c>
      <c r="D40">
        <f>_xlfn.XLOOKUP(clean_sales!I40,Dim_Product!B:B,Dim_Product!A:A)</f>
        <v>2</v>
      </c>
      <c r="E40">
        <f>clean_sales!L40</f>
        <v>2</v>
      </c>
      <c r="F40">
        <f>clean_sales!T40</f>
        <v>130000</v>
      </c>
    </row>
    <row r="41" spans="1:6" x14ac:dyDescent="0.35">
      <c r="A41" t="str">
        <v>TXN100039</v>
      </c>
      <c r="B41">
        <f>_xlfn.XLOOKUP(clean_sales!P41,Dim_Date!B:B,Dim_Date!A:A)</f>
        <v>20251203</v>
      </c>
      <c r="C41">
        <f>_xlfn.XLOOKUP(clean_sales!C41,Dim_Customer!B:B,Dim_Customer!A:A)</f>
        <v>39</v>
      </c>
      <c r="D41">
        <f>_xlfn.XLOOKUP(clean_sales!I41,Dim_Product!B:B,Dim_Product!A:A)</f>
        <v>2</v>
      </c>
      <c r="E41">
        <f>clean_sales!L41</f>
        <v>5</v>
      </c>
      <c r="F41">
        <f>clean_sales!T41</f>
        <v>325000</v>
      </c>
    </row>
    <row r="42" spans="1:6" x14ac:dyDescent="0.35">
      <c r="A42" t="str">
        <v>TXN100040</v>
      </c>
      <c r="B42">
        <f>_xlfn.XLOOKUP(clean_sales!P42,Dim_Date!B:B,Dim_Date!A:A)</f>
        <v>20250130</v>
      </c>
      <c r="C42">
        <f>_xlfn.XLOOKUP(clean_sales!C42,Dim_Customer!B:B,Dim_Customer!A:A)</f>
        <v>40</v>
      </c>
      <c r="D42">
        <f>_xlfn.XLOOKUP(clean_sales!I42,Dim_Product!B:B,Dim_Product!A:A)</f>
        <v>4</v>
      </c>
      <c r="E42">
        <f>clean_sales!L42</f>
        <v>1</v>
      </c>
      <c r="F42">
        <f>clean_sales!T42</f>
        <v>4500</v>
      </c>
    </row>
    <row r="43" spans="1:6" x14ac:dyDescent="0.35">
      <c r="A43" t="str">
        <v>TXN100041</v>
      </c>
      <c r="B43">
        <f>_xlfn.XLOOKUP(clean_sales!P43,Dim_Date!B:B,Dim_Date!A:A)</f>
        <v>20250917</v>
      </c>
      <c r="C43">
        <f>_xlfn.XLOOKUP(clean_sales!C43,Dim_Customer!B:B,Dim_Customer!A:A)</f>
        <v>41</v>
      </c>
      <c r="D43">
        <f>_xlfn.XLOOKUP(clean_sales!I43,Dim_Product!B:B,Dim_Product!A:A)</f>
        <v>4</v>
      </c>
      <c r="E43">
        <f>clean_sales!L43</f>
        <v>2</v>
      </c>
      <c r="F43">
        <f>clean_sales!T43</f>
        <v>9000</v>
      </c>
    </row>
    <row r="44" spans="1:6" x14ac:dyDescent="0.35">
      <c r="A44" t="str">
        <v>TXN100042</v>
      </c>
      <c r="B44">
        <f>_xlfn.XLOOKUP(clean_sales!P44,Dim_Date!B:B,Dim_Date!A:A)</f>
        <v>20250215</v>
      </c>
      <c r="C44">
        <f>_xlfn.XLOOKUP(clean_sales!C44,Dim_Customer!B:B,Dim_Customer!A:A)</f>
        <v>42</v>
      </c>
      <c r="D44">
        <f>_xlfn.XLOOKUP(clean_sales!I44,Dim_Product!B:B,Dim_Product!A:A)</f>
        <v>4</v>
      </c>
      <c r="E44">
        <f>clean_sales!L44</f>
        <v>5</v>
      </c>
      <c r="F44">
        <f>clean_sales!T44</f>
        <v>22500</v>
      </c>
    </row>
    <row r="45" spans="1:6" x14ac:dyDescent="0.35">
      <c r="A45" t="str">
        <v>TXN100043</v>
      </c>
      <c r="B45">
        <f>_xlfn.XLOOKUP(clean_sales!P45,Dim_Date!B:B,Dim_Date!A:A)</f>
        <v>20250610</v>
      </c>
      <c r="C45">
        <f>_xlfn.XLOOKUP(clean_sales!C45,Dim_Customer!B:B,Dim_Customer!A:A)</f>
        <v>43</v>
      </c>
      <c r="D45">
        <f>_xlfn.XLOOKUP(clean_sales!I45,Dim_Product!B:B,Dim_Product!A:A)</f>
        <v>5</v>
      </c>
      <c r="E45">
        <f>clean_sales!L45</f>
        <v>4</v>
      </c>
      <c r="F45">
        <f>clean_sales!T45</f>
        <v>7200</v>
      </c>
    </row>
    <row r="46" spans="1:6" x14ac:dyDescent="0.35">
      <c r="A46" t="str">
        <v>TXN100044</v>
      </c>
      <c r="B46">
        <f>_xlfn.XLOOKUP(clean_sales!P46,Dim_Date!B:B,Dim_Date!A:A)</f>
        <v>20250924</v>
      </c>
      <c r="C46">
        <f>_xlfn.XLOOKUP(clean_sales!C46,Dim_Customer!B:B,Dim_Customer!A:A)</f>
        <v>44</v>
      </c>
      <c r="D46">
        <f>_xlfn.XLOOKUP(clean_sales!I46,Dim_Product!B:B,Dim_Product!A:A)</f>
        <v>4</v>
      </c>
      <c r="E46">
        <f>clean_sales!L46</f>
        <v>2</v>
      </c>
      <c r="F46">
        <f>clean_sales!T46</f>
        <v>9000</v>
      </c>
    </row>
    <row r="47" spans="1:6" x14ac:dyDescent="0.35">
      <c r="A47" t="str">
        <v>TXN100045</v>
      </c>
      <c r="B47">
        <f>_xlfn.XLOOKUP(clean_sales!P47,Dim_Date!B:B,Dim_Date!A:A)</f>
        <v>20250808</v>
      </c>
      <c r="C47">
        <f>_xlfn.XLOOKUP(clean_sales!C47,Dim_Customer!B:B,Dim_Customer!A:A)</f>
        <v>45</v>
      </c>
      <c r="D47">
        <f>_xlfn.XLOOKUP(clean_sales!I47,Dim_Product!B:B,Dim_Product!A:A)</f>
        <v>6</v>
      </c>
      <c r="E47">
        <f>clean_sales!L47</f>
        <v>3</v>
      </c>
      <c r="F47">
        <f>clean_sales!T47</f>
        <v>216000</v>
      </c>
    </row>
    <row r="48" spans="1:6" x14ac:dyDescent="0.35">
      <c r="A48" t="str">
        <v>TXN100046</v>
      </c>
      <c r="B48">
        <f>_xlfn.XLOOKUP(clean_sales!P48,Dim_Date!B:B,Dim_Date!A:A)</f>
        <v>20250719</v>
      </c>
      <c r="C48">
        <f>_xlfn.XLOOKUP(clean_sales!C48,Dim_Customer!B:B,Dim_Customer!A:A)</f>
        <v>46</v>
      </c>
      <c r="D48">
        <f>_xlfn.XLOOKUP(clean_sales!I48,Dim_Product!B:B,Dim_Product!A:A)</f>
        <v>7</v>
      </c>
      <c r="E48">
        <f>clean_sales!L48</f>
        <v>5</v>
      </c>
      <c r="F48">
        <f>clean_sales!T48</f>
        <v>290000</v>
      </c>
    </row>
    <row r="49" spans="1:6" x14ac:dyDescent="0.35">
      <c r="A49" t="str">
        <v>TXN100047</v>
      </c>
      <c r="B49">
        <f>_xlfn.XLOOKUP(clean_sales!P49,Dim_Date!B:B,Dim_Date!A:A)</f>
        <v>20250820</v>
      </c>
      <c r="C49">
        <f>_xlfn.XLOOKUP(clean_sales!C49,Dim_Customer!B:B,Dim_Customer!A:A)</f>
        <v>47</v>
      </c>
      <c r="D49">
        <f>_xlfn.XLOOKUP(clean_sales!I49,Dim_Product!B:B,Dim_Product!A:A)</f>
        <v>6</v>
      </c>
      <c r="E49">
        <f>clean_sales!L49</f>
        <v>1</v>
      </c>
      <c r="F49">
        <f>clean_sales!T49</f>
        <v>72000</v>
      </c>
    </row>
    <row r="50" spans="1:6" x14ac:dyDescent="0.35">
      <c r="A50" t="str">
        <v>TXN100048</v>
      </c>
      <c r="B50">
        <f>_xlfn.XLOOKUP(clean_sales!P50,Dim_Date!B:B,Dim_Date!A:A)</f>
        <v>20250410</v>
      </c>
      <c r="C50">
        <f>_xlfn.XLOOKUP(clean_sales!C50,Dim_Customer!B:B,Dim_Customer!A:A)</f>
        <v>48</v>
      </c>
      <c r="D50">
        <f>_xlfn.XLOOKUP(clean_sales!I50,Dim_Product!B:B,Dim_Product!A:A)</f>
        <v>1</v>
      </c>
      <c r="E50">
        <f>clean_sales!L50</f>
        <v>2</v>
      </c>
      <c r="F50">
        <f>clean_sales!T50</f>
        <v>24000</v>
      </c>
    </row>
    <row r="51" spans="1:6" x14ac:dyDescent="0.35">
      <c r="A51" t="str">
        <v>TXN100049</v>
      </c>
      <c r="B51">
        <f>_xlfn.XLOOKUP(clean_sales!P51,Dim_Date!B:B,Dim_Date!A:A)</f>
        <v>20251029</v>
      </c>
      <c r="C51">
        <f>_xlfn.XLOOKUP(clean_sales!C51,Dim_Customer!B:B,Dim_Customer!A:A)</f>
        <v>49</v>
      </c>
      <c r="D51">
        <f>_xlfn.XLOOKUP(clean_sales!I51,Dim_Product!B:B,Dim_Product!A:A)</f>
        <v>7</v>
      </c>
      <c r="E51">
        <f>clean_sales!L51</f>
        <v>5</v>
      </c>
      <c r="F51">
        <f>clean_sales!T51</f>
        <v>290000</v>
      </c>
    </row>
    <row r="52" spans="1:6" x14ac:dyDescent="0.35">
      <c r="A52" t="str">
        <v>TXN100050</v>
      </c>
      <c r="B52">
        <f>_xlfn.XLOOKUP(clean_sales!P52,Dim_Date!B:B,Dim_Date!A:A)</f>
        <v>20251118</v>
      </c>
      <c r="C52">
        <f>_xlfn.XLOOKUP(clean_sales!C52,Dim_Customer!B:B,Dim_Customer!A:A)</f>
        <v>50</v>
      </c>
      <c r="D52">
        <f>_xlfn.XLOOKUP(clean_sales!I52,Dim_Product!B:B,Dim_Product!A:A)</f>
        <v>4</v>
      </c>
      <c r="E52">
        <f>clean_sales!L52</f>
        <v>5</v>
      </c>
      <c r="F52">
        <f>clean_sales!T52</f>
        <v>22500</v>
      </c>
    </row>
    <row r="53" spans="1:6" x14ac:dyDescent="0.35">
      <c r="A53" t="str">
        <v>TXN100051</v>
      </c>
      <c r="B53">
        <f>_xlfn.XLOOKUP(clean_sales!P53,Dim_Date!B:B,Dim_Date!A:A)</f>
        <v>20250715</v>
      </c>
      <c r="C53">
        <f>_xlfn.XLOOKUP(clean_sales!C53,Dim_Customer!B:B,Dim_Customer!A:A)</f>
        <v>51</v>
      </c>
      <c r="D53">
        <f>_xlfn.XLOOKUP(clean_sales!I53,Dim_Product!B:B,Dim_Product!A:A)</f>
        <v>2</v>
      </c>
      <c r="E53">
        <f>clean_sales!L53</f>
        <v>4</v>
      </c>
      <c r="F53">
        <f>clean_sales!T53</f>
        <v>260000</v>
      </c>
    </row>
    <row r="54" spans="1:6" x14ac:dyDescent="0.35">
      <c r="A54" t="str">
        <v>TXN100052</v>
      </c>
      <c r="B54">
        <f>_xlfn.XLOOKUP(clean_sales!P54,Dim_Date!B:B,Dim_Date!A:A)</f>
        <v>20251123</v>
      </c>
      <c r="C54">
        <f>_xlfn.XLOOKUP(clean_sales!C54,Dim_Customer!B:B,Dim_Customer!A:A)</f>
        <v>52</v>
      </c>
      <c r="D54">
        <f>_xlfn.XLOOKUP(clean_sales!I54,Dim_Product!B:B,Dim_Product!A:A)</f>
        <v>4</v>
      </c>
      <c r="E54">
        <f>clean_sales!L54</f>
        <v>2</v>
      </c>
      <c r="F54">
        <f>clean_sales!T54</f>
        <v>9000</v>
      </c>
    </row>
    <row r="55" spans="1:6" x14ac:dyDescent="0.35">
      <c r="A55" t="str">
        <v>TXN100053</v>
      </c>
      <c r="B55">
        <f>_xlfn.XLOOKUP(clean_sales!P55,Dim_Date!B:B,Dim_Date!A:A)</f>
        <v>20251015</v>
      </c>
      <c r="C55">
        <f>_xlfn.XLOOKUP(clean_sales!C55,Dim_Customer!B:B,Dim_Customer!A:A)</f>
        <v>53</v>
      </c>
      <c r="D55">
        <f>_xlfn.XLOOKUP(clean_sales!I55,Dim_Product!B:B,Dim_Product!A:A)</f>
        <v>4</v>
      </c>
      <c r="E55">
        <f>clean_sales!L55</f>
        <v>4</v>
      </c>
      <c r="F55">
        <f>clean_sales!T55</f>
        <v>18000</v>
      </c>
    </row>
    <row r="56" spans="1:6" x14ac:dyDescent="0.35">
      <c r="A56" t="str">
        <v>TXN100054</v>
      </c>
      <c r="B56">
        <f>_xlfn.XLOOKUP(clean_sales!P56,Dim_Date!B:B,Dim_Date!A:A)</f>
        <v>20250226</v>
      </c>
      <c r="C56">
        <f>_xlfn.XLOOKUP(clean_sales!C56,Dim_Customer!B:B,Dim_Customer!A:A)</f>
        <v>54</v>
      </c>
      <c r="D56">
        <f>_xlfn.XLOOKUP(clean_sales!I56,Dim_Product!B:B,Dim_Product!A:A)</f>
        <v>7</v>
      </c>
      <c r="E56">
        <f>clean_sales!L56</f>
        <v>2</v>
      </c>
      <c r="F56">
        <f>clean_sales!T56</f>
        <v>116000</v>
      </c>
    </row>
    <row r="57" spans="1:6" x14ac:dyDescent="0.35">
      <c r="A57" t="str">
        <v>TXN100055</v>
      </c>
      <c r="B57">
        <f>_xlfn.XLOOKUP(clean_sales!P57,Dim_Date!B:B,Dim_Date!A:A)</f>
        <v>20250405</v>
      </c>
      <c r="C57">
        <f>_xlfn.XLOOKUP(clean_sales!C57,Dim_Customer!B:B,Dim_Customer!A:A)</f>
        <v>55</v>
      </c>
      <c r="D57">
        <f>_xlfn.XLOOKUP(clean_sales!I57,Dim_Product!B:B,Dim_Product!A:A)</f>
        <v>3</v>
      </c>
      <c r="E57">
        <f>clean_sales!L57</f>
        <v>3</v>
      </c>
      <c r="F57">
        <f>clean_sales!T57</f>
        <v>15000</v>
      </c>
    </row>
    <row r="58" spans="1:6" x14ac:dyDescent="0.35">
      <c r="A58" t="str">
        <v>TXN100056</v>
      </c>
      <c r="B58">
        <f>_xlfn.XLOOKUP(clean_sales!P58,Dim_Date!B:B,Dim_Date!A:A)</f>
        <v>20250710</v>
      </c>
      <c r="C58">
        <f>_xlfn.XLOOKUP(clean_sales!C58,Dim_Customer!B:B,Dim_Customer!A:A)</f>
        <v>14</v>
      </c>
      <c r="D58">
        <f>_xlfn.XLOOKUP(clean_sales!I58,Dim_Product!B:B,Dim_Product!A:A)</f>
        <v>4</v>
      </c>
      <c r="E58">
        <f>clean_sales!L58</f>
        <v>5</v>
      </c>
      <c r="F58">
        <f>clean_sales!T58</f>
        <v>22500</v>
      </c>
    </row>
    <row r="59" spans="1:6" x14ac:dyDescent="0.35">
      <c r="A59" t="str">
        <v>TXN100057</v>
      </c>
      <c r="B59">
        <f>_xlfn.XLOOKUP(clean_sales!P59,Dim_Date!B:B,Dim_Date!A:A)</f>
        <v>20250404</v>
      </c>
      <c r="C59">
        <f>_xlfn.XLOOKUP(clean_sales!C59,Dim_Customer!B:B,Dim_Customer!A:A)</f>
        <v>56</v>
      </c>
      <c r="D59">
        <f>_xlfn.XLOOKUP(clean_sales!I59,Dim_Product!B:B,Dim_Product!A:A)</f>
        <v>2</v>
      </c>
      <c r="E59">
        <f>clean_sales!L59</f>
        <v>5</v>
      </c>
      <c r="F59">
        <f>clean_sales!T59</f>
        <v>325000</v>
      </c>
    </row>
    <row r="60" spans="1:6" x14ac:dyDescent="0.35">
      <c r="A60" t="str">
        <v>TXN100058</v>
      </c>
      <c r="B60">
        <f>_xlfn.XLOOKUP(clean_sales!P60,Dim_Date!B:B,Dim_Date!A:A)</f>
        <v>20250619</v>
      </c>
      <c r="C60">
        <f>_xlfn.XLOOKUP(clean_sales!C60,Dim_Customer!B:B,Dim_Customer!A:A)</f>
        <v>54</v>
      </c>
      <c r="D60">
        <f>_xlfn.XLOOKUP(clean_sales!I60,Dim_Product!B:B,Dim_Product!A:A)</f>
        <v>5</v>
      </c>
      <c r="E60">
        <f>clean_sales!L60</f>
        <v>5</v>
      </c>
      <c r="F60">
        <f>clean_sales!T60</f>
        <v>9000</v>
      </c>
    </row>
    <row r="61" spans="1:6" x14ac:dyDescent="0.35">
      <c r="A61" t="str">
        <v>TXN100059</v>
      </c>
      <c r="B61">
        <f>_xlfn.XLOOKUP(clean_sales!P61,Dim_Date!B:B,Dim_Date!A:A)</f>
        <v>20250721</v>
      </c>
      <c r="C61">
        <f>_xlfn.XLOOKUP(clean_sales!C61,Dim_Customer!B:B,Dim_Customer!A:A)</f>
        <v>57</v>
      </c>
      <c r="D61">
        <f>_xlfn.XLOOKUP(clean_sales!I61,Dim_Product!B:B,Dim_Product!A:A)</f>
        <v>1</v>
      </c>
      <c r="E61">
        <f>clean_sales!L61</f>
        <v>3</v>
      </c>
      <c r="F61">
        <f>clean_sales!T61</f>
        <v>36000</v>
      </c>
    </row>
    <row r="62" spans="1:6" x14ac:dyDescent="0.35">
      <c r="A62" t="str">
        <v>TXN100060</v>
      </c>
      <c r="B62">
        <f>_xlfn.XLOOKUP(clean_sales!P62,Dim_Date!B:B,Dim_Date!A:A)</f>
        <v>20250109</v>
      </c>
      <c r="C62">
        <f>_xlfn.XLOOKUP(clean_sales!C62,Dim_Customer!B:B,Dim_Customer!A:A)</f>
        <v>58</v>
      </c>
      <c r="D62">
        <f>_xlfn.XLOOKUP(clean_sales!I62,Dim_Product!B:B,Dim_Product!A:A)</f>
        <v>1</v>
      </c>
      <c r="E62">
        <f>clean_sales!L62</f>
        <v>1</v>
      </c>
      <c r="F62">
        <f>clean_sales!T62</f>
        <v>12000</v>
      </c>
    </row>
    <row r="63" spans="1:6" x14ac:dyDescent="0.35">
      <c r="A63" t="str">
        <v>TXN100061</v>
      </c>
      <c r="B63">
        <f>_xlfn.XLOOKUP(clean_sales!P63,Dim_Date!B:B,Dim_Date!A:A)</f>
        <v>20250728</v>
      </c>
      <c r="C63">
        <f>_xlfn.XLOOKUP(clean_sales!C63,Dim_Customer!B:B,Dim_Customer!A:A)</f>
        <v>59</v>
      </c>
      <c r="D63">
        <f>_xlfn.XLOOKUP(clean_sales!I63,Dim_Product!B:B,Dim_Product!A:A)</f>
        <v>5</v>
      </c>
      <c r="E63">
        <f>clean_sales!L63</f>
        <v>3</v>
      </c>
      <c r="F63">
        <f>clean_sales!T63</f>
        <v>5400</v>
      </c>
    </row>
    <row r="64" spans="1:6" x14ac:dyDescent="0.35">
      <c r="A64" t="str">
        <v>TXN100062</v>
      </c>
      <c r="B64">
        <f>_xlfn.XLOOKUP(clean_sales!P64,Dim_Date!B:B,Dim_Date!A:A)</f>
        <v>20251201</v>
      </c>
      <c r="C64">
        <f>_xlfn.XLOOKUP(clean_sales!C64,Dim_Customer!B:B,Dim_Customer!A:A)</f>
        <v>60</v>
      </c>
      <c r="D64">
        <f>_xlfn.XLOOKUP(clean_sales!I64,Dim_Product!B:B,Dim_Product!A:A)</f>
        <v>2</v>
      </c>
      <c r="E64">
        <f>clean_sales!L64</f>
        <v>5</v>
      </c>
      <c r="F64">
        <f>clean_sales!T64</f>
        <v>325000</v>
      </c>
    </row>
    <row r="65" spans="1:6" x14ac:dyDescent="0.35">
      <c r="A65" t="str">
        <v>TXN100063</v>
      </c>
      <c r="B65">
        <f>_xlfn.XLOOKUP(clean_sales!P65,Dim_Date!B:B,Dim_Date!A:A)</f>
        <v>20250725</v>
      </c>
      <c r="C65">
        <f>_xlfn.XLOOKUP(clean_sales!C65,Dim_Customer!B:B,Dim_Customer!A:A)</f>
        <v>45</v>
      </c>
      <c r="D65">
        <f>_xlfn.XLOOKUP(clean_sales!I65,Dim_Product!B:B,Dim_Product!A:A)</f>
        <v>7</v>
      </c>
      <c r="E65">
        <f>clean_sales!L65</f>
        <v>5</v>
      </c>
      <c r="F65">
        <f>clean_sales!T65</f>
        <v>290000</v>
      </c>
    </row>
    <row r="66" spans="1:6" x14ac:dyDescent="0.35">
      <c r="A66" t="str">
        <v>TXN100064</v>
      </c>
      <c r="B66">
        <f>_xlfn.XLOOKUP(clean_sales!P66,Dim_Date!B:B,Dim_Date!A:A)</f>
        <v>20250924</v>
      </c>
      <c r="C66">
        <f>_xlfn.XLOOKUP(clean_sales!C66,Dim_Customer!B:B,Dim_Customer!A:A)</f>
        <v>61</v>
      </c>
      <c r="D66">
        <f>_xlfn.XLOOKUP(clean_sales!I66,Dim_Product!B:B,Dim_Product!A:A)</f>
        <v>1</v>
      </c>
      <c r="E66">
        <f>clean_sales!L66</f>
        <v>4</v>
      </c>
      <c r="F66">
        <f>clean_sales!T66</f>
        <v>48000</v>
      </c>
    </row>
    <row r="67" spans="1:6" x14ac:dyDescent="0.35">
      <c r="A67" t="str">
        <v>TXN100065</v>
      </c>
      <c r="B67">
        <f>_xlfn.XLOOKUP(clean_sales!P67,Dim_Date!B:B,Dim_Date!A:A)</f>
        <v>20250301</v>
      </c>
      <c r="C67">
        <f>_xlfn.XLOOKUP(clean_sales!C67,Dim_Customer!B:B,Dim_Customer!A:A)</f>
        <v>62</v>
      </c>
      <c r="D67">
        <f>_xlfn.XLOOKUP(clean_sales!I67,Dim_Product!B:B,Dim_Product!A:A)</f>
        <v>6</v>
      </c>
      <c r="E67">
        <f>clean_sales!L67</f>
        <v>3</v>
      </c>
      <c r="F67">
        <f>clean_sales!T67</f>
        <v>216000</v>
      </c>
    </row>
    <row r="68" spans="1:6" x14ac:dyDescent="0.35">
      <c r="A68" t="str">
        <v>TXN100066</v>
      </c>
      <c r="B68">
        <f>_xlfn.XLOOKUP(clean_sales!P68,Dim_Date!B:B,Dim_Date!A:A)</f>
        <v>20250503</v>
      </c>
      <c r="C68">
        <f>_xlfn.XLOOKUP(clean_sales!C68,Dim_Customer!B:B,Dim_Customer!A:A)</f>
        <v>63</v>
      </c>
      <c r="D68">
        <f>_xlfn.XLOOKUP(clean_sales!I68,Dim_Product!B:B,Dim_Product!A:A)</f>
        <v>4</v>
      </c>
      <c r="E68">
        <f>clean_sales!L68</f>
        <v>4</v>
      </c>
      <c r="F68">
        <f>clean_sales!T68</f>
        <v>18000</v>
      </c>
    </row>
    <row r="69" spans="1:6" x14ac:dyDescent="0.35">
      <c r="A69" t="str">
        <v>TXN100067</v>
      </c>
      <c r="B69">
        <f>_xlfn.XLOOKUP(clean_sales!P69,Dim_Date!B:B,Dim_Date!A:A)</f>
        <v>20250617</v>
      </c>
      <c r="C69">
        <f>_xlfn.XLOOKUP(clean_sales!C69,Dim_Customer!B:B,Dim_Customer!A:A)</f>
        <v>64</v>
      </c>
      <c r="D69">
        <f>_xlfn.XLOOKUP(clean_sales!I69,Dim_Product!B:B,Dim_Product!A:A)</f>
        <v>4</v>
      </c>
      <c r="E69">
        <f>clean_sales!L69</f>
        <v>1</v>
      </c>
      <c r="F69">
        <f>clean_sales!T69</f>
        <v>4500</v>
      </c>
    </row>
    <row r="70" spans="1:6" x14ac:dyDescent="0.35">
      <c r="A70" t="str">
        <v>TXN100068</v>
      </c>
      <c r="B70">
        <f>_xlfn.XLOOKUP(clean_sales!P70,Dim_Date!B:B,Dim_Date!A:A)</f>
        <v>20251228</v>
      </c>
      <c r="C70">
        <f>_xlfn.XLOOKUP(clean_sales!C70,Dim_Customer!B:B,Dim_Customer!A:A)</f>
        <v>44</v>
      </c>
      <c r="D70">
        <f>_xlfn.XLOOKUP(clean_sales!I70,Dim_Product!B:B,Dim_Product!A:A)</f>
        <v>5</v>
      </c>
      <c r="E70">
        <f>clean_sales!L70</f>
        <v>3</v>
      </c>
      <c r="F70">
        <f>clean_sales!T70</f>
        <v>5400</v>
      </c>
    </row>
    <row r="71" spans="1:6" x14ac:dyDescent="0.35">
      <c r="A71" t="str">
        <v>TXN100069</v>
      </c>
      <c r="B71">
        <f>_xlfn.XLOOKUP(clean_sales!P71,Dim_Date!B:B,Dim_Date!A:A)</f>
        <v>20250126</v>
      </c>
      <c r="C71">
        <f>_xlfn.XLOOKUP(clean_sales!C71,Dim_Customer!B:B,Dim_Customer!A:A)</f>
        <v>47</v>
      </c>
      <c r="D71">
        <f>_xlfn.XLOOKUP(clean_sales!I71,Dim_Product!B:B,Dim_Product!A:A)</f>
        <v>1</v>
      </c>
      <c r="E71">
        <f>clean_sales!L71</f>
        <v>3</v>
      </c>
      <c r="F71">
        <f>clean_sales!T71</f>
        <v>36000</v>
      </c>
    </row>
    <row r="72" spans="1:6" x14ac:dyDescent="0.35">
      <c r="A72" t="str">
        <v>TXN100070</v>
      </c>
      <c r="B72">
        <f>_xlfn.XLOOKUP(clean_sales!P72,Dim_Date!B:B,Dim_Date!A:A)</f>
        <v>20251212</v>
      </c>
      <c r="C72">
        <f>_xlfn.XLOOKUP(clean_sales!C72,Dim_Customer!B:B,Dim_Customer!A:A)</f>
        <v>65</v>
      </c>
      <c r="D72">
        <f>_xlfn.XLOOKUP(clean_sales!I72,Dim_Product!B:B,Dim_Product!A:A)</f>
        <v>4</v>
      </c>
      <c r="E72">
        <f>clean_sales!L72</f>
        <v>4</v>
      </c>
      <c r="F72">
        <f>clean_sales!T72</f>
        <v>18000</v>
      </c>
    </row>
    <row r="73" spans="1:6" x14ac:dyDescent="0.35">
      <c r="A73" t="str">
        <v>TXN100071</v>
      </c>
      <c r="B73">
        <f>_xlfn.XLOOKUP(clean_sales!P73,Dim_Date!B:B,Dim_Date!A:A)</f>
        <v>20250130</v>
      </c>
      <c r="C73">
        <f>_xlfn.XLOOKUP(clean_sales!C73,Dim_Customer!B:B,Dim_Customer!A:A)</f>
        <v>66</v>
      </c>
      <c r="D73">
        <f>_xlfn.XLOOKUP(clean_sales!I73,Dim_Product!B:B,Dim_Product!A:A)</f>
        <v>1</v>
      </c>
      <c r="E73">
        <f>clean_sales!L73</f>
        <v>2</v>
      </c>
      <c r="F73">
        <f>clean_sales!T73</f>
        <v>24000</v>
      </c>
    </row>
    <row r="74" spans="1:6" x14ac:dyDescent="0.35">
      <c r="A74" t="str">
        <v>TXN100072</v>
      </c>
      <c r="B74">
        <f>_xlfn.XLOOKUP(clean_sales!P74,Dim_Date!B:B,Dim_Date!A:A)</f>
        <v>20251110</v>
      </c>
      <c r="C74">
        <f>_xlfn.XLOOKUP(clean_sales!C74,Dim_Customer!B:B,Dim_Customer!A:A)</f>
        <v>67</v>
      </c>
      <c r="D74">
        <f>_xlfn.XLOOKUP(clean_sales!I74,Dim_Product!B:B,Dim_Product!A:A)</f>
        <v>2</v>
      </c>
      <c r="E74">
        <f>clean_sales!L74</f>
        <v>5</v>
      </c>
      <c r="F74">
        <f>clean_sales!T74</f>
        <v>325000</v>
      </c>
    </row>
    <row r="75" spans="1:6" x14ac:dyDescent="0.35">
      <c r="A75" t="str">
        <v>TXN100073</v>
      </c>
      <c r="B75">
        <f>_xlfn.XLOOKUP(clean_sales!P75,Dim_Date!B:B,Dim_Date!A:A)</f>
        <v>20251008</v>
      </c>
      <c r="C75">
        <f>_xlfn.XLOOKUP(clean_sales!C75,Dim_Customer!B:B,Dim_Customer!A:A)</f>
        <v>68</v>
      </c>
      <c r="D75">
        <f>_xlfn.XLOOKUP(clean_sales!I75,Dim_Product!B:B,Dim_Product!A:A)</f>
        <v>1</v>
      </c>
      <c r="E75">
        <f>clean_sales!L75</f>
        <v>1</v>
      </c>
      <c r="F75">
        <f>clean_sales!T75</f>
        <v>12000</v>
      </c>
    </row>
    <row r="76" spans="1:6" x14ac:dyDescent="0.35">
      <c r="A76" t="str">
        <v>TXN100074</v>
      </c>
      <c r="B76">
        <f>_xlfn.XLOOKUP(clean_sales!P76,Dim_Date!B:B,Dim_Date!A:A)</f>
        <v>20251106</v>
      </c>
      <c r="C76">
        <f>_xlfn.XLOOKUP(clean_sales!C76,Dim_Customer!B:B,Dim_Customer!A:A)</f>
        <v>69</v>
      </c>
      <c r="D76">
        <f>_xlfn.XLOOKUP(clean_sales!I76,Dim_Product!B:B,Dim_Product!A:A)</f>
        <v>7</v>
      </c>
      <c r="E76">
        <f>clean_sales!L76</f>
        <v>2</v>
      </c>
      <c r="F76">
        <f>clean_sales!T76</f>
        <v>116000</v>
      </c>
    </row>
    <row r="77" spans="1:6" x14ac:dyDescent="0.35">
      <c r="A77" t="str">
        <v>TXN100075</v>
      </c>
      <c r="B77">
        <f>_xlfn.XLOOKUP(clean_sales!P77,Dim_Date!B:B,Dim_Date!A:A)</f>
        <v>20250211</v>
      </c>
      <c r="C77">
        <f>_xlfn.XLOOKUP(clean_sales!C77,Dim_Customer!B:B,Dim_Customer!A:A)</f>
        <v>70</v>
      </c>
      <c r="D77">
        <f>_xlfn.XLOOKUP(clean_sales!I77,Dim_Product!B:B,Dim_Product!A:A)</f>
        <v>7</v>
      </c>
      <c r="E77">
        <f>clean_sales!L77</f>
        <v>4</v>
      </c>
      <c r="F77">
        <f>clean_sales!T77</f>
        <v>232000</v>
      </c>
    </row>
    <row r="78" spans="1:6" x14ac:dyDescent="0.35">
      <c r="A78" t="str">
        <v>TXN100076</v>
      </c>
      <c r="B78">
        <f>_xlfn.XLOOKUP(clean_sales!P78,Dim_Date!B:B,Dim_Date!A:A)</f>
        <v>20250429</v>
      </c>
      <c r="C78">
        <f>_xlfn.XLOOKUP(clean_sales!C78,Dim_Customer!B:B,Dim_Customer!A:A)</f>
        <v>71</v>
      </c>
      <c r="D78">
        <f>_xlfn.XLOOKUP(clean_sales!I78,Dim_Product!B:B,Dim_Product!A:A)</f>
        <v>6</v>
      </c>
      <c r="E78">
        <f>clean_sales!L78</f>
        <v>3</v>
      </c>
      <c r="F78">
        <f>clean_sales!T78</f>
        <v>216000</v>
      </c>
    </row>
    <row r="79" spans="1:6" x14ac:dyDescent="0.35">
      <c r="A79" t="str">
        <v>TXN100077</v>
      </c>
      <c r="B79">
        <f>_xlfn.XLOOKUP(clean_sales!P79,Dim_Date!B:B,Dim_Date!A:A)</f>
        <v>20250826</v>
      </c>
      <c r="C79">
        <f>_xlfn.XLOOKUP(clean_sales!C79,Dim_Customer!B:B,Dim_Customer!A:A)</f>
        <v>72</v>
      </c>
      <c r="D79">
        <f>_xlfn.XLOOKUP(clean_sales!I79,Dim_Product!B:B,Dim_Product!A:A)</f>
        <v>1</v>
      </c>
      <c r="E79">
        <f>clean_sales!L79</f>
        <v>3</v>
      </c>
      <c r="F79">
        <f>clean_sales!T79</f>
        <v>36000</v>
      </c>
    </row>
    <row r="80" spans="1:6" x14ac:dyDescent="0.35">
      <c r="A80" t="str">
        <v>TXN100078</v>
      </c>
      <c r="B80">
        <f>_xlfn.XLOOKUP(clean_sales!P80,Dim_Date!B:B,Dim_Date!A:A)</f>
        <v>20251026</v>
      </c>
      <c r="C80">
        <f>_xlfn.XLOOKUP(clean_sales!C80,Dim_Customer!B:B,Dim_Customer!A:A)</f>
        <v>73</v>
      </c>
      <c r="D80">
        <f>_xlfn.XLOOKUP(clean_sales!I80,Dim_Product!B:B,Dim_Product!A:A)</f>
        <v>1</v>
      </c>
      <c r="E80">
        <f>clean_sales!L80</f>
        <v>2</v>
      </c>
      <c r="F80">
        <f>clean_sales!T80</f>
        <v>24000</v>
      </c>
    </row>
    <row r="81" spans="1:6" x14ac:dyDescent="0.35">
      <c r="A81" t="str">
        <v>TXN100079</v>
      </c>
      <c r="B81">
        <f>_xlfn.XLOOKUP(clean_sales!P81,Dim_Date!B:B,Dim_Date!A:A)</f>
        <v>20250403</v>
      </c>
      <c r="C81">
        <f>_xlfn.XLOOKUP(clean_sales!C81,Dim_Customer!B:B,Dim_Customer!A:A)</f>
        <v>74</v>
      </c>
      <c r="D81">
        <f>_xlfn.XLOOKUP(clean_sales!I81,Dim_Product!B:B,Dim_Product!A:A)</f>
        <v>1</v>
      </c>
      <c r="E81">
        <f>clean_sales!L81</f>
        <v>5</v>
      </c>
      <c r="F81">
        <f>clean_sales!T81</f>
        <v>60000</v>
      </c>
    </row>
    <row r="82" spans="1:6" x14ac:dyDescent="0.35">
      <c r="A82" t="str">
        <v>TXN100080</v>
      </c>
      <c r="B82">
        <f>_xlfn.XLOOKUP(clean_sales!P82,Dim_Date!B:B,Dim_Date!A:A)</f>
        <v>20251201</v>
      </c>
      <c r="C82">
        <f>_xlfn.XLOOKUP(clean_sales!C82,Dim_Customer!B:B,Dim_Customer!A:A)</f>
        <v>75</v>
      </c>
      <c r="D82">
        <f>_xlfn.XLOOKUP(clean_sales!I82,Dim_Product!B:B,Dim_Product!A:A)</f>
        <v>2</v>
      </c>
      <c r="E82">
        <f>clean_sales!L82</f>
        <v>5</v>
      </c>
      <c r="F82">
        <f>clean_sales!T82</f>
        <v>325000</v>
      </c>
    </row>
    <row r="83" spans="1:6" x14ac:dyDescent="0.35">
      <c r="A83" t="str">
        <v>TXN100081</v>
      </c>
      <c r="B83">
        <f>_xlfn.XLOOKUP(clean_sales!P83,Dim_Date!B:B,Dim_Date!A:A)</f>
        <v>20251220</v>
      </c>
      <c r="C83">
        <f>_xlfn.XLOOKUP(clean_sales!C83,Dim_Customer!B:B,Dim_Customer!A:A)</f>
        <v>76</v>
      </c>
      <c r="D83">
        <f>_xlfn.XLOOKUP(clean_sales!I83,Dim_Product!B:B,Dim_Product!A:A)</f>
        <v>4</v>
      </c>
      <c r="E83">
        <f>clean_sales!L83</f>
        <v>5</v>
      </c>
      <c r="F83">
        <f>clean_sales!T83</f>
        <v>22500</v>
      </c>
    </row>
    <row r="84" spans="1:6" x14ac:dyDescent="0.35">
      <c r="A84" t="str">
        <v>TXN100082</v>
      </c>
      <c r="B84">
        <f>_xlfn.XLOOKUP(clean_sales!P84,Dim_Date!B:B,Dim_Date!A:A)</f>
        <v>20251128</v>
      </c>
      <c r="C84">
        <f>_xlfn.XLOOKUP(clean_sales!C84,Dim_Customer!B:B,Dim_Customer!A:A)</f>
        <v>77</v>
      </c>
      <c r="D84">
        <f>_xlfn.XLOOKUP(clean_sales!I84,Dim_Product!B:B,Dim_Product!A:A)</f>
        <v>6</v>
      </c>
      <c r="E84">
        <f>clean_sales!L84</f>
        <v>3</v>
      </c>
      <c r="F84">
        <f>clean_sales!T84</f>
        <v>216000</v>
      </c>
    </row>
    <row r="85" spans="1:6" x14ac:dyDescent="0.35">
      <c r="A85" t="str">
        <v>TXN100083</v>
      </c>
      <c r="B85">
        <f>_xlfn.XLOOKUP(clean_sales!P85,Dim_Date!B:B,Dim_Date!A:A)</f>
        <v>20250827</v>
      </c>
      <c r="C85">
        <f>_xlfn.XLOOKUP(clean_sales!C85,Dim_Customer!B:B,Dim_Customer!A:A)</f>
        <v>78</v>
      </c>
      <c r="D85">
        <f>_xlfn.XLOOKUP(clean_sales!I85,Dim_Product!B:B,Dim_Product!A:A)</f>
        <v>1</v>
      </c>
      <c r="E85">
        <f>clean_sales!L85</f>
        <v>2</v>
      </c>
      <c r="F85">
        <f>clean_sales!T85</f>
        <v>24000</v>
      </c>
    </row>
    <row r="86" spans="1:6" x14ac:dyDescent="0.35">
      <c r="A86" t="str">
        <v>TXN100084</v>
      </c>
      <c r="B86">
        <f>_xlfn.XLOOKUP(clean_sales!P86,Dim_Date!B:B,Dim_Date!A:A)</f>
        <v>20250802</v>
      </c>
      <c r="C86">
        <f>_xlfn.XLOOKUP(clean_sales!C86,Dim_Customer!B:B,Dim_Customer!A:A)</f>
        <v>79</v>
      </c>
      <c r="D86">
        <f>_xlfn.XLOOKUP(clean_sales!I86,Dim_Product!B:B,Dim_Product!A:A)</f>
        <v>6</v>
      </c>
      <c r="E86">
        <f>clean_sales!L86</f>
        <v>2</v>
      </c>
      <c r="F86">
        <f>clean_sales!T86</f>
        <v>144000</v>
      </c>
    </row>
    <row r="87" spans="1:6" x14ac:dyDescent="0.35">
      <c r="A87" t="str">
        <v>TXN100085</v>
      </c>
      <c r="B87">
        <f>_xlfn.XLOOKUP(clean_sales!P87,Dim_Date!B:B,Dim_Date!A:A)</f>
        <v>20250408</v>
      </c>
      <c r="C87">
        <f>_xlfn.XLOOKUP(clean_sales!C87,Dim_Customer!B:B,Dim_Customer!A:A)</f>
        <v>80</v>
      </c>
      <c r="D87">
        <f>_xlfn.XLOOKUP(clean_sales!I87,Dim_Product!B:B,Dim_Product!A:A)</f>
        <v>7</v>
      </c>
      <c r="E87">
        <f>clean_sales!L87</f>
        <v>1</v>
      </c>
      <c r="F87">
        <f>clean_sales!T87</f>
        <v>58000</v>
      </c>
    </row>
    <row r="88" spans="1:6" x14ac:dyDescent="0.35">
      <c r="A88" t="str">
        <v>TXN100086</v>
      </c>
      <c r="B88">
        <f>_xlfn.XLOOKUP(clean_sales!P88,Dim_Date!B:B,Dim_Date!A:A)</f>
        <v>20250410</v>
      </c>
      <c r="C88">
        <f>_xlfn.XLOOKUP(clean_sales!C88,Dim_Customer!B:B,Dim_Customer!A:A)</f>
        <v>81</v>
      </c>
      <c r="D88">
        <f>_xlfn.XLOOKUP(clean_sales!I88,Dim_Product!B:B,Dim_Product!A:A)</f>
        <v>4</v>
      </c>
      <c r="E88">
        <f>clean_sales!L88</f>
        <v>2</v>
      </c>
      <c r="F88">
        <f>clean_sales!T88</f>
        <v>9000</v>
      </c>
    </row>
    <row r="89" spans="1:6" x14ac:dyDescent="0.35">
      <c r="A89" t="str">
        <v>TXN100087</v>
      </c>
      <c r="B89">
        <f>_xlfn.XLOOKUP(clean_sales!P89,Dim_Date!B:B,Dim_Date!A:A)</f>
        <v>20250217</v>
      </c>
      <c r="C89">
        <f>_xlfn.XLOOKUP(clean_sales!C89,Dim_Customer!B:B,Dim_Customer!A:A)</f>
        <v>82</v>
      </c>
      <c r="D89">
        <f>_xlfn.XLOOKUP(clean_sales!I89,Dim_Product!B:B,Dim_Product!A:A)</f>
        <v>5</v>
      </c>
      <c r="E89">
        <f>clean_sales!L89</f>
        <v>5</v>
      </c>
      <c r="F89">
        <f>clean_sales!T89</f>
        <v>9000</v>
      </c>
    </row>
    <row r="90" spans="1:6" x14ac:dyDescent="0.35">
      <c r="A90" t="str">
        <v>TXN100088</v>
      </c>
      <c r="B90">
        <f>_xlfn.XLOOKUP(clean_sales!P90,Dim_Date!B:B,Dim_Date!A:A)</f>
        <v>20250905</v>
      </c>
      <c r="C90">
        <f>_xlfn.XLOOKUP(clean_sales!C90,Dim_Customer!B:B,Dim_Customer!A:A)</f>
        <v>83</v>
      </c>
      <c r="D90">
        <f>_xlfn.XLOOKUP(clean_sales!I90,Dim_Product!B:B,Dim_Product!A:A)</f>
        <v>2</v>
      </c>
      <c r="E90">
        <f>clean_sales!L90</f>
        <v>4</v>
      </c>
      <c r="F90">
        <f>clean_sales!T90</f>
        <v>260000</v>
      </c>
    </row>
    <row r="91" spans="1:6" x14ac:dyDescent="0.35">
      <c r="A91" t="str">
        <v>TXN100089</v>
      </c>
      <c r="B91">
        <f>_xlfn.XLOOKUP(clean_sales!P91,Dim_Date!B:B,Dim_Date!A:A)</f>
        <v>20250607</v>
      </c>
      <c r="C91">
        <f>_xlfn.XLOOKUP(clean_sales!C91,Dim_Customer!B:B,Dim_Customer!A:A)</f>
        <v>84</v>
      </c>
      <c r="D91">
        <f>_xlfn.XLOOKUP(clean_sales!I91,Dim_Product!B:B,Dim_Product!A:A)</f>
        <v>6</v>
      </c>
      <c r="E91">
        <f>clean_sales!L91</f>
        <v>4</v>
      </c>
      <c r="F91">
        <f>clean_sales!T91</f>
        <v>288000</v>
      </c>
    </row>
    <row r="92" spans="1:6" x14ac:dyDescent="0.35">
      <c r="A92" t="str">
        <v>TXN100090</v>
      </c>
      <c r="B92">
        <f>_xlfn.XLOOKUP(clean_sales!P92,Dim_Date!B:B,Dim_Date!A:A)</f>
        <v>20250729</v>
      </c>
      <c r="C92">
        <f>_xlfn.XLOOKUP(clean_sales!C92,Dim_Customer!B:B,Dim_Customer!A:A)</f>
        <v>85</v>
      </c>
      <c r="D92">
        <f>_xlfn.XLOOKUP(clean_sales!I92,Dim_Product!B:B,Dim_Product!A:A)</f>
        <v>6</v>
      </c>
      <c r="E92">
        <f>clean_sales!L92</f>
        <v>4</v>
      </c>
      <c r="F92">
        <f>clean_sales!T92</f>
        <v>288000</v>
      </c>
    </row>
    <row r="93" spans="1:6" x14ac:dyDescent="0.35">
      <c r="A93" t="str">
        <v>TXN100091</v>
      </c>
      <c r="B93">
        <f>_xlfn.XLOOKUP(clean_sales!P93,Dim_Date!B:B,Dim_Date!A:A)</f>
        <v>20250327</v>
      </c>
      <c r="C93">
        <f>_xlfn.XLOOKUP(clean_sales!C93,Dim_Customer!B:B,Dim_Customer!A:A)</f>
        <v>86</v>
      </c>
      <c r="D93">
        <f>_xlfn.XLOOKUP(clean_sales!I93,Dim_Product!B:B,Dim_Product!A:A)</f>
        <v>7</v>
      </c>
      <c r="E93">
        <f>clean_sales!L93</f>
        <v>5</v>
      </c>
      <c r="F93">
        <f>clean_sales!T93</f>
        <v>290000</v>
      </c>
    </row>
    <row r="94" spans="1:6" x14ac:dyDescent="0.35">
      <c r="A94" t="str">
        <v>TXN100092</v>
      </c>
      <c r="B94">
        <f>_xlfn.XLOOKUP(clean_sales!P94,Dim_Date!B:B,Dim_Date!A:A)</f>
        <v>20250309</v>
      </c>
      <c r="C94">
        <f>_xlfn.XLOOKUP(clean_sales!C94,Dim_Customer!B:B,Dim_Customer!A:A)</f>
        <v>87</v>
      </c>
      <c r="D94">
        <f>_xlfn.XLOOKUP(clean_sales!I94,Dim_Product!B:B,Dim_Product!A:A)</f>
        <v>2</v>
      </c>
      <c r="E94">
        <f>clean_sales!L94</f>
        <v>3</v>
      </c>
      <c r="F94">
        <f>clean_sales!T94</f>
        <v>195000</v>
      </c>
    </row>
    <row r="95" spans="1:6" x14ac:dyDescent="0.35">
      <c r="A95" t="str">
        <v>TXN100093</v>
      </c>
      <c r="B95">
        <f>_xlfn.XLOOKUP(clean_sales!P95,Dim_Date!B:B,Dim_Date!A:A)</f>
        <v>20250208</v>
      </c>
      <c r="C95">
        <f>_xlfn.XLOOKUP(clean_sales!C95,Dim_Customer!B:B,Dim_Customer!A:A)</f>
        <v>88</v>
      </c>
      <c r="D95">
        <f>_xlfn.XLOOKUP(clean_sales!I95,Dim_Product!B:B,Dim_Product!A:A)</f>
        <v>2</v>
      </c>
      <c r="E95">
        <f>clean_sales!L95</f>
        <v>4</v>
      </c>
      <c r="F95">
        <f>clean_sales!T95</f>
        <v>260000</v>
      </c>
    </row>
    <row r="96" spans="1:6" x14ac:dyDescent="0.35">
      <c r="A96" t="str">
        <v>TXN100094</v>
      </c>
      <c r="B96">
        <f>_xlfn.XLOOKUP(clean_sales!P96,Dim_Date!B:B,Dim_Date!A:A)</f>
        <v>20250114</v>
      </c>
      <c r="C96">
        <f>_xlfn.XLOOKUP(clean_sales!C96,Dim_Customer!B:B,Dim_Customer!A:A)</f>
        <v>89</v>
      </c>
      <c r="D96">
        <f>_xlfn.XLOOKUP(clean_sales!I96,Dim_Product!B:B,Dim_Product!A:A)</f>
        <v>5</v>
      </c>
      <c r="E96">
        <f>clean_sales!L96</f>
        <v>4</v>
      </c>
      <c r="F96">
        <f>clean_sales!T96</f>
        <v>7200</v>
      </c>
    </row>
    <row r="97" spans="1:6" x14ac:dyDescent="0.35">
      <c r="A97" t="str">
        <v>TXN100095</v>
      </c>
      <c r="B97">
        <f>_xlfn.XLOOKUP(clean_sales!P97,Dim_Date!B:B,Dim_Date!A:A)</f>
        <v>20251104</v>
      </c>
      <c r="C97">
        <f>_xlfn.XLOOKUP(clean_sales!C97,Dim_Customer!B:B,Dim_Customer!A:A)</f>
        <v>90</v>
      </c>
      <c r="D97">
        <f>_xlfn.XLOOKUP(clean_sales!I97,Dim_Product!B:B,Dim_Product!A:A)</f>
        <v>6</v>
      </c>
      <c r="E97">
        <f>clean_sales!L97</f>
        <v>1</v>
      </c>
      <c r="F97">
        <f>clean_sales!T97</f>
        <v>72000</v>
      </c>
    </row>
    <row r="98" spans="1:6" x14ac:dyDescent="0.35">
      <c r="A98" t="str">
        <v>TXN100096</v>
      </c>
      <c r="B98">
        <f>_xlfn.XLOOKUP(clean_sales!P98,Dim_Date!B:B,Dim_Date!A:A)</f>
        <v>20250629</v>
      </c>
      <c r="C98">
        <f>_xlfn.XLOOKUP(clean_sales!C98,Dim_Customer!B:B,Dim_Customer!A:A)</f>
        <v>91</v>
      </c>
      <c r="D98">
        <f>_xlfn.XLOOKUP(clean_sales!I98,Dim_Product!B:B,Dim_Product!A:A)</f>
        <v>2</v>
      </c>
      <c r="E98">
        <f>clean_sales!L98</f>
        <v>3</v>
      </c>
      <c r="F98">
        <f>clean_sales!T98</f>
        <v>195000</v>
      </c>
    </row>
    <row r="99" spans="1:6" x14ac:dyDescent="0.35">
      <c r="A99" t="str">
        <v>TXN100097</v>
      </c>
      <c r="B99">
        <f>_xlfn.XLOOKUP(clean_sales!P99,Dim_Date!B:B,Dim_Date!A:A)</f>
        <v>20250525</v>
      </c>
      <c r="C99">
        <f>_xlfn.XLOOKUP(clean_sales!C99,Dim_Customer!B:B,Dim_Customer!A:A)</f>
        <v>92</v>
      </c>
      <c r="D99">
        <f>_xlfn.XLOOKUP(clean_sales!I99,Dim_Product!B:B,Dim_Product!A:A)</f>
        <v>6</v>
      </c>
      <c r="E99">
        <f>clean_sales!L99</f>
        <v>4</v>
      </c>
      <c r="F99">
        <f>clean_sales!T99</f>
        <v>288000</v>
      </c>
    </row>
    <row r="100" spans="1:6" x14ac:dyDescent="0.35">
      <c r="A100" t="str">
        <v>TXN100098</v>
      </c>
      <c r="B100">
        <f>_xlfn.XLOOKUP(clean_sales!P100,Dim_Date!B:B,Dim_Date!A:A)</f>
        <v>20251028</v>
      </c>
      <c r="C100">
        <f>_xlfn.XLOOKUP(clean_sales!C100,Dim_Customer!B:B,Dim_Customer!A:A)</f>
        <v>93</v>
      </c>
      <c r="D100">
        <f>_xlfn.XLOOKUP(clean_sales!I100,Dim_Product!B:B,Dim_Product!A:A)</f>
        <v>5</v>
      </c>
      <c r="E100">
        <f>clean_sales!L100</f>
        <v>3</v>
      </c>
      <c r="F100">
        <f>clean_sales!T100</f>
        <v>5400</v>
      </c>
    </row>
    <row r="101" spans="1:6" x14ac:dyDescent="0.35">
      <c r="A101" t="str">
        <v>TXN100099</v>
      </c>
      <c r="B101">
        <f>_xlfn.XLOOKUP(clean_sales!P101,Dim_Date!B:B,Dim_Date!A:A)</f>
        <v>20250226</v>
      </c>
      <c r="C101">
        <f>_xlfn.XLOOKUP(clean_sales!C101,Dim_Customer!B:B,Dim_Customer!A:A)</f>
        <v>94</v>
      </c>
      <c r="D101">
        <f>_xlfn.XLOOKUP(clean_sales!I101,Dim_Product!B:B,Dim_Product!A:A)</f>
        <v>2</v>
      </c>
      <c r="E101">
        <f>clean_sales!L101</f>
        <v>4</v>
      </c>
      <c r="F101">
        <f>clean_sales!T101</f>
        <v>260000</v>
      </c>
    </row>
    <row r="102" spans="1:6" x14ac:dyDescent="0.35">
      <c r="A102" t="str">
        <v>TXN100100</v>
      </c>
      <c r="B102">
        <f>_xlfn.XLOOKUP(clean_sales!P102,Dim_Date!B:B,Dim_Date!A:A)</f>
        <v>20260104</v>
      </c>
      <c r="C102">
        <f>_xlfn.XLOOKUP(clean_sales!C102,Dim_Customer!B:B,Dim_Customer!A:A)</f>
        <v>44</v>
      </c>
      <c r="D102">
        <f>_xlfn.XLOOKUP(clean_sales!I102,Dim_Product!B:B,Dim_Product!A:A)</f>
        <v>1</v>
      </c>
      <c r="E102">
        <f>clean_sales!L102</f>
        <v>5</v>
      </c>
      <c r="F102">
        <f>clean_sales!T102</f>
        <v>60000</v>
      </c>
    </row>
    <row r="103" spans="1:6" x14ac:dyDescent="0.35">
      <c r="A103" t="str">
        <v>TXN100101</v>
      </c>
      <c r="B103">
        <f>_xlfn.XLOOKUP(clean_sales!P103,Dim_Date!B:B,Dim_Date!A:A)</f>
        <v>20251205</v>
      </c>
      <c r="C103">
        <f>_xlfn.XLOOKUP(clean_sales!C103,Dim_Customer!B:B,Dim_Customer!A:A)</f>
        <v>67</v>
      </c>
      <c r="D103">
        <f>_xlfn.XLOOKUP(clean_sales!I103,Dim_Product!B:B,Dim_Product!A:A)</f>
        <v>1</v>
      </c>
      <c r="E103">
        <f>clean_sales!L103</f>
        <v>1</v>
      </c>
      <c r="F103">
        <f>clean_sales!T103</f>
        <v>12000</v>
      </c>
    </row>
    <row r="104" spans="1:6" x14ac:dyDescent="0.35">
      <c r="A104" t="str">
        <v>TXN100102</v>
      </c>
      <c r="B104">
        <f>_xlfn.XLOOKUP(clean_sales!P104,Dim_Date!B:B,Dim_Date!A:A)</f>
        <v>20250903</v>
      </c>
      <c r="C104">
        <f>_xlfn.XLOOKUP(clean_sales!C104,Dim_Customer!B:B,Dim_Customer!A:A)</f>
        <v>95</v>
      </c>
      <c r="D104">
        <f>_xlfn.XLOOKUP(clean_sales!I104,Dim_Product!B:B,Dim_Product!A:A)</f>
        <v>2</v>
      </c>
      <c r="E104">
        <f>clean_sales!L104</f>
        <v>4</v>
      </c>
      <c r="F104">
        <f>clean_sales!T104</f>
        <v>260000</v>
      </c>
    </row>
    <row r="105" spans="1:6" x14ac:dyDescent="0.35">
      <c r="A105" t="str">
        <v>TXN100103</v>
      </c>
      <c r="B105">
        <f>_xlfn.XLOOKUP(clean_sales!P105,Dim_Date!B:B,Dim_Date!A:A)</f>
        <v>20250404</v>
      </c>
      <c r="C105">
        <f>_xlfn.XLOOKUP(clean_sales!C105,Dim_Customer!B:B,Dim_Customer!A:A)</f>
        <v>96</v>
      </c>
      <c r="D105">
        <f>_xlfn.XLOOKUP(clean_sales!I105,Dim_Product!B:B,Dim_Product!A:A)</f>
        <v>3</v>
      </c>
      <c r="E105">
        <f>clean_sales!L105</f>
        <v>4</v>
      </c>
      <c r="F105">
        <f>clean_sales!T105</f>
        <v>20000</v>
      </c>
    </row>
    <row r="106" spans="1:6" x14ac:dyDescent="0.35">
      <c r="A106" t="str">
        <v>TXN100104</v>
      </c>
      <c r="B106">
        <f>_xlfn.XLOOKUP(clean_sales!P106,Dim_Date!B:B,Dim_Date!A:A)</f>
        <v>20250310</v>
      </c>
      <c r="C106">
        <f>_xlfn.XLOOKUP(clean_sales!C106,Dim_Customer!B:B,Dim_Customer!A:A)</f>
        <v>97</v>
      </c>
      <c r="D106">
        <f>_xlfn.XLOOKUP(clean_sales!I106,Dim_Product!B:B,Dim_Product!A:A)</f>
        <v>2</v>
      </c>
      <c r="E106">
        <f>clean_sales!L106</f>
        <v>1</v>
      </c>
      <c r="F106">
        <f>clean_sales!T106</f>
        <v>65000</v>
      </c>
    </row>
    <row r="107" spans="1:6" x14ac:dyDescent="0.35">
      <c r="A107" t="str">
        <v>TXN100105</v>
      </c>
      <c r="B107">
        <f>_xlfn.XLOOKUP(clean_sales!P107,Dim_Date!B:B,Dim_Date!A:A)</f>
        <v>20251213</v>
      </c>
      <c r="C107">
        <f>_xlfn.XLOOKUP(clean_sales!C107,Dim_Customer!B:B,Dim_Customer!A:A)</f>
        <v>98</v>
      </c>
      <c r="D107">
        <f>_xlfn.XLOOKUP(clean_sales!I107,Dim_Product!B:B,Dim_Product!A:A)</f>
        <v>1</v>
      </c>
      <c r="E107">
        <f>clean_sales!L107</f>
        <v>5</v>
      </c>
      <c r="F107">
        <f>clean_sales!T107</f>
        <v>60000</v>
      </c>
    </row>
    <row r="108" spans="1:6" x14ac:dyDescent="0.35">
      <c r="A108" t="str">
        <v>TXN100106</v>
      </c>
      <c r="B108">
        <f>_xlfn.XLOOKUP(clean_sales!P108,Dim_Date!B:B,Dim_Date!A:A)</f>
        <v>20251215</v>
      </c>
      <c r="C108">
        <f>_xlfn.XLOOKUP(clean_sales!C108,Dim_Customer!B:B,Dim_Customer!A:A)</f>
        <v>99</v>
      </c>
      <c r="D108">
        <f>_xlfn.XLOOKUP(clean_sales!I108,Dim_Product!B:B,Dim_Product!A:A)</f>
        <v>1</v>
      </c>
      <c r="E108">
        <f>clean_sales!L108</f>
        <v>2</v>
      </c>
      <c r="F108">
        <f>clean_sales!T108</f>
        <v>24000</v>
      </c>
    </row>
    <row r="109" spans="1:6" x14ac:dyDescent="0.35">
      <c r="A109" t="str">
        <v>TXN100107</v>
      </c>
      <c r="B109">
        <f>_xlfn.XLOOKUP(clean_sales!P109,Dim_Date!B:B,Dim_Date!A:A)</f>
        <v>20250318</v>
      </c>
      <c r="C109">
        <f>_xlfn.XLOOKUP(clean_sales!C109,Dim_Customer!B:B,Dim_Customer!A:A)</f>
        <v>100</v>
      </c>
      <c r="D109">
        <f>_xlfn.XLOOKUP(clean_sales!I109,Dim_Product!B:B,Dim_Product!A:A)</f>
        <v>5</v>
      </c>
      <c r="E109">
        <f>clean_sales!L109</f>
        <v>4</v>
      </c>
      <c r="F109">
        <f>clean_sales!T109</f>
        <v>7200</v>
      </c>
    </row>
    <row r="110" spans="1:6" x14ac:dyDescent="0.35">
      <c r="A110" t="str">
        <v>TXN100108</v>
      </c>
      <c r="B110">
        <f>_xlfn.XLOOKUP(clean_sales!P110,Dim_Date!B:B,Dim_Date!A:A)</f>
        <v>20251011</v>
      </c>
      <c r="C110">
        <f>_xlfn.XLOOKUP(clean_sales!C110,Dim_Customer!B:B,Dim_Customer!A:A)</f>
        <v>40</v>
      </c>
      <c r="D110">
        <f>_xlfn.XLOOKUP(clean_sales!I110,Dim_Product!B:B,Dim_Product!A:A)</f>
        <v>1</v>
      </c>
      <c r="E110">
        <f>clean_sales!L110</f>
        <v>5</v>
      </c>
      <c r="F110">
        <f>clean_sales!T110</f>
        <v>60000</v>
      </c>
    </row>
    <row r="111" spans="1:6" x14ac:dyDescent="0.35">
      <c r="A111" t="str">
        <v>TXN100109</v>
      </c>
      <c r="B111">
        <f>_xlfn.XLOOKUP(clean_sales!P111,Dim_Date!B:B,Dim_Date!A:A)</f>
        <v>20250118</v>
      </c>
      <c r="C111">
        <f>_xlfn.XLOOKUP(clean_sales!C111,Dim_Customer!B:B,Dim_Customer!A:A)</f>
        <v>101</v>
      </c>
      <c r="D111">
        <f>_xlfn.XLOOKUP(clean_sales!I111,Dim_Product!B:B,Dim_Product!A:A)</f>
        <v>3</v>
      </c>
      <c r="E111">
        <f>clean_sales!L111</f>
        <v>2</v>
      </c>
      <c r="F111">
        <f>clean_sales!T111</f>
        <v>10000</v>
      </c>
    </row>
    <row r="112" spans="1:6" x14ac:dyDescent="0.35">
      <c r="A112" t="str">
        <v>TXN100110</v>
      </c>
      <c r="B112">
        <f>_xlfn.XLOOKUP(clean_sales!P112,Dim_Date!B:B,Dim_Date!A:A)</f>
        <v>20250703</v>
      </c>
      <c r="C112">
        <f>_xlfn.XLOOKUP(clean_sales!C112,Dim_Customer!B:B,Dim_Customer!A:A)</f>
        <v>102</v>
      </c>
      <c r="D112">
        <f>_xlfn.XLOOKUP(clean_sales!I112,Dim_Product!B:B,Dim_Product!A:A)</f>
        <v>2</v>
      </c>
      <c r="E112">
        <f>clean_sales!L112</f>
        <v>5</v>
      </c>
      <c r="F112">
        <f>clean_sales!T112</f>
        <v>325000</v>
      </c>
    </row>
    <row r="113" spans="1:6" x14ac:dyDescent="0.35">
      <c r="A113" t="str">
        <v>TXN100111</v>
      </c>
      <c r="B113">
        <f>_xlfn.XLOOKUP(clean_sales!P113,Dim_Date!B:B,Dim_Date!A:A)</f>
        <v>20250323</v>
      </c>
      <c r="C113">
        <f>_xlfn.XLOOKUP(clean_sales!C113,Dim_Customer!B:B,Dim_Customer!A:A)</f>
        <v>103</v>
      </c>
      <c r="D113">
        <f>_xlfn.XLOOKUP(clean_sales!I113,Dim_Product!B:B,Dim_Product!A:A)</f>
        <v>2</v>
      </c>
      <c r="E113">
        <f>clean_sales!L113</f>
        <v>5</v>
      </c>
      <c r="F113">
        <f>clean_sales!T113</f>
        <v>325000</v>
      </c>
    </row>
    <row r="114" spans="1:6" x14ac:dyDescent="0.35">
      <c r="A114" t="str">
        <v>TXN100112</v>
      </c>
      <c r="B114">
        <f>_xlfn.XLOOKUP(clean_sales!P114,Dim_Date!B:B,Dim_Date!A:A)</f>
        <v>20250611</v>
      </c>
      <c r="C114">
        <f>_xlfn.XLOOKUP(clean_sales!C114,Dim_Customer!B:B,Dim_Customer!A:A)</f>
        <v>104</v>
      </c>
      <c r="D114">
        <f>_xlfn.XLOOKUP(clean_sales!I114,Dim_Product!B:B,Dim_Product!A:A)</f>
        <v>2</v>
      </c>
      <c r="E114">
        <f>clean_sales!L114</f>
        <v>3</v>
      </c>
      <c r="F114">
        <f>clean_sales!T114</f>
        <v>195000</v>
      </c>
    </row>
    <row r="115" spans="1:6" x14ac:dyDescent="0.35">
      <c r="A115" t="str">
        <v>TXN100113</v>
      </c>
      <c r="B115">
        <f>_xlfn.XLOOKUP(clean_sales!P115,Dim_Date!B:B,Dim_Date!A:A)</f>
        <v>20250226</v>
      </c>
      <c r="C115">
        <f>_xlfn.XLOOKUP(clean_sales!C115,Dim_Customer!B:B,Dim_Customer!A:A)</f>
        <v>105</v>
      </c>
      <c r="D115">
        <f>_xlfn.XLOOKUP(clean_sales!I115,Dim_Product!B:B,Dim_Product!A:A)</f>
        <v>3</v>
      </c>
      <c r="E115">
        <f>clean_sales!L115</f>
        <v>5</v>
      </c>
      <c r="F115">
        <f>clean_sales!T115</f>
        <v>25000</v>
      </c>
    </row>
    <row r="116" spans="1:6" x14ac:dyDescent="0.35">
      <c r="A116" t="str">
        <v>TXN100114</v>
      </c>
      <c r="B116">
        <f>_xlfn.XLOOKUP(clean_sales!P116,Dim_Date!B:B,Dim_Date!A:A)</f>
        <v>20250713</v>
      </c>
      <c r="C116">
        <f>_xlfn.XLOOKUP(clean_sales!C116,Dim_Customer!B:B,Dim_Customer!A:A)</f>
        <v>106</v>
      </c>
      <c r="D116">
        <f>_xlfn.XLOOKUP(clean_sales!I116,Dim_Product!B:B,Dim_Product!A:A)</f>
        <v>7</v>
      </c>
      <c r="E116">
        <f>clean_sales!L116</f>
        <v>1</v>
      </c>
      <c r="F116">
        <f>clean_sales!T116</f>
        <v>58000</v>
      </c>
    </row>
    <row r="117" spans="1:6" x14ac:dyDescent="0.35">
      <c r="A117" t="str">
        <v>TXN100115</v>
      </c>
      <c r="B117">
        <f>_xlfn.XLOOKUP(clean_sales!P117,Dim_Date!B:B,Dim_Date!A:A)</f>
        <v>20250630</v>
      </c>
      <c r="C117">
        <f>_xlfn.XLOOKUP(clean_sales!C117,Dim_Customer!B:B,Dim_Customer!A:A)</f>
        <v>107</v>
      </c>
      <c r="D117">
        <f>_xlfn.XLOOKUP(clean_sales!I117,Dim_Product!B:B,Dim_Product!A:A)</f>
        <v>3</v>
      </c>
      <c r="E117">
        <f>clean_sales!L117</f>
        <v>3</v>
      </c>
      <c r="F117">
        <f>clean_sales!T117</f>
        <v>15000</v>
      </c>
    </row>
    <row r="118" spans="1:6" x14ac:dyDescent="0.35">
      <c r="A118" t="str">
        <v>TXN100116</v>
      </c>
      <c r="B118">
        <f>_xlfn.XLOOKUP(clean_sales!P118,Dim_Date!B:B,Dim_Date!A:A)</f>
        <v>20250109</v>
      </c>
      <c r="C118">
        <f>_xlfn.XLOOKUP(clean_sales!C118,Dim_Customer!B:B,Dim_Customer!A:A)</f>
        <v>108</v>
      </c>
      <c r="D118">
        <f>_xlfn.XLOOKUP(clean_sales!I118,Dim_Product!B:B,Dim_Product!A:A)</f>
        <v>2</v>
      </c>
      <c r="E118">
        <f>clean_sales!L118</f>
        <v>3</v>
      </c>
      <c r="F118">
        <f>clean_sales!T118</f>
        <v>195000</v>
      </c>
    </row>
    <row r="119" spans="1:6" x14ac:dyDescent="0.35">
      <c r="A119" t="str">
        <v>TXN100117</v>
      </c>
      <c r="B119">
        <f>_xlfn.XLOOKUP(clean_sales!P119,Dim_Date!B:B,Dim_Date!A:A)</f>
        <v>20250413</v>
      </c>
      <c r="C119">
        <f>_xlfn.XLOOKUP(clean_sales!C119,Dim_Customer!B:B,Dim_Customer!A:A)</f>
        <v>109</v>
      </c>
      <c r="D119">
        <f>_xlfn.XLOOKUP(clean_sales!I119,Dim_Product!B:B,Dim_Product!A:A)</f>
        <v>6</v>
      </c>
      <c r="E119">
        <f>clean_sales!L119</f>
        <v>1</v>
      </c>
      <c r="F119">
        <f>clean_sales!T119</f>
        <v>72000</v>
      </c>
    </row>
    <row r="120" spans="1:6" x14ac:dyDescent="0.35">
      <c r="A120" t="str">
        <v>TXN100118</v>
      </c>
      <c r="B120">
        <f>_xlfn.XLOOKUP(clean_sales!P120,Dim_Date!B:B,Dim_Date!A:A)</f>
        <v>20250829</v>
      </c>
      <c r="C120">
        <f>_xlfn.XLOOKUP(clean_sales!C120,Dim_Customer!B:B,Dim_Customer!A:A)</f>
        <v>110</v>
      </c>
      <c r="D120">
        <f>_xlfn.XLOOKUP(clean_sales!I120,Dim_Product!B:B,Dim_Product!A:A)</f>
        <v>3</v>
      </c>
      <c r="E120">
        <f>clean_sales!L120</f>
        <v>2</v>
      </c>
      <c r="F120">
        <f>clean_sales!T120</f>
        <v>10000</v>
      </c>
    </row>
    <row r="121" spans="1:6" x14ac:dyDescent="0.35">
      <c r="A121" t="str">
        <v>TXN100119</v>
      </c>
      <c r="B121">
        <f>_xlfn.XLOOKUP(clean_sales!P121,Dim_Date!B:B,Dim_Date!A:A)</f>
        <v>20251104</v>
      </c>
      <c r="C121">
        <f>_xlfn.XLOOKUP(clean_sales!C121,Dim_Customer!B:B,Dim_Customer!A:A)</f>
        <v>111</v>
      </c>
      <c r="D121">
        <f>_xlfn.XLOOKUP(clean_sales!I121,Dim_Product!B:B,Dim_Product!A:A)</f>
        <v>1</v>
      </c>
      <c r="E121">
        <f>clean_sales!L121</f>
        <v>3</v>
      </c>
      <c r="F121">
        <f>clean_sales!T121</f>
        <v>36000</v>
      </c>
    </row>
    <row r="122" spans="1:6" x14ac:dyDescent="0.35">
      <c r="A122" t="str">
        <v>TXN100120</v>
      </c>
      <c r="B122">
        <f>_xlfn.XLOOKUP(clean_sales!P122,Dim_Date!B:B,Dim_Date!A:A)</f>
        <v>20250713</v>
      </c>
      <c r="C122">
        <f>_xlfn.XLOOKUP(clean_sales!C122,Dim_Customer!B:B,Dim_Customer!A:A)</f>
        <v>112</v>
      </c>
      <c r="D122">
        <f>_xlfn.XLOOKUP(clean_sales!I122,Dim_Product!B:B,Dim_Product!A:A)</f>
        <v>2</v>
      </c>
      <c r="E122">
        <f>clean_sales!L122</f>
        <v>2</v>
      </c>
      <c r="F122">
        <f>clean_sales!T122</f>
        <v>130000</v>
      </c>
    </row>
    <row r="123" spans="1:6" x14ac:dyDescent="0.35">
      <c r="A123" t="str">
        <v>TXN100121</v>
      </c>
      <c r="B123">
        <f>_xlfn.XLOOKUP(clean_sales!P123,Dim_Date!B:B,Dim_Date!A:A)</f>
        <v>20260101</v>
      </c>
      <c r="C123">
        <f>_xlfn.XLOOKUP(clean_sales!C123,Dim_Customer!B:B,Dim_Customer!A:A)</f>
        <v>113</v>
      </c>
      <c r="D123">
        <f>_xlfn.XLOOKUP(clean_sales!I123,Dim_Product!B:B,Dim_Product!A:A)</f>
        <v>7</v>
      </c>
      <c r="E123">
        <f>clean_sales!L123</f>
        <v>2</v>
      </c>
      <c r="F123">
        <f>clean_sales!T123</f>
        <v>116000</v>
      </c>
    </row>
    <row r="124" spans="1:6" x14ac:dyDescent="0.35">
      <c r="A124" t="str">
        <v>TXN100122</v>
      </c>
      <c r="B124">
        <f>_xlfn.XLOOKUP(clean_sales!P124,Dim_Date!B:B,Dim_Date!A:A)</f>
        <v>20251018</v>
      </c>
      <c r="C124">
        <f>_xlfn.XLOOKUP(clean_sales!C124,Dim_Customer!B:B,Dim_Customer!A:A)</f>
        <v>114</v>
      </c>
      <c r="D124">
        <f>_xlfn.XLOOKUP(clean_sales!I124,Dim_Product!B:B,Dim_Product!A:A)</f>
        <v>1</v>
      </c>
      <c r="E124">
        <f>clean_sales!L124</f>
        <v>2</v>
      </c>
      <c r="F124">
        <f>clean_sales!T124</f>
        <v>24000</v>
      </c>
    </row>
    <row r="125" spans="1:6" x14ac:dyDescent="0.35">
      <c r="A125" t="str">
        <v>TXN100123</v>
      </c>
      <c r="B125">
        <f>_xlfn.XLOOKUP(clean_sales!P125,Dim_Date!B:B,Dim_Date!A:A)</f>
        <v>20250903</v>
      </c>
      <c r="C125">
        <f>_xlfn.XLOOKUP(clean_sales!C125,Dim_Customer!B:B,Dim_Customer!A:A)</f>
        <v>83</v>
      </c>
      <c r="D125">
        <f>_xlfn.XLOOKUP(clean_sales!I125,Dim_Product!B:B,Dim_Product!A:A)</f>
        <v>5</v>
      </c>
      <c r="E125">
        <f>clean_sales!L125</f>
        <v>3</v>
      </c>
      <c r="F125">
        <f>clean_sales!T125</f>
        <v>5400</v>
      </c>
    </row>
    <row r="126" spans="1:6" x14ac:dyDescent="0.35">
      <c r="A126" t="str">
        <v>TXN100124</v>
      </c>
      <c r="B126">
        <f>_xlfn.XLOOKUP(clean_sales!P126,Dim_Date!B:B,Dim_Date!A:A)</f>
        <v>20250924</v>
      </c>
      <c r="C126">
        <f>_xlfn.XLOOKUP(clean_sales!C126,Dim_Customer!B:B,Dim_Customer!A:A)</f>
        <v>115</v>
      </c>
      <c r="D126">
        <f>_xlfn.XLOOKUP(clean_sales!I126,Dim_Product!B:B,Dim_Product!A:A)</f>
        <v>1</v>
      </c>
      <c r="E126">
        <f>clean_sales!L126</f>
        <v>5</v>
      </c>
      <c r="F126">
        <f>clean_sales!T126</f>
        <v>60000</v>
      </c>
    </row>
    <row r="127" spans="1:6" x14ac:dyDescent="0.35">
      <c r="A127" t="str">
        <v>TXN100125</v>
      </c>
      <c r="B127">
        <f>_xlfn.XLOOKUP(clean_sales!P127,Dim_Date!B:B,Dim_Date!A:A)</f>
        <v>20250211</v>
      </c>
      <c r="C127">
        <f>_xlfn.XLOOKUP(clean_sales!C127,Dim_Customer!B:B,Dim_Customer!A:A)</f>
        <v>23</v>
      </c>
      <c r="D127">
        <f>_xlfn.XLOOKUP(clean_sales!I127,Dim_Product!B:B,Dim_Product!A:A)</f>
        <v>4</v>
      </c>
      <c r="E127">
        <f>clean_sales!L127</f>
        <v>4</v>
      </c>
      <c r="F127">
        <f>clean_sales!T127</f>
        <v>18000</v>
      </c>
    </row>
    <row r="128" spans="1:6" x14ac:dyDescent="0.35">
      <c r="A128" t="str">
        <v>TXN100126</v>
      </c>
      <c r="B128">
        <f>_xlfn.XLOOKUP(clean_sales!P128,Dim_Date!B:B,Dim_Date!A:A)</f>
        <v>20250731</v>
      </c>
      <c r="C128">
        <f>_xlfn.XLOOKUP(clean_sales!C128,Dim_Customer!B:B,Dim_Customer!A:A)</f>
        <v>116</v>
      </c>
      <c r="D128">
        <f>_xlfn.XLOOKUP(clean_sales!I128,Dim_Product!B:B,Dim_Product!A:A)</f>
        <v>6</v>
      </c>
      <c r="E128">
        <f>clean_sales!L128</f>
        <v>3</v>
      </c>
      <c r="F128">
        <f>clean_sales!T128</f>
        <v>216000</v>
      </c>
    </row>
    <row r="129" spans="1:6" x14ac:dyDescent="0.35">
      <c r="A129" t="str">
        <v>TXN100127</v>
      </c>
      <c r="B129">
        <f>_xlfn.XLOOKUP(clean_sales!P129,Dim_Date!B:B,Dim_Date!A:A)</f>
        <v>20250420</v>
      </c>
      <c r="C129">
        <f>_xlfn.XLOOKUP(clean_sales!C129,Dim_Customer!B:B,Dim_Customer!A:A)</f>
        <v>117</v>
      </c>
      <c r="D129">
        <f>_xlfn.XLOOKUP(clean_sales!I129,Dim_Product!B:B,Dim_Product!A:A)</f>
        <v>1</v>
      </c>
      <c r="E129">
        <f>clean_sales!L129</f>
        <v>3</v>
      </c>
      <c r="F129">
        <f>clean_sales!T129</f>
        <v>36000</v>
      </c>
    </row>
    <row r="130" spans="1:6" x14ac:dyDescent="0.35">
      <c r="A130" t="str">
        <v>TXN100128</v>
      </c>
      <c r="B130">
        <f>_xlfn.XLOOKUP(clean_sales!P130,Dim_Date!B:B,Dim_Date!A:A)</f>
        <v>20250801</v>
      </c>
      <c r="C130">
        <f>_xlfn.XLOOKUP(clean_sales!C130,Dim_Customer!B:B,Dim_Customer!A:A)</f>
        <v>118</v>
      </c>
      <c r="D130">
        <f>_xlfn.XLOOKUP(clean_sales!I130,Dim_Product!B:B,Dim_Product!A:A)</f>
        <v>3</v>
      </c>
      <c r="E130">
        <f>clean_sales!L130</f>
        <v>4</v>
      </c>
      <c r="F130">
        <f>clean_sales!T130</f>
        <v>20000</v>
      </c>
    </row>
    <row r="131" spans="1:6" x14ac:dyDescent="0.35">
      <c r="A131" t="str">
        <v>TXN100129</v>
      </c>
      <c r="B131">
        <f>_xlfn.XLOOKUP(clean_sales!P131,Dim_Date!B:B,Dim_Date!A:A)</f>
        <v>20250131</v>
      </c>
      <c r="C131">
        <f>_xlfn.XLOOKUP(clean_sales!C131,Dim_Customer!B:B,Dim_Customer!A:A)</f>
        <v>119</v>
      </c>
      <c r="D131">
        <f>_xlfn.XLOOKUP(clean_sales!I131,Dim_Product!B:B,Dim_Product!A:A)</f>
        <v>7</v>
      </c>
      <c r="E131">
        <f>clean_sales!L131</f>
        <v>5</v>
      </c>
      <c r="F131">
        <f>clean_sales!T131</f>
        <v>290000</v>
      </c>
    </row>
    <row r="132" spans="1:6" x14ac:dyDescent="0.35">
      <c r="A132" t="str">
        <v>TXN100130</v>
      </c>
      <c r="B132">
        <f>_xlfn.XLOOKUP(clean_sales!P132,Dim_Date!B:B,Dim_Date!A:A)</f>
        <v>20250811</v>
      </c>
      <c r="C132">
        <f>_xlfn.XLOOKUP(clean_sales!C132,Dim_Customer!B:B,Dim_Customer!A:A)</f>
        <v>120</v>
      </c>
      <c r="D132">
        <f>_xlfn.XLOOKUP(clean_sales!I132,Dim_Product!B:B,Dim_Product!A:A)</f>
        <v>5</v>
      </c>
      <c r="E132">
        <f>clean_sales!L132</f>
        <v>3</v>
      </c>
      <c r="F132">
        <f>clean_sales!T132</f>
        <v>5400</v>
      </c>
    </row>
    <row r="133" spans="1:6" x14ac:dyDescent="0.35">
      <c r="A133" t="str">
        <v>TXN100131</v>
      </c>
      <c r="B133">
        <f>_xlfn.XLOOKUP(clean_sales!P133,Dim_Date!B:B,Dim_Date!A:A)</f>
        <v>20250302</v>
      </c>
      <c r="C133">
        <f>_xlfn.XLOOKUP(clean_sales!C133,Dim_Customer!B:B,Dim_Customer!A:A)</f>
        <v>121</v>
      </c>
      <c r="D133">
        <f>_xlfn.XLOOKUP(clean_sales!I133,Dim_Product!B:B,Dim_Product!A:A)</f>
        <v>3</v>
      </c>
      <c r="E133">
        <f>clean_sales!L133</f>
        <v>2</v>
      </c>
      <c r="F133">
        <f>clean_sales!T133</f>
        <v>10000</v>
      </c>
    </row>
    <row r="134" spans="1:6" x14ac:dyDescent="0.35">
      <c r="A134" t="str">
        <v>TXN100132</v>
      </c>
      <c r="B134">
        <f>_xlfn.XLOOKUP(clean_sales!P134,Dim_Date!B:B,Dim_Date!A:A)</f>
        <v>20250919</v>
      </c>
      <c r="C134">
        <f>_xlfn.XLOOKUP(clean_sales!C134,Dim_Customer!B:B,Dim_Customer!A:A)</f>
        <v>99</v>
      </c>
      <c r="D134">
        <f>_xlfn.XLOOKUP(clean_sales!I134,Dim_Product!B:B,Dim_Product!A:A)</f>
        <v>4</v>
      </c>
      <c r="E134">
        <f>clean_sales!L134</f>
        <v>3</v>
      </c>
      <c r="F134">
        <f>clean_sales!T134</f>
        <v>13500</v>
      </c>
    </row>
    <row r="135" spans="1:6" x14ac:dyDescent="0.35">
      <c r="A135" t="str">
        <v>TXN100133</v>
      </c>
      <c r="B135">
        <f>_xlfn.XLOOKUP(clean_sales!P135,Dim_Date!B:B,Dim_Date!A:A)</f>
        <v>20260102</v>
      </c>
      <c r="C135">
        <f>_xlfn.XLOOKUP(clean_sales!C135,Dim_Customer!B:B,Dim_Customer!A:A)</f>
        <v>122</v>
      </c>
      <c r="D135">
        <f>_xlfn.XLOOKUP(clean_sales!I135,Dim_Product!B:B,Dim_Product!A:A)</f>
        <v>7</v>
      </c>
      <c r="E135">
        <f>clean_sales!L135</f>
        <v>2</v>
      </c>
      <c r="F135">
        <f>clean_sales!T135</f>
        <v>116000</v>
      </c>
    </row>
    <row r="136" spans="1:6" x14ac:dyDescent="0.35">
      <c r="A136" t="str">
        <v>TXN100134</v>
      </c>
      <c r="B136">
        <f>_xlfn.XLOOKUP(clean_sales!P136,Dim_Date!B:B,Dim_Date!A:A)</f>
        <v>20250919</v>
      </c>
      <c r="C136">
        <f>_xlfn.XLOOKUP(clean_sales!C136,Dim_Customer!B:B,Dim_Customer!A:A)</f>
        <v>123</v>
      </c>
      <c r="D136">
        <f>_xlfn.XLOOKUP(clean_sales!I136,Dim_Product!B:B,Dim_Product!A:A)</f>
        <v>4</v>
      </c>
      <c r="E136">
        <f>clean_sales!L136</f>
        <v>2</v>
      </c>
      <c r="F136">
        <f>clean_sales!T136</f>
        <v>9000</v>
      </c>
    </row>
    <row r="137" spans="1:6" x14ac:dyDescent="0.35">
      <c r="A137" t="str">
        <v>TXN100135</v>
      </c>
      <c r="B137">
        <f>_xlfn.XLOOKUP(clean_sales!P137,Dim_Date!B:B,Dim_Date!A:A)</f>
        <v>20251020</v>
      </c>
      <c r="C137">
        <f>_xlfn.XLOOKUP(clean_sales!C137,Dim_Customer!B:B,Dim_Customer!A:A)</f>
        <v>124</v>
      </c>
      <c r="D137">
        <f>_xlfn.XLOOKUP(clean_sales!I137,Dim_Product!B:B,Dim_Product!A:A)</f>
        <v>2</v>
      </c>
      <c r="E137">
        <f>clean_sales!L137</f>
        <v>1</v>
      </c>
      <c r="F137">
        <f>clean_sales!T137</f>
        <v>65000</v>
      </c>
    </row>
    <row r="138" spans="1:6" x14ac:dyDescent="0.35">
      <c r="A138" t="str">
        <v>TXN100136</v>
      </c>
      <c r="B138">
        <f>_xlfn.XLOOKUP(clean_sales!P138,Dim_Date!B:B,Dim_Date!A:A)</f>
        <v>20250126</v>
      </c>
      <c r="C138">
        <f>_xlfn.XLOOKUP(clean_sales!C138,Dim_Customer!B:B,Dim_Customer!A:A)</f>
        <v>125</v>
      </c>
      <c r="D138">
        <f>_xlfn.XLOOKUP(clean_sales!I138,Dim_Product!B:B,Dim_Product!A:A)</f>
        <v>1</v>
      </c>
      <c r="E138">
        <f>clean_sales!L138</f>
        <v>4</v>
      </c>
      <c r="F138">
        <f>clean_sales!T138</f>
        <v>48000</v>
      </c>
    </row>
    <row r="139" spans="1:6" x14ac:dyDescent="0.35">
      <c r="A139" t="str">
        <v>TXN100137</v>
      </c>
      <c r="B139">
        <f>_xlfn.XLOOKUP(clean_sales!P139,Dim_Date!B:B,Dim_Date!A:A)</f>
        <v>20250221</v>
      </c>
      <c r="C139">
        <f>_xlfn.XLOOKUP(clean_sales!C139,Dim_Customer!B:B,Dim_Customer!A:A)</f>
        <v>126</v>
      </c>
      <c r="D139">
        <f>_xlfn.XLOOKUP(clean_sales!I139,Dim_Product!B:B,Dim_Product!A:A)</f>
        <v>3</v>
      </c>
      <c r="E139">
        <f>clean_sales!L139</f>
        <v>3</v>
      </c>
      <c r="F139">
        <f>clean_sales!T139</f>
        <v>15000</v>
      </c>
    </row>
    <row r="140" spans="1:6" x14ac:dyDescent="0.35">
      <c r="A140" t="str">
        <v>TXN100138</v>
      </c>
      <c r="B140">
        <f>_xlfn.XLOOKUP(clean_sales!P140,Dim_Date!B:B,Dim_Date!A:A)</f>
        <v>20250905</v>
      </c>
      <c r="C140">
        <f>_xlfn.XLOOKUP(clean_sales!C140,Dim_Customer!B:B,Dim_Customer!A:A)</f>
        <v>127</v>
      </c>
      <c r="D140">
        <f>_xlfn.XLOOKUP(clean_sales!I140,Dim_Product!B:B,Dim_Product!A:A)</f>
        <v>2</v>
      </c>
      <c r="E140">
        <f>clean_sales!L140</f>
        <v>4</v>
      </c>
      <c r="F140">
        <f>clean_sales!T140</f>
        <v>260000</v>
      </c>
    </row>
    <row r="141" spans="1:6" x14ac:dyDescent="0.35">
      <c r="A141" t="str">
        <v>TXN100139</v>
      </c>
      <c r="B141">
        <f>_xlfn.XLOOKUP(clean_sales!P141,Dim_Date!B:B,Dim_Date!A:A)</f>
        <v>20250926</v>
      </c>
      <c r="C141">
        <f>_xlfn.XLOOKUP(clean_sales!C141,Dim_Customer!B:B,Dim_Customer!A:A)</f>
        <v>128</v>
      </c>
      <c r="D141">
        <f>_xlfn.XLOOKUP(clean_sales!I141,Dim_Product!B:B,Dim_Product!A:A)</f>
        <v>3</v>
      </c>
      <c r="E141">
        <f>clean_sales!L141</f>
        <v>3</v>
      </c>
      <c r="F141">
        <f>clean_sales!T141</f>
        <v>15000</v>
      </c>
    </row>
    <row r="142" spans="1:6" x14ac:dyDescent="0.35">
      <c r="A142" t="str">
        <v>TXN100140</v>
      </c>
      <c r="B142">
        <f>_xlfn.XLOOKUP(clean_sales!P142,Dim_Date!B:B,Dim_Date!A:A)</f>
        <v>20250703</v>
      </c>
      <c r="C142">
        <f>_xlfn.XLOOKUP(clean_sales!C142,Dim_Customer!B:B,Dim_Customer!A:A)</f>
        <v>129</v>
      </c>
      <c r="D142">
        <f>_xlfn.XLOOKUP(clean_sales!I142,Dim_Product!B:B,Dim_Product!A:A)</f>
        <v>7</v>
      </c>
      <c r="E142">
        <f>clean_sales!L142</f>
        <v>4</v>
      </c>
      <c r="F142">
        <f>clean_sales!T142</f>
        <v>232000</v>
      </c>
    </row>
    <row r="143" spans="1:6" x14ac:dyDescent="0.35">
      <c r="A143" t="str">
        <v>TXN100141</v>
      </c>
      <c r="B143">
        <f>_xlfn.XLOOKUP(clean_sales!P143,Dim_Date!B:B,Dim_Date!A:A)</f>
        <v>20250404</v>
      </c>
      <c r="C143">
        <f>_xlfn.XLOOKUP(clean_sales!C143,Dim_Customer!B:B,Dim_Customer!A:A)</f>
        <v>120</v>
      </c>
      <c r="D143">
        <f>_xlfn.XLOOKUP(clean_sales!I143,Dim_Product!B:B,Dim_Product!A:A)</f>
        <v>5</v>
      </c>
      <c r="E143">
        <f>clean_sales!L143</f>
        <v>2</v>
      </c>
      <c r="F143">
        <f>clean_sales!T143</f>
        <v>3600</v>
      </c>
    </row>
    <row r="144" spans="1:6" x14ac:dyDescent="0.35">
      <c r="A144" t="str">
        <v>TXN100142</v>
      </c>
      <c r="B144">
        <f>_xlfn.XLOOKUP(clean_sales!P144,Dim_Date!B:B,Dim_Date!A:A)</f>
        <v>20250328</v>
      </c>
      <c r="C144">
        <f>_xlfn.XLOOKUP(clean_sales!C144,Dim_Customer!B:B,Dim_Customer!A:A)</f>
        <v>130</v>
      </c>
      <c r="D144">
        <f>_xlfn.XLOOKUP(clean_sales!I144,Dim_Product!B:B,Dim_Product!A:A)</f>
        <v>2</v>
      </c>
      <c r="E144">
        <f>clean_sales!L144</f>
        <v>1</v>
      </c>
      <c r="F144">
        <f>clean_sales!T144</f>
        <v>65000</v>
      </c>
    </row>
    <row r="145" spans="1:6" x14ac:dyDescent="0.35">
      <c r="A145" t="str">
        <v>TXN100143</v>
      </c>
      <c r="B145">
        <f>_xlfn.XLOOKUP(clean_sales!P145,Dim_Date!B:B,Dim_Date!A:A)</f>
        <v>20260103</v>
      </c>
      <c r="C145">
        <f>_xlfn.XLOOKUP(clean_sales!C145,Dim_Customer!B:B,Dim_Customer!A:A)</f>
        <v>131</v>
      </c>
      <c r="D145">
        <f>_xlfn.XLOOKUP(clean_sales!I145,Dim_Product!B:B,Dim_Product!A:A)</f>
        <v>5</v>
      </c>
      <c r="E145">
        <f>clean_sales!L145</f>
        <v>5</v>
      </c>
      <c r="F145">
        <f>clean_sales!T145</f>
        <v>9000</v>
      </c>
    </row>
    <row r="146" spans="1:6" x14ac:dyDescent="0.35">
      <c r="A146" t="str">
        <v>TXN100144</v>
      </c>
      <c r="B146">
        <f>_xlfn.XLOOKUP(clean_sales!P146,Dim_Date!B:B,Dim_Date!A:A)</f>
        <v>20250411</v>
      </c>
      <c r="C146">
        <f>_xlfn.XLOOKUP(clean_sales!C146,Dim_Customer!B:B,Dim_Customer!A:A)</f>
        <v>132</v>
      </c>
      <c r="D146">
        <f>_xlfn.XLOOKUP(clean_sales!I146,Dim_Product!B:B,Dim_Product!A:A)</f>
        <v>7</v>
      </c>
      <c r="E146">
        <f>clean_sales!L146</f>
        <v>1</v>
      </c>
      <c r="F146">
        <f>clean_sales!T146</f>
        <v>58000</v>
      </c>
    </row>
    <row r="147" spans="1:6" x14ac:dyDescent="0.35">
      <c r="A147" t="str">
        <v>TXN100145</v>
      </c>
      <c r="B147">
        <f>_xlfn.XLOOKUP(clean_sales!P147,Dim_Date!B:B,Dim_Date!A:A)</f>
        <v>20251021</v>
      </c>
      <c r="C147">
        <f>_xlfn.XLOOKUP(clean_sales!C147,Dim_Customer!B:B,Dim_Customer!A:A)</f>
        <v>133</v>
      </c>
      <c r="D147">
        <f>_xlfn.XLOOKUP(clean_sales!I147,Dim_Product!B:B,Dim_Product!A:A)</f>
        <v>2</v>
      </c>
      <c r="E147">
        <f>clean_sales!L147</f>
        <v>2</v>
      </c>
      <c r="F147">
        <f>clean_sales!T147</f>
        <v>130000</v>
      </c>
    </row>
    <row r="148" spans="1:6" x14ac:dyDescent="0.35">
      <c r="A148" t="str">
        <v>TXN100146</v>
      </c>
      <c r="B148">
        <f>_xlfn.XLOOKUP(clean_sales!P148,Dim_Date!B:B,Dim_Date!A:A)</f>
        <v>20250312</v>
      </c>
      <c r="C148">
        <f>_xlfn.XLOOKUP(clean_sales!C148,Dim_Customer!B:B,Dim_Customer!A:A)</f>
        <v>134</v>
      </c>
      <c r="D148">
        <f>_xlfn.XLOOKUP(clean_sales!I148,Dim_Product!B:B,Dim_Product!A:A)</f>
        <v>1</v>
      </c>
      <c r="E148">
        <f>clean_sales!L148</f>
        <v>3</v>
      </c>
      <c r="F148">
        <f>clean_sales!T148</f>
        <v>36000</v>
      </c>
    </row>
    <row r="149" spans="1:6" x14ac:dyDescent="0.35">
      <c r="A149" t="str">
        <v>TXN100147</v>
      </c>
      <c r="B149">
        <f>_xlfn.XLOOKUP(clean_sales!P149,Dim_Date!B:B,Dim_Date!A:A)</f>
        <v>20250406</v>
      </c>
      <c r="C149">
        <f>_xlfn.XLOOKUP(clean_sales!C149,Dim_Customer!B:B,Dim_Customer!A:A)</f>
        <v>135</v>
      </c>
      <c r="D149">
        <f>_xlfn.XLOOKUP(clean_sales!I149,Dim_Product!B:B,Dim_Product!A:A)</f>
        <v>6</v>
      </c>
      <c r="E149">
        <f>clean_sales!L149</f>
        <v>5</v>
      </c>
      <c r="F149">
        <f>clean_sales!T149</f>
        <v>360000</v>
      </c>
    </row>
    <row r="150" spans="1:6" x14ac:dyDescent="0.35">
      <c r="A150" t="str">
        <v>TXN100148</v>
      </c>
      <c r="B150">
        <f>_xlfn.XLOOKUP(clean_sales!P150,Dim_Date!B:B,Dim_Date!A:A)</f>
        <v>20250426</v>
      </c>
      <c r="C150">
        <f>_xlfn.XLOOKUP(clean_sales!C150,Dim_Customer!B:B,Dim_Customer!A:A)</f>
        <v>136</v>
      </c>
      <c r="D150">
        <f>_xlfn.XLOOKUP(clean_sales!I150,Dim_Product!B:B,Dim_Product!A:A)</f>
        <v>4</v>
      </c>
      <c r="E150">
        <f>clean_sales!L150</f>
        <v>1</v>
      </c>
      <c r="F150">
        <f>clean_sales!T150</f>
        <v>4500</v>
      </c>
    </row>
    <row r="151" spans="1:6" x14ac:dyDescent="0.35">
      <c r="A151" t="str">
        <v>TXN100149</v>
      </c>
      <c r="B151">
        <f>_xlfn.XLOOKUP(clean_sales!P151,Dim_Date!B:B,Dim_Date!A:A)</f>
        <v>20250317</v>
      </c>
      <c r="C151">
        <f>_xlfn.XLOOKUP(clean_sales!C151,Dim_Customer!B:B,Dim_Customer!A:A)</f>
        <v>137</v>
      </c>
      <c r="D151">
        <f>_xlfn.XLOOKUP(clean_sales!I151,Dim_Product!B:B,Dim_Product!A:A)</f>
        <v>7</v>
      </c>
      <c r="E151">
        <f>clean_sales!L151</f>
        <v>1</v>
      </c>
      <c r="F151">
        <f>clean_sales!T151</f>
        <v>58000</v>
      </c>
    </row>
    <row r="152" spans="1:6" x14ac:dyDescent="0.35">
      <c r="A152" t="str">
        <v>TXN100150</v>
      </c>
      <c r="B152">
        <f>_xlfn.XLOOKUP(clean_sales!P152,Dim_Date!B:B,Dim_Date!A:A)</f>
        <v>20250611</v>
      </c>
      <c r="C152">
        <f>_xlfn.XLOOKUP(clean_sales!C152,Dim_Customer!B:B,Dim_Customer!A:A)</f>
        <v>138</v>
      </c>
      <c r="D152">
        <f>_xlfn.XLOOKUP(clean_sales!I152,Dim_Product!B:B,Dim_Product!A:A)</f>
        <v>4</v>
      </c>
      <c r="E152">
        <f>clean_sales!L152</f>
        <v>1</v>
      </c>
      <c r="F152">
        <f>clean_sales!T152</f>
        <v>4500</v>
      </c>
    </row>
    <row r="153" spans="1:6" x14ac:dyDescent="0.35">
      <c r="A153" t="str">
        <v>TXN100151</v>
      </c>
      <c r="B153">
        <f>_xlfn.XLOOKUP(clean_sales!P153,Dim_Date!B:B,Dim_Date!A:A)</f>
        <v>20250806</v>
      </c>
      <c r="C153">
        <f>_xlfn.XLOOKUP(clean_sales!C153,Dim_Customer!B:B,Dim_Customer!A:A)</f>
        <v>139</v>
      </c>
      <c r="D153">
        <f>_xlfn.XLOOKUP(clean_sales!I153,Dim_Product!B:B,Dim_Product!A:A)</f>
        <v>3</v>
      </c>
      <c r="E153">
        <f>clean_sales!L153</f>
        <v>3</v>
      </c>
      <c r="F153">
        <f>clean_sales!T153</f>
        <v>15000</v>
      </c>
    </row>
    <row r="154" spans="1:6" x14ac:dyDescent="0.35">
      <c r="A154" t="str">
        <v>TXN100152</v>
      </c>
      <c r="B154">
        <f>_xlfn.XLOOKUP(clean_sales!P154,Dim_Date!B:B,Dim_Date!A:A)</f>
        <v>20250307</v>
      </c>
      <c r="C154">
        <f>_xlfn.XLOOKUP(clean_sales!C154,Dim_Customer!B:B,Dim_Customer!A:A)</f>
        <v>64</v>
      </c>
      <c r="D154">
        <f>_xlfn.XLOOKUP(clean_sales!I154,Dim_Product!B:B,Dim_Product!A:A)</f>
        <v>5</v>
      </c>
      <c r="E154">
        <f>clean_sales!L154</f>
        <v>5</v>
      </c>
      <c r="F154">
        <f>clean_sales!T154</f>
        <v>9000</v>
      </c>
    </row>
    <row r="155" spans="1:6" x14ac:dyDescent="0.35">
      <c r="A155" t="str">
        <v>TXN100153</v>
      </c>
      <c r="B155">
        <f>_xlfn.XLOOKUP(clean_sales!P155,Dim_Date!B:B,Dim_Date!A:A)</f>
        <v>20250921</v>
      </c>
      <c r="C155">
        <f>_xlfn.XLOOKUP(clean_sales!C155,Dim_Customer!B:B,Dim_Customer!A:A)</f>
        <v>140</v>
      </c>
      <c r="D155">
        <f>_xlfn.XLOOKUP(clean_sales!I155,Dim_Product!B:B,Dim_Product!A:A)</f>
        <v>4</v>
      </c>
      <c r="E155">
        <f>clean_sales!L155</f>
        <v>4</v>
      </c>
      <c r="F155">
        <f>clean_sales!T155</f>
        <v>18000</v>
      </c>
    </row>
    <row r="156" spans="1:6" x14ac:dyDescent="0.35">
      <c r="A156" t="str">
        <v>TXN100154</v>
      </c>
      <c r="B156">
        <f>_xlfn.XLOOKUP(clean_sales!P156,Dim_Date!B:B,Dim_Date!A:A)</f>
        <v>20250604</v>
      </c>
      <c r="C156">
        <f>_xlfn.XLOOKUP(clean_sales!C156,Dim_Customer!B:B,Dim_Customer!A:A)</f>
        <v>131</v>
      </c>
      <c r="D156">
        <f>_xlfn.XLOOKUP(clean_sales!I156,Dim_Product!B:B,Dim_Product!A:A)</f>
        <v>4</v>
      </c>
      <c r="E156">
        <f>clean_sales!L156</f>
        <v>2</v>
      </c>
      <c r="F156">
        <f>clean_sales!T156</f>
        <v>9000</v>
      </c>
    </row>
    <row r="157" spans="1:6" x14ac:dyDescent="0.35">
      <c r="A157" t="str">
        <v>TXN100155</v>
      </c>
      <c r="B157">
        <f>_xlfn.XLOOKUP(clean_sales!P157,Dim_Date!B:B,Dim_Date!A:A)</f>
        <v>20250616</v>
      </c>
      <c r="C157">
        <f>_xlfn.XLOOKUP(clean_sales!C157,Dim_Customer!B:B,Dim_Customer!A:A)</f>
        <v>141</v>
      </c>
      <c r="D157">
        <f>_xlfn.XLOOKUP(clean_sales!I157,Dim_Product!B:B,Dim_Product!A:A)</f>
        <v>2</v>
      </c>
      <c r="E157">
        <f>clean_sales!L157</f>
        <v>5</v>
      </c>
      <c r="F157">
        <f>clean_sales!T157</f>
        <v>325000</v>
      </c>
    </row>
    <row r="158" spans="1:6" x14ac:dyDescent="0.35">
      <c r="A158" t="str">
        <v>TXN100156</v>
      </c>
      <c r="B158">
        <f>_xlfn.XLOOKUP(clean_sales!P158,Dim_Date!B:B,Dim_Date!A:A)</f>
        <v>20250512</v>
      </c>
      <c r="C158">
        <f>_xlfn.XLOOKUP(clean_sales!C158,Dim_Customer!B:B,Dim_Customer!A:A)</f>
        <v>142</v>
      </c>
      <c r="D158">
        <f>_xlfn.XLOOKUP(clean_sales!I158,Dim_Product!B:B,Dim_Product!A:A)</f>
        <v>4</v>
      </c>
      <c r="E158">
        <f>clean_sales!L158</f>
        <v>5</v>
      </c>
      <c r="F158">
        <f>clean_sales!T158</f>
        <v>22500</v>
      </c>
    </row>
    <row r="159" spans="1:6" x14ac:dyDescent="0.35">
      <c r="A159" t="str">
        <v>TXN100157</v>
      </c>
      <c r="B159">
        <f>_xlfn.XLOOKUP(clean_sales!P159,Dim_Date!B:B,Dim_Date!A:A)</f>
        <v>20250705</v>
      </c>
      <c r="C159">
        <f>_xlfn.XLOOKUP(clean_sales!C159,Dim_Customer!B:B,Dim_Customer!A:A)</f>
        <v>143</v>
      </c>
      <c r="D159">
        <f>_xlfn.XLOOKUP(clean_sales!I159,Dim_Product!B:B,Dim_Product!A:A)</f>
        <v>3</v>
      </c>
      <c r="E159">
        <f>clean_sales!L159</f>
        <v>4</v>
      </c>
      <c r="F159">
        <f>clean_sales!T159</f>
        <v>20000</v>
      </c>
    </row>
    <row r="160" spans="1:6" x14ac:dyDescent="0.35">
      <c r="A160" t="str">
        <v>TXN100158</v>
      </c>
      <c r="B160">
        <f>_xlfn.XLOOKUP(clean_sales!P160,Dim_Date!B:B,Dim_Date!A:A)</f>
        <v>20250601</v>
      </c>
      <c r="C160">
        <f>_xlfn.XLOOKUP(clean_sales!C160,Dim_Customer!B:B,Dim_Customer!A:A)</f>
        <v>144</v>
      </c>
      <c r="D160">
        <f>_xlfn.XLOOKUP(clean_sales!I160,Dim_Product!B:B,Dim_Product!A:A)</f>
        <v>4</v>
      </c>
      <c r="E160">
        <f>clean_sales!L160</f>
        <v>2</v>
      </c>
      <c r="F160">
        <f>clean_sales!T160</f>
        <v>9000</v>
      </c>
    </row>
    <row r="161" spans="1:6" x14ac:dyDescent="0.35">
      <c r="A161" t="str">
        <v>TXN100159</v>
      </c>
      <c r="B161">
        <f>_xlfn.XLOOKUP(clean_sales!P161,Dim_Date!B:B,Dim_Date!A:A)</f>
        <v>20251123</v>
      </c>
      <c r="C161">
        <f>_xlfn.XLOOKUP(clean_sales!C161,Dim_Customer!B:B,Dim_Customer!A:A)</f>
        <v>57</v>
      </c>
      <c r="D161">
        <f>_xlfn.XLOOKUP(clean_sales!I161,Dim_Product!B:B,Dim_Product!A:A)</f>
        <v>5</v>
      </c>
      <c r="E161">
        <f>clean_sales!L161</f>
        <v>3</v>
      </c>
      <c r="F161">
        <f>clean_sales!T161</f>
        <v>5400</v>
      </c>
    </row>
    <row r="162" spans="1:6" x14ac:dyDescent="0.35">
      <c r="A162" t="str">
        <v>TXN100160</v>
      </c>
      <c r="B162">
        <f>_xlfn.XLOOKUP(clean_sales!P162,Dim_Date!B:B,Dim_Date!A:A)</f>
        <v>20250806</v>
      </c>
      <c r="C162">
        <f>_xlfn.XLOOKUP(clean_sales!C162,Dim_Customer!B:B,Dim_Customer!A:A)</f>
        <v>145</v>
      </c>
      <c r="D162">
        <f>_xlfn.XLOOKUP(clean_sales!I162,Dim_Product!B:B,Dim_Product!A:A)</f>
        <v>7</v>
      </c>
      <c r="E162">
        <f>clean_sales!L162</f>
        <v>2</v>
      </c>
      <c r="F162">
        <f>clean_sales!T162</f>
        <v>116000</v>
      </c>
    </row>
    <row r="163" spans="1:6" x14ac:dyDescent="0.35">
      <c r="A163" t="str">
        <v>TXN100161</v>
      </c>
      <c r="B163">
        <f>_xlfn.XLOOKUP(clean_sales!P163,Dim_Date!B:B,Dim_Date!A:A)</f>
        <v>20250117</v>
      </c>
      <c r="C163">
        <f>_xlfn.XLOOKUP(clean_sales!C163,Dim_Customer!B:B,Dim_Customer!A:A)</f>
        <v>146</v>
      </c>
      <c r="D163">
        <f>_xlfn.XLOOKUP(clean_sales!I163,Dim_Product!B:B,Dim_Product!A:A)</f>
        <v>7</v>
      </c>
      <c r="E163">
        <f>clean_sales!L163</f>
        <v>2</v>
      </c>
      <c r="F163">
        <f>clean_sales!T163</f>
        <v>116000</v>
      </c>
    </row>
    <row r="164" spans="1:6" x14ac:dyDescent="0.35">
      <c r="A164" t="str">
        <v>TXN100162</v>
      </c>
      <c r="B164">
        <f>_xlfn.XLOOKUP(clean_sales!P164,Dim_Date!B:B,Dim_Date!A:A)</f>
        <v>20250622</v>
      </c>
      <c r="C164">
        <f>_xlfn.XLOOKUP(clean_sales!C164,Dim_Customer!B:B,Dim_Customer!A:A)</f>
        <v>147</v>
      </c>
      <c r="D164">
        <f>_xlfn.XLOOKUP(clean_sales!I164,Dim_Product!B:B,Dim_Product!A:A)</f>
        <v>7</v>
      </c>
      <c r="E164">
        <f>clean_sales!L164</f>
        <v>4</v>
      </c>
      <c r="F164">
        <f>clean_sales!T164</f>
        <v>232000</v>
      </c>
    </row>
    <row r="165" spans="1:6" x14ac:dyDescent="0.35">
      <c r="A165" t="str">
        <v>TXN100163</v>
      </c>
      <c r="B165">
        <f>_xlfn.XLOOKUP(clean_sales!P165,Dim_Date!B:B,Dim_Date!A:A)</f>
        <v>20251009</v>
      </c>
      <c r="C165">
        <f>_xlfn.XLOOKUP(clean_sales!C165,Dim_Customer!B:B,Dim_Customer!A:A)</f>
        <v>9</v>
      </c>
      <c r="D165">
        <f>_xlfn.XLOOKUP(clean_sales!I165,Dim_Product!B:B,Dim_Product!A:A)</f>
        <v>7</v>
      </c>
      <c r="E165">
        <f>clean_sales!L165</f>
        <v>5</v>
      </c>
      <c r="F165">
        <f>clean_sales!T165</f>
        <v>290000</v>
      </c>
    </row>
    <row r="166" spans="1:6" x14ac:dyDescent="0.35">
      <c r="A166" t="str">
        <v>TXN100164</v>
      </c>
      <c r="B166">
        <f>_xlfn.XLOOKUP(clean_sales!P166,Dim_Date!B:B,Dim_Date!A:A)</f>
        <v>20251120</v>
      </c>
      <c r="C166">
        <f>_xlfn.XLOOKUP(clean_sales!C166,Dim_Customer!B:B,Dim_Customer!A:A)</f>
        <v>55</v>
      </c>
      <c r="D166">
        <f>_xlfn.XLOOKUP(clean_sales!I166,Dim_Product!B:B,Dim_Product!A:A)</f>
        <v>1</v>
      </c>
      <c r="E166">
        <f>clean_sales!L166</f>
        <v>3</v>
      </c>
      <c r="F166">
        <f>clean_sales!T166</f>
        <v>36000</v>
      </c>
    </row>
    <row r="167" spans="1:6" x14ac:dyDescent="0.35">
      <c r="A167" t="str">
        <v>TXN100165</v>
      </c>
      <c r="B167">
        <f>_xlfn.XLOOKUP(clean_sales!P167,Dim_Date!B:B,Dim_Date!A:A)</f>
        <v>20250413</v>
      </c>
      <c r="C167">
        <f>_xlfn.XLOOKUP(clean_sales!C167,Dim_Customer!B:B,Dim_Customer!A:A)</f>
        <v>42</v>
      </c>
      <c r="D167">
        <f>_xlfn.XLOOKUP(clean_sales!I167,Dim_Product!B:B,Dim_Product!A:A)</f>
        <v>1</v>
      </c>
      <c r="E167">
        <f>clean_sales!L167</f>
        <v>3</v>
      </c>
      <c r="F167">
        <f>clean_sales!T167</f>
        <v>36000</v>
      </c>
    </row>
    <row r="168" spans="1:6" x14ac:dyDescent="0.35">
      <c r="A168" t="str">
        <v>TXN100166</v>
      </c>
      <c r="B168">
        <f>_xlfn.XLOOKUP(clean_sales!P168,Dim_Date!B:B,Dim_Date!A:A)</f>
        <v>20250225</v>
      </c>
      <c r="C168">
        <f>_xlfn.XLOOKUP(clean_sales!C168,Dim_Customer!B:B,Dim_Customer!A:A)</f>
        <v>148</v>
      </c>
      <c r="D168">
        <f>_xlfn.XLOOKUP(clean_sales!I168,Dim_Product!B:B,Dim_Product!A:A)</f>
        <v>5</v>
      </c>
      <c r="E168">
        <f>clean_sales!L168</f>
        <v>1</v>
      </c>
      <c r="F168">
        <f>clean_sales!T168</f>
        <v>1800</v>
      </c>
    </row>
    <row r="169" spans="1:6" x14ac:dyDescent="0.35">
      <c r="A169" t="str">
        <v>TXN100167</v>
      </c>
      <c r="B169">
        <f>_xlfn.XLOOKUP(clean_sales!P169,Dim_Date!B:B,Dim_Date!A:A)</f>
        <v>20250526</v>
      </c>
      <c r="C169">
        <f>_xlfn.XLOOKUP(clean_sales!C169,Dim_Customer!B:B,Dim_Customer!A:A)</f>
        <v>149</v>
      </c>
      <c r="D169">
        <f>_xlfn.XLOOKUP(clean_sales!I169,Dim_Product!B:B,Dim_Product!A:A)</f>
        <v>3</v>
      </c>
      <c r="E169">
        <f>clean_sales!L169</f>
        <v>5</v>
      </c>
      <c r="F169">
        <f>clean_sales!T169</f>
        <v>25000</v>
      </c>
    </row>
    <row r="170" spans="1:6" x14ac:dyDescent="0.35">
      <c r="A170" t="str">
        <v>TXN100168</v>
      </c>
      <c r="B170">
        <f>_xlfn.XLOOKUP(clean_sales!P170,Dim_Date!B:B,Dim_Date!A:A)</f>
        <v>20250726</v>
      </c>
      <c r="C170">
        <f>_xlfn.XLOOKUP(clean_sales!C170,Dim_Customer!B:B,Dim_Customer!A:A)</f>
        <v>150</v>
      </c>
      <c r="D170">
        <f>_xlfn.XLOOKUP(clean_sales!I170,Dim_Product!B:B,Dim_Product!A:A)</f>
        <v>3</v>
      </c>
      <c r="E170">
        <f>clean_sales!L170</f>
        <v>4</v>
      </c>
      <c r="F170">
        <f>clean_sales!T170</f>
        <v>20000</v>
      </c>
    </row>
    <row r="171" spans="1:6" x14ac:dyDescent="0.35">
      <c r="A171" t="str">
        <v>TXN100169</v>
      </c>
      <c r="B171">
        <f>_xlfn.XLOOKUP(clean_sales!P171,Dim_Date!B:B,Dim_Date!A:A)</f>
        <v>20250527</v>
      </c>
      <c r="C171">
        <f>_xlfn.XLOOKUP(clean_sales!C171,Dim_Customer!B:B,Dim_Customer!A:A)</f>
        <v>7</v>
      </c>
      <c r="D171">
        <f>_xlfn.XLOOKUP(clean_sales!I171,Dim_Product!B:B,Dim_Product!A:A)</f>
        <v>4</v>
      </c>
      <c r="E171">
        <f>clean_sales!L171</f>
        <v>3</v>
      </c>
      <c r="F171">
        <f>clean_sales!T171</f>
        <v>13500</v>
      </c>
    </row>
    <row r="172" spans="1:6" x14ac:dyDescent="0.35">
      <c r="A172" t="str">
        <v>TXN100170</v>
      </c>
      <c r="B172">
        <f>_xlfn.XLOOKUP(clean_sales!P172,Dim_Date!B:B,Dim_Date!A:A)</f>
        <v>20250104</v>
      </c>
      <c r="C172">
        <f>_xlfn.XLOOKUP(clean_sales!C172,Dim_Customer!B:B,Dim_Customer!A:A)</f>
        <v>42</v>
      </c>
      <c r="D172">
        <f>_xlfn.XLOOKUP(clean_sales!I172,Dim_Product!B:B,Dim_Product!A:A)</f>
        <v>6</v>
      </c>
      <c r="E172">
        <f>clean_sales!L172</f>
        <v>5</v>
      </c>
      <c r="F172">
        <f>clean_sales!T172</f>
        <v>360000</v>
      </c>
    </row>
    <row r="173" spans="1:6" x14ac:dyDescent="0.35">
      <c r="A173" t="str">
        <v>TXN100171</v>
      </c>
      <c r="B173">
        <f>_xlfn.XLOOKUP(clean_sales!P173,Dim_Date!B:B,Dim_Date!A:A)</f>
        <v>20251021</v>
      </c>
      <c r="C173">
        <f>_xlfn.XLOOKUP(clean_sales!C173,Dim_Customer!B:B,Dim_Customer!A:A)</f>
        <v>151</v>
      </c>
      <c r="D173">
        <f>_xlfn.XLOOKUP(clean_sales!I173,Dim_Product!B:B,Dim_Product!A:A)</f>
        <v>4</v>
      </c>
      <c r="E173">
        <f>clean_sales!L173</f>
        <v>3</v>
      </c>
      <c r="F173">
        <f>clean_sales!T173</f>
        <v>13500</v>
      </c>
    </row>
    <row r="174" spans="1:6" x14ac:dyDescent="0.35">
      <c r="A174" t="str">
        <v>TXN100172</v>
      </c>
      <c r="B174">
        <f>_xlfn.XLOOKUP(clean_sales!P174,Dim_Date!B:B,Dim_Date!A:A)</f>
        <v>20250921</v>
      </c>
      <c r="C174">
        <f>_xlfn.XLOOKUP(clean_sales!C174,Dim_Customer!B:B,Dim_Customer!A:A)</f>
        <v>152</v>
      </c>
      <c r="D174">
        <f>_xlfn.XLOOKUP(clean_sales!I174,Dim_Product!B:B,Dim_Product!A:A)</f>
        <v>1</v>
      </c>
      <c r="E174">
        <f>clean_sales!L174</f>
        <v>1</v>
      </c>
      <c r="F174">
        <f>clean_sales!T174</f>
        <v>12000</v>
      </c>
    </row>
    <row r="175" spans="1:6" x14ac:dyDescent="0.35">
      <c r="A175" t="str">
        <v>TXN100173</v>
      </c>
      <c r="B175">
        <f>_xlfn.XLOOKUP(clean_sales!P175,Dim_Date!B:B,Dim_Date!A:A)</f>
        <v>20251212</v>
      </c>
      <c r="C175">
        <f>_xlfn.XLOOKUP(clean_sales!C175,Dim_Customer!B:B,Dim_Customer!A:A)</f>
        <v>16</v>
      </c>
      <c r="D175">
        <f>_xlfn.XLOOKUP(clean_sales!I175,Dim_Product!B:B,Dim_Product!A:A)</f>
        <v>2</v>
      </c>
      <c r="E175">
        <f>clean_sales!L175</f>
        <v>1</v>
      </c>
      <c r="F175">
        <f>clean_sales!T175</f>
        <v>65000</v>
      </c>
    </row>
    <row r="176" spans="1:6" x14ac:dyDescent="0.35">
      <c r="A176" t="str">
        <v>TXN100174</v>
      </c>
      <c r="B176">
        <f>_xlfn.XLOOKUP(clean_sales!P176,Dim_Date!B:B,Dim_Date!A:A)</f>
        <v>20250516</v>
      </c>
      <c r="C176">
        <f>_xlfn.XLOOKUP(clean_sales!C176,Dim_Customer!B:B,Dim_Customer!A:A)</f>
        <v>153</v>
      </c>
      <c r="D176">
        <f>_xlfn.XLOOKUP(clean_sales!I176,Dim_Product!B:B,Dim_Product!A:A)</f>
        <v>4</v>
      </c>
      <c r="E176">
        <f>clean_sales!L176</f>
        <v>2</v>
      </c>
      <c r="F176">
        <f>clean_sales!T176</f>
        <v>9000</v>
      </c>
    </row>
    <row r="177" spans="1:6" x14ac:dyDescent="0.35">
      <c r="A177" t="str">
        <v>TXN100175</v>
      </c>
      <c r="B177">
        <f>_xlfn.XLOOKUP(clean_sales!P177,Dim_Date!B:B,Dim_Date!A:A)</f>
        <v>20250628</v>
      </c>
      <c r="C177">
        <f>_xlfn.XLOOKUP(clean_sales!C177,Dim_Customer!B:B,Dim_Customer!A:A)</f>
        <v>154</v>
      </c>
      <c r="D177">
        <f>_xlfn.XLOOKUP(clean_sales!I177,Dim_Product!B:B,Dim_Product!A:A)</f>
        <v>5</v>
      </c>
      <c r="E177">
        <f>clean_sales!L177</f>
        <v>2</v>
      </c>
      <c r="F177">
        <f>clean_sales!T177</f>
        <v>3600</v>
      </c>
    </row>
    <row r="178" spans="1:6" x14ac:dyDescent="0.35">
      <c r="A178" t="str">
        <v>TXN100176</v>
      </c>
      <c r="B178">
        <f>_xlfn.XLOOKUP(clean_sales!P178,Dim_Date!B:B,Dim_Date!A:A)</f>
        <v>20250529</v>
      </c>
      <c r="C178">
        <f>_xlfn.XLOOKUP(clean_sales!C178,Dim_Customer!B:B,Dim_Customer!A:A)</f>
        <v>155</v>
      </c>
      <c r="D178">
        <f>_xlfn.XLOOKUP(clean_sales!I178,Dim_Product!B:B,Dim_Product!A:A)</f>
        <v>1</v>
      </c>
      <c r="E178">
        <f>clean_sales!L178</f>
        <v>1</v>
      </c>
      <c r="F178">
        <f>clean_sales!T178</f>
        <v>12000</v>
      </c>
    </row>
    <row r="179" spans="1:6" x14ac:dyDescent="0.35">
      <c r="A179" t="str">
        <v>TXN100177</v>
      </c>
      <c r="B179">
        <f>_xlfn.XLOOKUP(clean_sales!P179,Dim_Date!B:B,Dim_Date!A:A)</f>
        <v>20251204</v>
      </c>
      <c r="C179">
        <f>_xlfn.XLOOKUP(clean_sales!C179,Dim_Customer!B:B,Dim_Customer!A:A)</f>
        <v>101</v>
      </c>
      <c r="D179">
        <f>_xlfn.XLOOKUP(clean_sales!I179,Dim_Product!B:B,Dim_Product!A:A)</f>
        <v>6</v>
      </c>
      <c r="E179">
        <f>clean_sales!L179</f>
        <v>2</v>
      </c>
      <c r="F179">
        <f>clean_sales!T179</f>
        <v>144000</v>
      </c>
    </row>
    <row r="180" spans="1:6" x14ac:dyDescent="0.35">
      <c r="A180" t="str">
        <v>TXN100178</v>
      </c>
      <c r="B180">
        <f>_xlfn.XLOOKUP(clean_sales!P180,Dim_Date!B:B,Dim_Date!A:A)</f>
        <v>20251213</v>
      </c>
      <c r="C180">
        <f>_xlfn.XLOOKUP(clean_sales!C180,Dim_Customer!B:B,Dim_Customer!A:A)</f>
        <v>156</v>
      </c>
      <c r="D180">
        <f>_xlfn.XLOOKUP(clean_sales!I180,Dim_Product!B:B,Dim_Product!A:A)</f>
        <v>7</v>
      </c>
      <c r="E180">
        <f>clean_sales!L180</f>
        <v>3</v>
      </c>
      <c r="F180">
        <f>clean_sales!T180</f>
        <v>174000</v>
      </c>
    </row>
    <row r="181" spans="1:6" x14ac:dyDescent="0.35">
      <c r="A181" t="str">
        <v>TXN100179</v>
      </c>
      <c r="B181">
        <f>_xlfn.XLOOKUP(clean_sales!P181,Dim_Date!B:B,Dim_Date!A:A)</f>
        <v>20250216</v>
      </c>
      <c r="C181">
        <f>_xlfn.XLOOKUP(clean_sales!C181,Dim_Customer!B:B,Dim_Customer!A:A)</f>
        <v>133</v>
      </c>
      <c r="D181">
        <f>_xlfn.XLOOKUP(clean_sales!I181,Dim_Product!B:B,Dim_Product!A:A)</f>
        <v>2</v>
      </c>
      <c r="E181">
        <f>clean_sales!L181</f>
        <v>4</v>
      </c>
      <c r="F181">
        <f>clean_sales!T181</f>
        <v>260000</v>
      </c>
    </row>
    <row r="182" spans="1:6" x14ac:dyDescent="0.35">
      <c r="A182" t="str">
        <v>TXN100180</v>
      </c>
      <c r="B182">
        <f>_xlfn.XLOOKUP(clean_sales!P182,Dim_Date!B:B,Dim_Date!A:A)</f>
        <v>20250506</v>
      </c>
      <c r="C182">
        <f>_xlfn.XLOOKUP(clean_sales!C182,Dim_Customer!B:B,Dim_Customer!A:A)</f>
        <v>157</v>
      </c>
      <c r="D182">
        <f>_xlfn.XLOOKUP(clean_sales!I182,Dim_Product!B:B,Dim_Product!A:A)</f>
        <v>1</v>
      </c>
      <c r="E182">
        <f>clean_sales!L182</f>
        <v>3</v>
      </c>
      <c r="F182">
        <f>clean_sales!T182</f>
        <v>36000</v>
      </c>
    </row>
    <row r="183" spans="1:6" x14ac:dyDescent="0.35">
      <c r="A183" t="str">
        <v>TXN100181</v>
      </c>
      <c r="B183">
        <f>_xlfn.XLOOKUP(clean_sales!P183,Dim_Date!B:B,Dim_Date!A:A)</f>
        <v>20250804</v>
      </c>
      <c r="C183">
        <f>_xlfn.XLOOKUP(clean_sales!C183,Dim_Customer!B:B,Dim_Customer!A:A)</f>
        <v>119</v>
      </c>
      <c r="D183">
        <f>_xlfn.XLOOKUP(clean_sales!I183,Dim_Product!B:B,Dim_Product!A:A)</f>
        <v>5</v>
      </c>
      <c r="E183">
        <f>clean_sales!L183</f>
        <v>1</v>
      </c>
      <c r="F183">
        <f>clean_sales!T183</f>
        <v>1800</v>
      </c>
    </row>
    <row r="184" spans="1:6" x14ac:dyDescent="0.35">
      <c r="A184" t="str">
        <v>TXN100182</v>
      </c>
      <c r="B184">
        <f>_xlfn.XLOOKUP(clean_sales!P184,Dim_Date!B:B,Dim_Date!A:A)</f>
        <v>20250505</v>
      </c>
      <c r="C184">
        <f>_xlfn.XLOOKUP(clean_sales!C184,Dim_Customer!B:B,Dim_Customer!A:A)</f>
        <v>42</v>
      </c>
      <c r="D184">
        <f>_xlfn.XLOOKUP(clean_sales!I184,Dim_Product!B:B,Dim_Product!A:A)</f>
        <v>1</v>
      </c>
      <c r="E184">
        <f>clean_sales!L184</f>
        <v>1</v>
      </c>
      <c r="F184">
        <f>clean_sales!T184</f>
        <v>12000</v>
      </c>
    </row>
    <row r="185" spans="1:6" x14ac:dyDescent="0.35">
      <c r="A185" t="str">
        <v>TXN100183</v>
      </c>
      <c r="B185">
        <f>_xlfn.XLOOKUP(clean_sales!P185,Dim_Date!B:B,Dim_Date!A:A)</f>
        <v>20251227</v>
      </c>
      <c r="C185">
        <f>_xlfn.XLOOKUP(clean_sales!C185,Dim_Customer!B:B,Dim_Customer!A:A)</f>
        <v>86</v>
      </c>
      <c r="D185">
        <f>_xlfn.XLOOKUP(clean_sales!I185,Dim_Product!B:B,Dim_Product!A:A)</f>
        <v>1</v>
      </c>
      <c r="E185">
        <f>clean_sales!L185</f>
        <v>5</v>
      </c>
      <c r="F185">
        <f>clean_sales!T185</f>
        <v>60000</v>
      </c>
    </row>
    <row r="186" spans="1:6" x14ac:dyDescent="0.35">
      <c r="A186" t="str">
        <v>TXN100184</v>
      </c>
      <c r="B186">
        <f>_xlfn.XLOOKUP(clean_sales!P186,Dim_Date!B:B,Dim_Date!A:A)</f>
        <v>20250630</v>
      </c>
      <c r="C186">
        <f>_xlfn.XLOOKUP(clean_sales!C186,Dim_Customer!B:B,Dim_Customer!A:A)</f>
        <v>110</v>
      </c>
      <c r="D186">
        <f>_xlfn.XLOOKUP(clean_sales!I186,Dim_Product!B:B,Dim_Product!A:A)</f>
        <v>6</v>
      </c>
      <c r="E186">
        <f>clean_sales!L186</f>
        <v>2</v>
      </c>
      <c r="F186">
        <f>clean_sales!T186</f>
        <v>144000</v>
      </c>
    </row>
    <row r="187" spans="1:6" x14ac:dyDescent="0.35">
      <c r="A187" t="str">
        <v>TXN100185</v>
      </c>
      <c r="B187">
        <f>_xlfn.XLOOKUP(clean_sales!P187,Dim_Date!B:B,Dim_Date!A:A)</f>
        <v>20250715</v>
      </c>
      <c r="C187">
        <f>_xlfn.XLOOKUP(clean_sales!C187,Dim_Customer!B:B,Dim_Customer!A:A)</f>
        <v>158</v>
      </c>
      <c r="D187">
        <f>_xlfn.XLOOKUP(clean_sales!I187,Dim_Product!B:B,Dim_Product!A:A)</f>
        <v>5</v>
      </c>
      <c r="E187">
        <f>clean_sales!L187</f>
        <v>3</v>
      </c>
      <c r="F187">
        <f>clean_sales!T187</f>
        <v>5400</v>
      </c>
    </row>
    <row r="188" spans="1:6" x14ac:dyDescent="0.35">
      <c r="A188" t="str">
        <v>TXN100186</v>
      </c>
      <c r="B188">
        <f>_xlfn.XLOOKUP(clean_sales!P188,Dim_Date!B:B,Dim_Date!A:A)</f>
        <v>20251003</v>
      </c>
      <c r="C188">
        <f>_xlfn.XLOOKUP(clean_sales!C188,Dim_Customer!B:B,Dim_Customer!A:A)</f>
        <v>159</v>
      </c>
      <c r="D188">
        <f>_xlfn.XLOOKUP(clean_sales!I188,Dim_Product!B:B,Dim_Product!A:A)</f>
        <v>6</v>
      </c>
      <c r="E188">
        <f>clean_sales!L188</f>
        <v>2</v>
      </c>
      <c r="F188">
        <f>clean_sales!T188</f>
        <v>144000</v>
      </c>
    </row>
    <row r="189" spans="1:6" x14ac:dyDescent="0.35">
      <c r="A189" t="str">
        <v>TXN100187</v>
      </c>
      <c r="B189">
        <f>_xlfn.XLOOKUP(clean_sales!P189,Dim_Date!B:B,Dim_Date!A:A)</f>
        <v>20250210</v>
      </c>
      <c r="C189">
        <f>_xlfn.XLOOKUP(clean_sales!C189,Dim_Customer!B:B,Dim_Customer!A:A)</f>
        <v>160</v>
      </c>
      <c r="D189">
        <f>_xlfn.XLOOKUP(clean_sales!I189,Dim_Product!B:B,Dim_Product!A:A)</f>
        <v>6</v>
      </c>
      <c r="E189">
        <f>clean_sales!L189</f>
        <v>5</v>
      </c>
      <c r="F189">
        <f>clean_sales!T189</f>
        <v>360000</v>
      </c>
    </row>
    <row r="190" spans="1:6" x14ac:dyDescent="0.35">
      <c r="A190" t="str">
        <v>TXN100188</v>
      </c>
      <c r="B190">
        <f>_xlfn.XLOOKUP(clean_sales!P190,Dim_Date!B:B,Dim_Date!A:A)</f>
        <v>20250121</v>
      </c>
      <c r="C190">
        <f>_xlfn.XLOOKUP(clean_sales!C190,Dim_Customer!B:B,Dim_Customer!A:A)</f>
        <v>161</v>
      </c>
      <c r="D190">
        <f>_xlfn.XLOOKUP(clean_sales!I190,Dim_Product!B:B,Dim_Product!A:A)</f>
        <v>5</v>
      </c>
      <c r="E190">
        <f>clean_sales!L190</f>
        <v>1</v>
      </c>
      <c r="F190">
        <f>clean_sales!T190</f>
        <v>1800</v>
      </c>
    </row>
    <row r="191" spans="1:6" x14ac:dyDescent="0.35">
      <c r="A191" t="str">
        <v>TXN100189</v>
      </c>
      <c r="B191">
        <f>_xlfn.XLOOKUP(clean_sales!P191,Dim_Date!B:B,Dim_Date!A:A)</f>
        <v>20250822</v>
      </c>
      <c r="C191">
        <f>_xlfn.XLOOKUP(clean_sales!C191,Dim_Customer!B:B,Dim_Customer!A:A)</f>
        <v>162</v>
      </c>
      <c r="D191">
        <f>_xlfn.XLOOKUP(clean_sales!I191,Dim_Product!B:B,Dim_Product!A:A)</f>
        <v>3</v>
      </c>
      <c r="E191">
        <f>clean_sales!L191</f>
        <v>1</v>
      </c>
      <c r="F191">
        <f>clean_sales!T191</f>
        <v>5000</v>
      </c>
    </row>
    <row r="192" spans="1:6" x14ac:dyDescent="0.35">
      <c r="A192" t="str">
        <v>TXN100190</v>
      </c>
      <c r="B192">
        <f>_xlfn.XLOOKUP(clean_sales!P192,Dim_Date!B:B,Dim_Date!A:A)</f>
        <v>20250723</v>
      </c>
      <c r="C192">
        <f>_xlfn.XLOOKUP(clean_sales!C192,Dim_Customer!B:B,Dim_Customer!A:A)</f>
        <v>163</v>
      </c>
      <c r="D192">
        <f>_xlfn.XLOOKUP(clean_sales!I192,Dim_Product!B:B,Dim_Product!A:A)</f>
        <v>5</v>
      </c>
      <c r="E192">
        <f>clean_sales!L192</f>
        <v>4</v>
      </c>
      <c r="F192">
        <f>clean_sales!T192</f>
        <v>7200</v>
      </c>
    </row>
    <row r="193" spans="1:6" x14ac:dyDescent="0.35">
      <c r="A193" t="str">
        <v>TXN100191</v>
      </c>
      <c r="B193">
        <f>_xlfn.XLOOKUP(clean_sales!P193,Dim_Date!B:B,Dim_Date!A:A)</f>
        <v>20251022</v>
      </c>
      <c r="C193">
        <f>_xlfn.XLOOKUP(clean_sales!C193,Dim_Customer!B:B,Dim_Customer!A:A)</f>
        <v>164</v>
      </c>
      <c r="D193">
        <f>_xlfn.XLOOKUP(clean_sales!I193,Dim_Product!B:B,Dim_Product!A:A)</f>
        <v>2</v>
      </c>
      <c r="E193">
        <f>clean_sales!L193</f>
        <v>2</v>
      </c>
      <c r="F193">
        <f>clean_sales!T193</f>
        <v>130000</v>
      </c>
    </row>
    <row r="194" spans="1:6" x14ac:dyDescent="0.35">
      <c r="A194" t="str">
        <v>TXN100192</v>
      </c>
      <c r="B194">
        <f>_xlfn.XLOOKUP(clean_sales!P194,Dim_Date!B:B,Dim_Date!A:A)</f>
        <v>20250426</v>
      </c>
      <c r="C194">
        <f>_xlfn.XLOOKUP(clean_sales!C194,Dim_Customer!B:B,Dim_Customer!A:A)</f>
        <v>165</v>
      </c>
      <c r="D194">
        <f>_xlfn.XLOOKUP(clean_sales!I194,Dim_Product!B:B,Dim_Product!A:A)</f>
        <v>5</v>
      </c>
      <c r="E194">
        <f>clean_sales!L194</f>
        <v>5</v>
      </c>
      <c r="F194">
        <f>clean_sales!T194</f>
        <v>9000</v>
      </c>
    </row>
    <row r="195" spans="1:6" x14ac:dyDescent="0.35">
      <c r="A195" t="str">
        <v>TXN100193</v>
      </c>
      <c r="B195">
        <f>_xlfn.XLOOKUP(clean_sales!P195,Dim_Date!B:B,Dim_Date!A:A)</f>
        <v>20250523</v>
      </c>
      <c r="C195">
        <f>_xlfn.XLOOKUP(clean_sales!C195,Dim_Customer!B:B,Dim_Customer!A:A)</f>
        <v>166</v>
      </c>
      <c r="D195">
        <f>_xlfn.XLOOKUP(clean_sales!I195,Dim_Product!B:B,Dim_Product!A:A)</f>
        <v>2</v>
      </c>
      <c r="E195">
        <f>clean_sales!L195</f>
        <v>4</v>
      </c>
      <c r="F195">
        <f>clean_sales!T195</f>
        <v>260000</v>
      </c>
    </row>
    <row r="196" spans="1:6" x14ac:dyDescent="0.35">
      <c r="A196" t="str">
        <v>TXN100194</v>
      </c>
      <c r="B196">
        <f>_xlfn.XLOOKUP(clean_sales!P196,Dim_Date!B:B,Dim_Date!A:A)</f>
        <v>20250129</v>
      </c>
      <c r="C196">
        <f>_xlfn.XLOOKUP(clean_sales!C196,Dim_Customer!B:B,Dim_Customer!A:A)</f>
        <v>103</v>
      </c>
      <c r="D196">
        <f>_xlfn.XLOOKUP(clean_sales!I196,Dim_Product!B:B,Dim_Product!A:A)</f>
        <v>7</v>
      </c>
      <c r="E196">
        <f>clean_sales!L196</f>
        <v>3</v>
      </c>
      <c r="F196">
        <f>clean_sales!T196</f>
        <v>174000</v>
      </c>
    </row>
    <row r="197" spans="1:6" x14ac:dyDescent="0.35">
      <c r="A197" t="str">
        <v>TXN100195</v>
      </c>
      <c r="B197">
        <f>_xlfn.XLOOKUP(clean_sales!P197,Dim_Date!B:B,Dim_Date!A:A)</f>
        <v>20251101</v>
      </c>
      <c r="C197">
        <f>_xlfn.XLOOKUP(clean_sales!C197,Dim_Customer!B:B,Dim_Customer!A:A)</f>
        <v>167</v>
      </c>
      <c r="D197">
        <f>_xlfn.XLOOKUP(clean_sales!I197,Dim_Product!B:B,Dim_Product!A:A)</f>
        <v>7</v>
      </c>
      <c r="E197">
        <f>clean_sales!L197</f>
        <v>2</v>
      </c>
      <c r="F197">
        <f>clean_sales!T197</f>
        <v>116000</v>
      </c>
    </row>
    <row r="198" spans="1:6" x14ac:dyDescent="0.35">
      <c r="A198" t="str">
        <v>TXN100196</v>
      </c>
      <c r="B198">
        <f>_xlfn.XLOOKUP(clean_sales!P198,Dim_Date!B:B,Dim_Date!A:A)</f>
        <v>20250217</v>
      </c>
      <c r="C198">
        <f>_xlfn.XLOOKUP(clean_sales!C198,Dim_Customer!B:B,Dim_Customer!A:A)</f>
        <v>93</v>
      </c>
      <c r="D198">
        <f>_xlfn.XLOOKUP(clean_sales!I198,Dim_Product!B:B,Dim_Product!A:A)</f>
        <v>5</v>
      </c>
      <c r="E198">
        <f>clean_sales!L198</f>
        <v>1</v>
      </c>
      <c r="F198">
        <f>clean_sales!T198</f>
        <v>1800</v>
      </c>
    </row>
    <row r="199" spans="1:6" x14ac:dyDescent="0.35">
      <c r="A199" t="str">
        <v>TXN100197</v>
      </c>
      <c r="B199">
        <f>_xlfn.XLOOKUP(clean_sales!P199,Dim_Date!B:B,Dim_Date!A:A)</f>
        <v>20251201</v>
      </c>
      <c r="C199">
        <f>_xlfn.XLOOKUP(clean_sales!C199,Dim_Customer!B:B,Dim_Customer!A:A)</f>
        <v>168</v>
      </c>
      <c r="D199">
        <f>_xlfn.XLOOKUP(clean_sales!I199,Dim_Product!B:B,Dim_Product!A:A)</f>
        <v>6</v>
      </c>
      <c r="E199">
        <f>clean_sales!L199</f>
        <v>1</v>
      </c>
      <c r="F199">
        <f>clean_sales!T199</f>
        <v>72000</v>
      </c>
    </row>
    <row r="200" spans="1:6" x14ac:dyDescent="0.35">
      <c r="A200" t="str">
        <v>TXN100198</v>
      </c>
      <c r="B200">
        <f>_xlfn.XLOOKUP(clean_sales!P200,Dim_Date!B:B,Dim_Date!A:A)</f>
        <v>20260103</v>
      </c>
      <c r="C200">
        <f>_xlfn.XLOOKUP(clean_sales!C200,Dim_Customer!B:B,Dim_Customer!A:A)</f>
        <v>169</v>
      </c>
      <c r="D200">
        <f>_xlfn.XLOOKUP(clean_sales!I200,Dim_Product!B:B,Dim_Product!A:A)</f>
        <v>5</v>
      </c>
      <c r="E200">
        <f>clean_sales!L200</f>
        <v>4</v>
      </c>
      <c r="F200">
        <f>clean_sales!T200</f>
        <v>7200</v>
      </c>
    </row>
    <row r="201" spans="1:6" x14ac:dyDescent="0.35">
      <c r="A201" t="str">
        <v>TXN100199</v>
      </c>
      <c r="B201">
        <f>_xlfn.XLOOKUP(clean_sales!P201,Dim_Date!B:B,Dim_Date!A:A)</f>
        <v>20250516</v>
      </c>
      <c r="C201">
        <f>_xlfn.XLOOKUP(clean_sales!C201,Dim_Customer!B:B,Dim_Customer!A:A)</f>
        <v>170</v>
      </c>
      <c r="D201">
        <f>_xlfn.XLOOKUP(clean_sales!I201,Dim_Product!B:B,Dim_Product!A:A)</f>
        <v>1</v>
      </c>
      <c r="E201">
        <f>clean_sales!L201</f>
        <v>1</v>
      </c>
      <c r="F201">
        <f>clean_sales!T201</f>
        <v>12000</v>
      </c>
    </row>
    <row r="202" spans="1:6" x14ac:dyDescent="0.35">
      <c r="A202" t="str">
        <v>TXN100200</v>
      </c>
      <c r="B202">
        <f>_xlfn.XLOOKUP(clean_sales!P202,Dim_Date!B:B,Dim_Date!A:A)</f>
        <v>20251111</v>
      </c>
      <c r="C202">
        <f>_xlfn.XLOOKUP(clean_sales!C202,Dim_Customer!B:B,Dim_Customer!A:A)</f>
        <v>171</v>
      </c>
      <c r="D202">
        <f>_xlfn.XLOOKUP(clean_sales!I202,Dim_Product!B:B,Dim_Product!A:A)</f>
        <v>2</v>
      </c>
      <c r="E202">
        <f>clean_sales!L202</f>
        <v>5</v>
      </c>
      <c r="F202">
        <f>clean_sales!T202</f>
        <v>325000</v>
      </c>
    </row>
    <row r="203" spans="1:6" x14ac:dyDescent="0.35">
      <c r="A203" t="str">
        <v>TXN100201</v>
      </c>
      <c r="B203">
        <f>_xlfn.XLOOKUP(clean_sales!P203,Dim_Date!B:B,Dim_Date!A:A)</f>
        <v>20251225</v>
      </c>
      <c r="C203">
        <f>_xlfn.XLOOKUP(clean_sales!C203,Dim_Customer!B:B,Dim_Customer!A:A)</f>
        <v>172</v>
      </c>
      <c r="D203">
        <f>_xlfn.XLOOKUP(clean_sales!I203,Dim_Product!B:B,Dim_Product!A:A)</f>
        <v>6</v>
      </c>
      <c r="E203">
        <f>clean_sales!L203</f>
        <v>1</v>
      </c>
      <c r="F203">
        <f>clean_sales!T203</f>
        <v>72000</v>
      </c>
    </row>
    <row r="204" spans="1:6" x14ac:dyDescent="0.35">
      <c r="A204" t="str">
        <v>TXN100202</v>
      </c>
      <c r="B204">
        <f>_xlfn.XLOOKUP(clean_sales!P204,Dim_Date!B:B,Dim_Date!A:A)</f>
        <v>20250709</v>
      </c>
      <c r="C204">
        <f>_xlfn.XLOOKUP(clean_sales!C204,Dim_Customer!B:B,Dim_Customer!A:A)</f>
        <v>173</v>
      </c>
      <c r="D204">
        <f>_xlfn.XLOOKUP(clean_sales!I204,Dim_Product!B:B,Dim_Product!A:A)</f>
        <v>5</v>
      </c>
      <c r="E204">
        <f>clean_sales!L204</f>
        <v>2</v>
      </c>
      <c r="F204">
        <f>clean_sales!T204</f>
        <v>3600</v>
      </c>
    </row>
    <row r="205" spans="1:6" x14ac:dyDescent="0.35">
      <c r="A205" t="str">
        <v>TXN100203</v>
      </c>
      <c r="B205">
        <f>_xlfn.XLOOKUP(clean_sales!P205,Dim_Date!B:B,Dim_Date!A:A)</f>
        <v>20251210</v>
      </c>
      <c r="C205">
        <f>_xlfn.XLOOKUP(clean_sales!C205,Dim_Customer!B:B,Dim_Customer!A:A)</f>
        <v>174</v>
      </c>
      <c r="D205">
        <f>_xlfn.XLOOKUP(clean_sales!I205,Dim_Product!B:B,Dim_Product!A:A)</f>
        <v>7</v>
      </c>
      <c r="E205">
        <f>clean_sales!L205</f>
        <v>1</v>
      </c>
      <c r="F205">
        <f>clean_sales!T205</f>
        <v>58000</v>
      </c>
    </row>
    <row r="206" spans="1:6" x14ac:dyDescent="0.35">
      <c r="A206" t="str">
        <v>TXN100204</v>
      </c>
      <c r="B206">
        <f>_xlfn.XLOOKUP(clean_sales!P206,Dim_Date!B:B,Dim_Date!A:A)</f>
        <v>20250731</v>
      </c>
      <c r="C206">
        <f>_xlfn.XLOOKUP(clean_sales!C206,Dim_Customer!B:B,Dim_Customer!A:A)</f>
        <v>175</v>
      </c>
      <c r="D206">
        <f>_xlfn.XLOOKUP(clean_sales!I206,Dim_Product!B:B,Dim_Product!A:A)</f>
        <v>3</v>
      </c>
      <c r="E206">
        <f>clean_sales!L206</f>
        <v>5</v>
      </c>
      <c r="F206">
        <f>clean_sales!T206</f>
        <v>25000</v>
      </c>
    </row>
    <row r="207" spans="1:6" x14ac:dyDescent="0.35">
      <c r="A207" t="str">
        <v>TXN100205</v>
      </c>
      <c r="B207">
        <f>_xlfn.XLOOKUP(clean_sales!P207,Dim_Date!B:B,Dim_Date!A:A)</f>
        <v>20250619</v>
      </c>
      <c r="C207">
        <f>_xlfn.XLOOKUP(clean_sales!C207,Dim_Customer!B:B,Dim_Customer!A:A)</f>
        <v>106</v>
      </c>
      <c r="D207">
        <f>_xlfn.XLOOKUP(clean_sales!I207,Dim_Product!B:B,Dim_Product!A:A)</f>
        <v>7</v>
      </c>
      <c r="E207">
        <f>clean_sales!L207</f>
        <v>1</v>
      </c>
      <c r="F207">
        <f>clean_sales!T207</f>
        <v>58000</v>
      </c>
    </row>
    <row r="208" spans="1:6" x14ac:dyDescent="0.35">
      <c r="A208" t="str">
        <v>TXN100206</v>
      </c>
      <c r="B208">
        <f>_xlfn.XLOOKUP(clean_sales!P208,Dim_Date!B:B,Dim_Date!A:A)</f>
        <v>20250525</v>
      </c>
      <c r="C208">
        <f>_xlfn.XLOOKUP(clean_sales!C208,Dim_Customer!B:B,Dim_Customer!A:A)</f>
        <v>176</v>
      </c>
      <c r="D208">
        <f>_xlfn.XLOOKUP(clean_sales!I208,Dim_Product!B:B,Dim_Product!A:A)</f>
        <v>5</v>
      </c>
      <c r="E208">
        <f>clean_sales!L208</f>
        <v>5</v>
      </c>
      <c r="F208">
        <f>clean_sales!T208</f>
        <v>9000</v>
      </c>
    </row>
    <row r="209" spans="1:6" x14ac:dyDescent="0.35">
      <c r="A209" t="str">
        <v>TXN100207</v>
      </c>
      <c r="B209">
        <f>_xlfn.XLOOKUP(clean_sales!P209,Dim_Date!B:B,Dim_Date!A:A)</f>
        <v>20250111</v>
      </c>
      <c r="C209">
        <f>_xlfn.XLOOKUP(clean_sales!C209,Dim_Customer!B:B,Dim_Customer!A:A)</f>
        <v>177</v>
      </c>
      <c r="D209">
        <f>_xlfn.XLOOKUP(clean_sales!I209,Dim_Product!B:B,Dim_Product!A:A)</f>
        <v>7</v>
      </c>
      <c r="E209">
        <f>clean_sales!L209</f>
        <v>4</v>
      </c>
      <c r="F209">
        <f>clean_sales!T209</f>
        <v>232000</v>
      </c>
    </row>
    <row r="210" spans="1:6" x14ac:dyDescent="0.35">
      <c r="A210" t="str">
        <v>TXN100208</v>
      </c>
      <c r="B210">
        <f>_xlfn.XLOOKUP(clean_sales!P210,Dim_Date!B:B,Dim_Date!A:A)</f>
        <v>20250513</v>
      </c>
      <c r="C210">
        <f>_xlfn.XLOOKUP(clean_sales!C210,Dim_Customer!B:B,Dim_Customer!A:A)</f>
        <v>178</v>
      </c>
      <c r="D210">
        <f>_xlfn.XLOOKUP(clean_sales!I210,Dim_Product!B:B,Dim_Product!A:A)</f>
        <v>4</v>
      </c>
      <c r="E210">
        <f>clean_sales!L210</f>
        <v>5</v>
      </c>
      <c r="F210">
        <f>clean_sales!T210</f>
        <v>22500</v>
      </c>
    </row>
    <row r="211" spans="1:6" x14ac:dyDescent="0.35">
      <c r="A211" t="str">
        <v>TXN100209</v>
      </c>
      <c r="B211">
        <f>_xlfn.XLOOKUP(clean_sales!P211,Dim_Date!B:B,Dim_Date!A:A)</f>
        <v>20250911</v>
      </c>
      <c r="C211">
        <f>_xlfn.XLOOKUP(clean_sales!C211,Dim_Customer!B:B,Dim_Customer!A:A)</f>
        <v>179</v>
      </c>
      <c r="D211">
        <f>_xlfn.XLOOKUP(clean_sales!I211,Dim_Product!B:B,Dim_Product!A:A)</f>
        <v>3</v>
      </c>
      <c r="E211">
        <f>clean_sales!L211</f>
        <v>3</v>
      </c>
      <c r="F211">
        <f>clean_sales!T211</f>
        <v>15000</v>
      </c>
    </row>
    <row r="212" spans="1:6" x14ac:dyDescent="0.35">
      <c r="A212" t="str">
        <v>TXN100210</v>
      </c>
      <c r="B212">
        <f>_xlfn.XLOOKUP(clean_sales!P212,Dim_Date!B:B,Dim_Date!A:A)</f>
        <v>20250314</v>
      </c>
      <c r="C212">
        <f>_xlfn.XLOOKUP(clean_sales!C212,Dim_Customer!B:B,Dim_Customer!A:A)</f>
        <v>180</v>
      </c>
      <c r="D212">
        <f>_xlfn.XLOOKUP(clean_sales!I212,Dim_Product!B:B,Dim_Product!A:A)</f>
        <v>3</v>
      </c>
      <c r="E212">
        <f>clean_sales!L212</f>
        <v>1</v>
      </c>
      <c r="F212">
        <f>clean_sales!T212</f>
        <v>5000</v>
      </c>
    </row>
    <row r="213" spans="1:6" x14ac:dyDescent="0.35">
      <c r="A213" t="str">
        <v>TXN100211</v>
      </c>
      <c r="B213">
        <f>_xlfn.XLOOKUP(clean_sales!P213,Dim_Date!B:B,Dim_Date!A:A)</f>
        <v>20250911</v>
      </c>
      <c r="C213">
        <f>_xlfn.XLOOKUP(clean_sales!C213,Dim_Customer!B:B,Dim_Customer!A:A)</f>
        <v>181</v>
      </c>
      <c r="D213">
        <f>_xlfn.XLOOKUP(clean_sales!I213,Dim_Product!B:B,Dim_Product!A:A)</f>
        <v>6</v>
      </c>
      <c r="E213">
        <f>clean_sales!L213</f>
        <v>5</v>
      </c>
      <c r="F213">
        <f>clean_sales!T213</f>
        <v>360000</v>
      </c>
    </row>
    <row r="214" spans="1:6" x14ac:dyDescent="0.35">
      <c r="A214" t="str">
        <v>TXN100212</v>
      </c>
      <c r="B214">
        <f>_xlfn.XLOOKUP(clean_sales!P214,Dim_Date!B:B,Dim_Date!A:A)</f>
        <v>20251205</v>
      </c>
      <c r="C214">
        <f>_xlfn.XLOOKUP(clean_sales!C214,Dim_Customer!B:B,Dim_Customer!A:A)</f>
        <v>182</v>
      </c>
      <c r="D214">
        <f>_xlfn.XLOOKUP(clean_sales!I214,Dim_Product!B:B,Dim_Product!A:A)</f>
        <v>2</v>
      </c>
      <c r="E214">
        <f>clean_sales!L214</f>
        <v>4</v>
      </c>
      <c r="F214">
        <f>clean_sales!T214</f>
        <v>260000</v>
      </c>
    </row>
    <row r="215" spans="1:6" x14ac:dyDescent="0.35">
      <c r="A215" t="str">
        <v>TXN100213</v>
      </c>
      <c r="B215">
        <f>_xlfn.XLOOKUP(clean_sales!P215,Dim_Date!B:B,Dim_Date!A:A)</f>
        <v>20250318</v>
      </c>
      <c r="C215">
        <f>_xlfn.XLOOKUP(clean_sales!C215,Dim_Customer!B:B,Dim_Customer!A:A)</f>
        <v>183</v>
      </c>
      <c r="D215">
        <f>_xlfn.XLOOKUP(clean_sales!I215,Dim_Product!B:B,Dim_Product!A:A)</f>
        <v>3</v>
      </c>
      <c r="E215">
        <f>clean_sales!L215</f>
        <v>1</v>
      </c>
      <c r="F215">
        <f>clean_sales!T215</f>
        <v>5000</v>
      </c>
    </row>
    <row r="216" spans="1:6" x14ac:dyDescent="0.35">
      <c r="A216" t="str">
        <v>TXN100214</v>
      </c>
      <c r="B216">
        <f>_xlfn.XLOOKUP(clean_sales!P216,Dim_Date!B:B,Dim_Date!A:A)</f>
        <v>20250423</v>
      </c>
      <c r="C216">
        <f>_xlfn.XLOOKUP(clean_sales!C216,Dim_Customer!B:B,Dim_Customer!A:A)</f>
        <v>184</v>
      </c>
      <c r="D216">
        <f>_xlfn.XLOOKUP(clean_sales!I216,Dim_Product!B:B,Dim_Product!A:A)</f>
        <v>7</v>
      </c>
      <c r="E216">
        <f>clean_sales!L216</f>
        <v>3</v>
      </c>
      <c r="F216">
        <f>clean_sales!T216</f>
        <v>174000</v>
      </c>
    </row>
    <row r="217" spans="1:6" x14ac:dyDescent="0.35">
      <c r="A217" t="str">
        <v>TXN100215</v>
      </c>
      <c r="B217">
        <f>_xlfn.XLOOKUP(clean_sales!P217,Dim_Date!B:B,Dim_Date!A:A)</f>
        <v>20250513</v>
      </c>
      <c r="C217">
        <f>_xlfn.XLOOKUP(clean_sales!C217,Dim_Customer!B:B,Dim_Customer!A:A)</f>
        <v>17</v>
      </c>
      <c r="D217">
        <f>_xlfn.XLOOKUP(clean_sales!I217,Dim_Product!B:B,Dim_Product!A:A)</f>
        <v>3</v>
      </c>
      <c r="E217">
        <f>clean_sales!L217</f>
        <v>4</v>
      </c>
      <c r="F217">
        <f>clean_sales!T217</f>
        <v>20000</v>
      </c>
    </row>
    <row r="218" spans="1:6" x14ac:dyDescent="0.35">
      <c r="A218" t="str">
        <v>TXN100216</v>
      </c>
      <c r="B218">
        <f>_xlfn.XLOOKUP(clean_sales!P218,Dim_Date!B:B,Dim_Date!A:A)</f>
        <v>20250318</v>
      </c>
      <c r="C218">
        <f>_xlfn.XLOOKUP(clean_sales!C218,Dim_Customer!B:B,Dim_Customer!A:A)</f>
        <v>185</v>
      </c>
      <c r="D218">
        <f>_xlfn.XLOOKUP(clean_sales!I218,Dim_Product!B:B,Dim_Product!A:A)</f>
        <v>2</v>
      </c>
      <c r="E218">
        <f>clean_sales!L218</f>
        <v>2</v>
      </c>
      <c r="F218">
        <f>clean_sales!T218</f>
        <v>130000</v>
      </c>
    </row>
    <row r="219" spans="1:6" x14ac:dyDescent="0.35">
      <c r="A219" t="str">
        <v>TXN100217</v>
      </c>
      <c r="B219">
        <f>_xlfn.XLOOKUP(clean_sales!P219,Dim_Date!B:B,Dim_Date!A:A)</f>
        <v>20250223</v>
      </c>
      <c r="C219">
        <f>_xlfn.XLOOKUP(clean_sales!C219,Dim_Customer!B:B,Dim_Customer!A:A)</f>
        <v>185</v>
      </c>
      <c r="D219">
        <f>_xlfn.XLOOKUP(clean_sales!I219,Dim_Product!B:B,Dim_Product!A:A)</f>
        <v>1</v>
      </c>
      <c r="E219">
        <f>clean_sales!L219</f>
        <v>2</v>
      </c>
      <c r="F219">
        <f>clean_sales!T219</f>
        <v>24000</v>
      </c>
    </row>
    <row r="220" spans="1:6" x14ac:dyDescent="0.35">
      <c r="A220" t="str">
        <v>TXN100218</v>
      </c>
      <c r="B220">
        <f>_xlfn.XLOOKUP(clean_sales!P220,Dim_Date!B:B,Dim_Date!A:A)</f>
        <v>20250920</v>
      </c>
      <c r="C220">
        <f>_xlfn.XLOOKUP(clean_sales!C220,Dim_Customer!B:B,Dim_Customer!A:A)</f>
        <v>186</v>
      </c>
      <c r="D220">
        <f>_xlfn.XLOOKUP(clean_sales!I220,Dim_Product!B:B,Dim_Product!A:A)</f>
        <v>5</v>
      </c>
      <c r="E220">
        <f>clean_sales!L220</f>
        <v>5</v>
      </c>
      <c r="F220">
        <f>clean_sales!T220</f>
        <v>9000</v>
      </c>
    </row>
    <row r="221" spans="1:6" x14ac:dyDescent="0.35">
      <c r="A221" t="str">
        <v>TXN100219</v>
      </c>
      <c r="B221">
        <f>_xlfn.XLOOKUP(clean_sales!P221,Dim_Date!B:B,Dim_Date!A:A)</f>
        <v>20250831</v>
      </c>
      <c r="C221">
        <f>_xlfn.XLOOKUP(clean_sales!C221,Dim_Customer!B:B,Dim_Customer!A:A)</f>
        <v>187</v>
      </c>
      <c r="D221">
        <f>_xlfn.XLOOKUP(clean_sales!I221,Dim_Product!B:B,Dim_Product!A:A)</f>
        <v>3</v>
      </c>
      <c r="E221">
        <f>clean_sales!L221</f>
        <v>2</v>
      </c>
      <c r="F221">
        <f>clean_sales!T221</f>
        <v>10000</v>
      </c>
    </row>
    <row r="222" spans="1:6" x14ac:dyDescent="0.35">
      <c r="A222" t="str">
        <v>TXN100220</v>
      </c>
      <c r="B222">
        <f>_xlfn.XLOOKUP(clean_sales!P222,Dim_Date!B:B,Dim_Date!A:A)</f>
        <v>20250927</v>
      </c>
      <c r="C222">
        <f>_xlfn.XLOOKUP(clean_sales!C222,Dim_Customer!B:B,Dim_Customer!A:A)</f>
        <v>188</v>
      </c>
      <c r="D222">
        <f>_xlfn.XLOOKUP(clean_sales!I222,Dim_Product!B:B,Dim_Product!A:A)</f>
        <v>3</v>
      </c>
      <c r="E222">
        <f>clean_sales!L222</f>
        <v>5</v>
      </c>
      <c r="F222">
        <f>clean_sales!T222</f>
        <v>25000</v>
      </c>
    </row>
    <row r="223" spans="1:6" x14ac:dyDescent="0.35">
      <c r="A223" t="str">
        <v>TXN100221</v>
      </c>
      <c r="B223">
        <f>_xlfn.XLOOKUP(clean_sales!P223,Dim_Date!B:B,Dim_Date!A:A)</f>
        <v>20250719</v>
      </c>
      <c r="C223">
        <f>_xlfn.XLOOKUP(clean_sales!C223,Dim_Customer!B:B,Dim_Customer!A:A)</f>
        <v>189</v>
      </c>
      <c r="D223">
        <f>_xlfn.XLOOKUP(clean_sales!I223,Dim_Product!B:B,Dim_Product!A:A)</f>
        <v>5</v>
      </c>
      <c r="E223">
        <f>clean_sales!L223</f>
        <v>3</v>
      </c>
      <c r="F223">
        <f>clean_sales!T223</f>
        <v>5400</v>
      </c>
    </row>
    <row r="224" spans="1:6" x14ac:dyDescent="0.35">
      <c r="A224" t="str">
        <v>TXN100222</v>
      </c>
      <c r="B224">
        <f>_xlfn.XLOOKUP(clean_sales!P224,Dim_Date!B:B,Dim_Date!A:A)</f>
        <v>20250902</v>
      </c>
      <c r="C224">
        <f>_xlfn.XLOOKUP(clean_sales!C224,Dim_Customer!B:B,Dim_Customer!A:A)</f>
        <v>190</v>
      </c>
      <c r="D224">
        <f>_xlfn.XLOOKUP(clean_sales!I224,Dim_Product!B:B,Dim_Product!A:A)</f>
        <v>2</v>
      </c>
      <c r="E224">
        <f>clean_sales!L224</f>
        <v>2</v>
      </c>
      <c r="F224">
        <f>clean_sales!T224</f>
        <v>130000</v>
      </c>
    </row>
    <row r="225" spans="1:6" x14ac:dyDescent="0.35">
      <c r="A225" t="str">
        <v>TXN100223</v>
      </c>
      <c r="B225">
        <f>_xlfn.XLOOKUP(clean_sales!P225,Dim_Date!B:B,Dim_Date!A:A)</f>
        <v>20250924</v>
      </c>
      <c r="C225">
        <f>_xlfn.XLOOKUP(clean_sales!C225,Dim_Customer!B:B,Dim_Customer!A:A)</f>
        <v>191</v>
      </c>
      <c r="D225">
        <f>_xlfn.XLOOKUP(clean_sales!I225,Dim_Product!B:B,Dim_Product!A:A)</f>
        <v>5</v>
      </c>
      <c r="E225">
        <f>clean_sales!L225</f>
        <v>2</v>
      </c>
      <c r="F225">
        <f>clean_sales!T225</f>
        <v>3600</v>
      </c>
    </row>
    <row r="226" spans="1:6" x14ac:dyDescent="0.35">
      <c r="A226" t="str">
        <v>TXN100224</v>
      </c>
      <c r="B226">
        <f>_xlfn.XLOOKUP(clean_sales!P226,Dim_Date!B:B,Dim_Date!A:A)</f>
        <v>20250619</v>
      </c>
      <c r="C226">
        <f>_xlfn.XLOOKUP(clean_sales!C226,Dim_Customer!B:B,Dim_Customer!A:A)</f>
        <v>192</v>
      </c>
      <c r="D226">
        <f>_xlfn.XLOOKUP(clean_sales!I226,Dim_Product!B:B,Dim_Product!A:A)</f>
        <v>4</v>
      </c>
      <c r="E226">
        <f>clean_sales!L226</f>
        <v>5</v>
      </c>
      <c r="F226">
        <f>clean_sales!T226</f>
        <v>22500</v>
      </c>
    </row>
    <row r="227" spans="1:6" x14ac:dyDescent="0.35">
      <c r="A227" t="str">
        <v>TXN100225</v>
      </c>
      <c r="B227">
        <f>_xlfn.XLOOKUP(clean_sales!P227,Dim_Date!B:B,Dim_Date!A:A)</f>
        <v>20250905</v>
      </c>
      <c r="C227">
        <f>_xlfn.XLOOKUP(clean_sales!C227,Dim_Customer!B:B,Dim_Customer!A:A)</f>
        <v>193</v>
      </c>
      <c r="D227">
        <f>_xlfn.XLOOKUP(clean_sales!I227,Dim_Product!B:B,Dim_Product!A:A)</f>
        <v>2</v>
      </c>
      <c r="E227">
        <f>clean_sales!L227</f>
        <v>1</v>
      </c>
      <c r="F227">
        <f>clean_sales!T227</f>
        <v>65000</v>
      </c>
    </row>
    <row r="228" spans="1:6" x14ac:dyDescent="0.35">
      <c r="A228" t="str">
        <v>TXN100226</v>
      </c>
      <c r="B228">
        <f>_xlfn.XLOOKUP(clean_sales!P228,Dim_Date!B:B,Dim_Date!A:A)</f>
        <v>20251228</v>
      </c>
      <c r="C228">
        <f>_xlfn.XLOOKUP(clean_sales!C228,Dim_Customer!B:B,Dim_Customer!A:A)</f>
        <v>194</v>
      </c>
      <c r="D228">
        <f>_xlfn.XLOOKUP(clean_sales!I228,Dim_Product!B:B,Dim_Product!A:A)</f>
        <v>1</v>
      </c>
      <c r="E228">
        <f>clean_sales!L228</f>
        <v>4</v>
      </c>
      <c r="F228">
        <f>clean_sales!T228</f>
        <v>48000</v>
      </c>
    </row>
    <row r="229" spans="1:6" x14ac:dyDescent="0.35">
      <c r="A229" t="str">
        <v>TXN100227</v>
      </c>
      <c r="B229">
        <f>_xlfn.XLOOKUP(clean_sales!P229,Dim_Date!B:B,Dim_Date!A:A)</f>
        <v>20250311</v>
      </c>
      <c r="C229">
        <f>_xlfn.XLOOKUP(clean_sales!C229,Dim_Customer!B:B,Dim_Customer!A:A)</f>
        <v>195</v>
      </c>
      <c r="D229">
        <f>_xlfn.XLOOKUP(clean_sales!I229,Dim_Product!B:B,Dim_Product!A:A)</f>
        <v>7</v>
      </c>
      <c r="E229">
        <f>clean_sales!L229</f>
        <v>1</v>
      </c>
      <c r="F229">
        <f>clean_sales!T229</f>
        <v>58000</v>
      </c>
    </row>
    <row r="230" spans="1:6" x14ac:dyDescent="0.35">
      <c r="A230" t="str">
        <v>TXN100228</v>
      </c>
      <c r="B230">
        <f>_xlfn.XLOOKUP(clean_sales!P230,Dim_Date!B:B,Dim_Date!A:A)</f>
        <v>20250418</v>
      </c>
      <c r="C230">
        <f>_xlfn.XLOOKUP(clean_sales!C230,Dim_Customer!B:B,Dim_Customer!A:A)</f>
        <v>196</v>
      </c>
      <c r="D230">
        <f>_xlfn.XLOOKUP(clean_sales!I230,Dim_Product!B:B,Dim_Product!A:A)</f>
        <v>2</v>
      </c>
      <c r="E230">
        <f>clean_sales!L230</f>
        <v>3</v>
      </c>
      <c r="F230">
        <f>clean_sales!T230</f>
        <v>195000</v>
      </c>
    </row>
    <row r="231" spans="1:6" x14ac:dyDescent="0.35">
      <c r="A231" t="str">
        <v>TXN100229</v>
      </c>
      <c r="B231">
        <f>_xlfn.XLOOKUP(clean_sales!P231,Dim_Date!B:B,Dim_Date!A:A)</f>
        <v>20250719</v>
      </c>
      <c r="C231">
        <f>_xlfn.XLOOKUP(clean_sales!C231,Dim_Customer!B:B,Dim_Customer!A:A)</f>
        <v>197</v>
      </c>
      <c r="D231">
        <f>_xlfn.XLOOKUP(clean_sales!I231,Dim_Product!B:B,Dim_Product!A:A)</f>
        <v>6</v>
      </c>
      <c r="E231">
        <f>clean_sales!L231</f>
        <v>4</v>
      </c>
      <c r="F231">
        <f>clean_sales!T231</f>
        <v>288000</v>
      </c>
    </row>
    <row r="232" spans="1:6" x14ac:dyDescent="0.35">
      <c r="A232" t="str">
        <v>TXN100230</v>
      </c>
      <c r="B232">
        <f>_xlfn.XLOOKUP(clean_sales!P232,Dim_Date!B:B,Dim_Date!A:A)</f>
        <v>20251110</v>
      </c>
      <c r="C232">
        <f>_xlfn.XLOOKUP(clean_sales!C232,Dim_Customer!B:B,Dim_Customer!A:A)</f>
        <v>176</v>
      </c>
      <c r="D232">
        <f>_xlfn.XLOOKUP(clean_sales!I232,Dim_Product!B:B,Dim_Product!A:A)</f>
        <v>7</v>
      </c>
      <c r="E232">
        <f>clean_sales!L232</f>
        <v>3</v>
      </c>
      <c r="F232">
        <f>clean_sales!T232</f>
        <v>174000</v>
      </c>
    </row>
    <row r="233" spans="1:6" x14ac:dyDescent="0.35">
      <c r="A233" t="str">
        <v>TXN100231</v>
      </c>
      <c r="B233">
        <f>_xlfn.XLOOKUP(clean_sales!P233,Dim_Date!B:B,Dim_Date!A:A)</f>
        <v>20250216</v>
      </c>
      <c r="C233">
        <f>_xlfn.XLOOKUP(clean_sales!C233,Dim_Customer!B:B,Dim_Customer!A:A)</f>
        <v>198</v>
      </c>
      <c r="D233">
        <f>_xlfn.XLOOKUP(clean_sales!I233,Dim_Product!B:B,Dim_Product!A:A)</f>
        <v>3</v>
      </c>
      <c r="E233">
        <f>clean_sales!L233</f>
        <v>4</v>
      </c>
      <c r="F233">
        <f>clean_sales!T233</f>
        <v>20000</v>
      </c>
    </row>
    <row r="234" spans="1:6" x14ac:dyDescent="0.35">
      <c r="A234" t="str">
        <v>TXN100232</v>
      </c>
      <c r="B234">
        <f>_xlfn.XLOOKUP(clean_sales!P234,Dim_Date!B:B,Dim_Date!A:A)</f>
        <v>20251118</v>
      </c>
      <c r="C234">
        <f>_xlfn.XLOOKUP(clean_sales!C234,Dim_Customer!B:B,Dim_Customer!A:A)</f>
        <v>199</v>
      </c>
      <c r="D234">
        <f>_xlfn.XLOOKUP(clean_sales!I234,Dim_Product!B:B,Dim_Product!A:A)</f>
        <v>4</v>
      </c>
      <c r="E234">
        <f>clean_sales!L234</f>
        <v>3</v>
      </c>
      <c r="F234">
        <f>clean_sales!T234</f>
        <v>13500</v>
      </c>
    </row>
    <row r="235" spans="1:6" x14ac:dyDescent="0.35">
      <c r="A235" t="str">
        <v>TXN100233</v>
      </c>
      <c r="B235">
        <f>_xlfn.XLOOKUP(clean_sales!P235,Dim_Date!B:B,Dim_Date!A:A)</f>
        <v>20250314</v>
      </c>
      <c r="C235">
        <f>_xlfn.XLOOKUP(clean_sales!C235,Dim_Customer!B:B,Dim_Customer!A:A)</f>
        <v>200</v>
      </c>
      <c r="D235">
        <f>_xlfn.XLOOKUP(clean_sales!I235,Dim_Product!B:B,Dim_Product!A:A)</f>
        <v>5</v>
      </c>
      <c r="E235">
        <f>clean_sales!L235</f>
        <v>4</v>
      </c>
      <c r="F235">
        <f>clean_sales!T235</f>
        <v>7200</v>
      </c>
    </row>
    <row r="236" spans="1:6" x14ac:dyDescent="0.35">
      <c r="A236" t="str">
        <v>TXN100234</v>
      </c>
      <c r="B236">
        <f>_xlfn.XLOOKUP(clean_sales!P236,Dim_Date!B:B,Dim_Date!A:A)</f>
        <v>20250814</v>
      </c>
      <c r="C236">
        <f>_xlfn.XLOOKUP(clean_sales!C236,Dim_Customer!B:B,Dim_Customer!A:A)</f>
        <v>201</v>
      </c>
      <c r="D236">
        <f>_xlfn.XLOOKUP(clean_sales!I236,Dim_Product!B:B,Dim_Product!A:A)</f>
        <v>6</v>
      </c>
      <c r="E236">
        <f>clean_sales!L236</f>
        <v>5</v>
      </c>
      <c r="F236">
        <f>clean_sales!T236</f>
        <v>360000</v>
      </c>
    </row>
    <row r="237" spans="1:6" x14ac:dyDescent="0.35">
      <c r="A237" t="str">
        <v>TXN100235</v>
      </c>
      <c r="B237">
        <f>_xlfn.XLOOKUP(clean_sales!P237,Dim_Date!B:B,Dim_Date!A:A)</f>
        <v>20251021</v>
      </c>
      <c r="C237">
        <f>_xlfn.XLOOKUP(clean_sales!C237,Dim_Customer!B:B,Dim_Customer!A:A)</f>
        <v>202</v>
      </c>
      <c r="D237">
        <f>_xlfn.XLOOKUP(clean_sales!I237,Dim_Product!B:B,Dim_Product!A:A)</f>
        <v>1</v>
      </c>
      <c r="E237">
        <f>clean_sales!L237</f>
        <v>3</v>
      </c>
      <c r="F237">
        <f>clean_sales!T237</f>
        <v>36000</v>
      </c>
    </row>
    <row r="238" spans="1:6" x14ac:dyDescent="0.35">
      <c r="A238" t="str">
        <v>TXN100236</v>
      </c>
      <c r="B238">
        <f>_xlfn.XLOOKUP(clean_sales!P238,Dim_Date!B:B,Dim_Date!A:A)</f>
        <v>20250509</v>
      </c>
      <c r="C238">
        <f>_xlfn.XLOOKUP(clean_sales!C238,Dim_Customer!B:B,Dim_Customer!A:A)</f>
        <v>203</v>
      </c>
      <c r="D238">
        <f>_xlfn.XLOOKUP(clean_sales!I238,Dim_Product!B:B,Dim_Product!A:A)</f>
        <v>1</v>
      </c>
      <c r="E238">
        <f>clean_sales!L238</f>
        <v>1</v>
      </c>
      <c r="F238">
        <f>clean_sales!T238</f>
        <v>12000</v>
      </c>
    </row>
    <row r="239" spans="1:6" x14ac:dyDescent="0.35">
      <c r="A239" t="str">
        <v>TXN100237</v>
      </c>
      <c r="B239">
        <f>_xlfn.XLOOKUP(clean_sales!P239,Dim_Date!B:B,Dim_Date!A:A)</f>
        <v>20250211</v>
      </c>
      <c r="C239">
        <f>_xlfn.XLOOKUP(clean_sales!C239,Dim_Customer!B:B,Dim_Customer!A:A)</f>
        <v>204</v>
      </c>
      <c r="D239">
        <f>_xlfn.XLOOKUP(clean_sales!I239,Dim_Product!B:B,Dim_Product!A:A)</f>
        <v>6</v>
      </c>
      <c r="E239">
        <f>clean_sales!L239</f>
        <v>4</v>
      </c>
      <c r="F239">
        <f>clean_sales!T239</f>
        <v>288000</v>
      </c>
    </row>
    <row r="240" spans="1:6" x14ac:dyDescent="0.35">
      <c r="A240" t="str">
        <v>TXN100238</v>
      </c>
      <c r="B240">
        <f>_xlfn.XLOOKUP(clean_sales!P240,Dim_Date!B:B,Dim_Date!A:A)</f>
        <v>20250924</v>
      </c>
      <c r="C240">
        <f>_xlfn.XLOOKUP(clean_sales!C240,Dim_Customer!B:B,Dim_Customer!A:A)</f>
        <v>205</v>
      </c>
      <c r="D240">
        <f>_xlfn.XLOOKUP(clean_sales!I240,Dim_Product!B:B,Dim_Product!A:A)</f>
        <v>6</v>
      </c>
      <c r="E240">
        <f>clean_sales!L240</f>
        <v>1</v>
      </c>
      <c r="F240">
        <f>clean_sales!T240</f>
        <v>72000</v>
      </c>
    </row>
    <row r="241" spans="1:6" x14ac:dyDescent="0.35">
      <c r="A241" t="str">
        <v>TXN100239</v>
      </c>
      <c r="B241">
        <f>_xlfn.XLOOKUP(clean_sales!P241,Dim_Date!B:B,Dim_Date!A:A)</f>
        <v>20250118</v>
      </c>
      <c r="C241">
        <f>_xlfn.XLOOKUP(clean_sales!C241,Dim_Customer!B:B,Dim_Customer!A:A)</f>
        <v>206</v>
      </c>
      <c r="D241">
        <f>_xlfn.XLOOKUP(clean_sales!I241,Dim_Product!B:B,Dim_Product!A:A)</f>
        <v>1</v>
      </c>
      <c r="E241">
        <f>clean_sales!L241</f>
        <v>2</v>
      </c>
      <c r="F241">
        <f>clean_sales!T241</f>
        <v>24000</v>
      </c>
    </row>
    <row r="242" spans="1:6" x14ac:dyDescent="0.35">
      <c r="A242" t="str">
        <v>TXN100240</v>
      </c>
      <c r="B242">
        <f>_xlfn.XLOOKUP(clean_sales!P242,Dim_Date!B:B,Dim_Date!A:A)</f>
        <v>20250726</v>
      </c>
      <c r="C242">
        <f>_xlfn.XLOOKUP(clean_sales!C242,Dim_Customer!B:B,Dim_Customer!A:A)</f>
        <v>71</v>
      </c>
      <c r="D242">
        <f>_xlfn.XLOOKUP(clean_sales!I242,Dim_Product!B:B,Dim_Product!A:A)</f>
        <v>5</v>
      </c>
      <c r="E242">
        <f>clean_sales!L242</f>
        <v>5</v>
      </c>
      <c r="F242">
        <f>clean_sales!T242</f>
        <v>9000</v>
      </c>
    </row>
    <row r="243" spans="1:6" x14ac:dyDescent="0.35">
      <c r="A243" t="str">
        <v>TXN100241</v>
      </c>
      <c r="B243">
        <f>_xlfn.XLOOKUP(clean_sales!P243,Dim_Date!B:B,Dim_Date!A:A)</f>
        <v>20250805</v>
      </c>
      <c r="C243">
        <f>_xlfn.XLOOKUP(clean_sales!C243,Dim_Customer!B:B,Dim_Customer!A:A)</f>
        <v>207</v>
      </c>
      <c r="D243">
        <f>_xlfn.XLOOKUP(clean_sales!I243,Dim_Product!B:B,Dim_Product!A:A)</f>
        <v>7</v>
      </c>
      <c r="E243">
        <f>clean_sales!L243</f>
        <v>1</v>
      </c>
      <c r="F243">
        <f>clean_sales!T243</f>
        <v>58000</v>
      </c>
    </row>
    <row r="244" spans="1:6" x14ac:dyDescent="0.35">
      <c r="A244" t="str">
        <v>TXN100242</v>
      </c>
      <c r="B244">
        <f>_xlfn.XLOOKUP(clean_sales!P244,Dim_Date!B:B,Dim_Date!A:A)</f>
        <v>20250506</v>
      </c>
      <c r="C244">
        <f>_xlfn.XLOOKUP(clean_sales!C244,Dim_Customer!B:B,Dim_Customer!A:A)</f>
        <v>208</v>
      </c>
      <c r="D244">
        <f>_xlfn.XLOOKUP(clean_sales!I244,Dim_Product!B:B,Dim_Product!A:A)</f>
        <v>4</v>
      </c>
      <c r="E244">
        <f>clean_sales!L244</f>
        <v>2</v>
      </c>
      <c r="F244">
        <f>clean_sales!T244</f>
        <v>9000</v>
      </c>
    </row>
    <row r="245" spans="1:6" x14ac:dyDescent="0.35">
      <c r="A245" t="str">
        <v>TXN100243</v>
      </c>
      <c r="B245">
        <f>_xlfn.XLOOKUP(clean_sales!P245,Dim_Date!B:B,Dim_Date!A:A)</f>
        <v>20250326</v>
      </c>
      <c r="C245">
        <f>_xlfn.XLOOKUP(clean_sales!C245,Dim_Customer!B:B,Dim_Customer!A:A)</f>
        <v>209</v>
      </c>
      <c r="D245">
        <f>_xlfn.XLOOKUP(clean_sales!I245,Dim_Product!B:B,Dim_Product!A:A)</f>
        <v>1</v>
      </c>
      <c r="E245">
        <f>clean_sales!L245</f>
        <v>4</v>
      </c>
      <c r="F245">
        <f>clean_sales!T245</f>
        <v>48000</v>
      </c>
    </row>
    <row r="246" spans="1:6" x14ac:dyDescent="0.35">
      <c r="A246" t="str">
        <v>TXN100244</v>
      </c>
      <c r="B246">
        <f>_xlfn.XLOOKUP(clean_sales!P246,Dim_Date!B:B,Dim_Date!A:A)</f>
        <v>20250423</v>
      </c>
      <c r="C246">
        <f>_xlfn.XLOOKUP(clean_sales!C246,Dim_Customer!B:B,Dim_Customer!A:A)</f>
        <v>210</v>
      </c>
      <c r="D246">
        <f>_xlfn.XLOOKUP(clean_sales!I246,Dim_Product!B:B,Dim_Product!A:A)</f>
        <v>3</v>
      </c>
      <c r="E246">
        <f>clean_sales!L246</f>
        <v>2</v>
      </c>
      <c r="F246">
        <f>clean_sales!T246</f>
        <v>10000</v>
      </c>
    </row>
    <row r="247" spans="1:6" x14ac:dyDescent="0.35">
      <c r="A247" t="str">
        <v>TXN100245</v>
      </c>
      <c r="B247">
        <f>_xlfn.XLOOKUP(clean_sales!P247,Dim_Date!B:B,Dim_Date!A:A)</f>
        <v>20250822</v>
      </c>
      <c r="C247">
        <f>_xlfn.XLOOKUP(clean_sales!C247,Dim_Customer!B:B,Dim_Customer!A:A)</f>
        <v>211</v>
      </c>
      <c r="D247">
        <f>_xlfn.XLOOKUP(clean_sales!I247,Dim_Product!B:B,Dim_Product!A:A)</f>
        <v>4</v>
      </c>
      <c r="E247">
        <f>clean_sales!L247</f>
        <v>4</v>
      </c>
      <c r="F247">
        <f>clean_sales!T247</f>
        <v>18000</v>
      </c>
    </row>
    <row r="248" spans="1:6" x14ac:dyDescent="0.35">
      <c r="A248" t="str">
        <v>TXN100246</v>
      </c>
      <c r="B248">
        <f>_xlfn.XLOOKUP(clean_sales!P248,Dim_Date!B:B,Dim_Date!A:A)</f>
        <v>20250808</v>
      </c>
      <c r="C248">
        <f>_xlfn.XLOOKUP(clean_sales!C248,Dim_Customer!B:B,Dim_Customer!A:A)</f>
        <v>212</v>
      </c>
      <c r="D248">
        <f>_xlfn.XLOOKUP(clean_sales!I248,Dim_Product!B:B,Dim_Product!A:A)</f>
        <v>1</v>
      </c>
      <c r="E248">
        <f>clean_sales!L248</f>
        <v>4</v>
      </c>
      <c r="F248">
        <f>clean_sales!T248</f>
        <v>48000</v>
      </c>
    </row>
    <row r="249" spans="1:6" x14ac:dyDescent="0.35">
      <c r="A249" t="str">
        <v>TXN100247</v>
      </c>
      <c r="B249">
        <f>_xlfn.XLOOKUP(clean_sales!P249,Dim_Date!B:B,Dim_Date!A:A)</f>
        <v>20250811</v>
      </c>
      <c r="C249">
        <f>_xlfn.XLOOKUP(clean_sales!C249,Dim_Customer!B:B,Dim_Customer!A:A)</f>
        <v>47</v>
      </c>
      <c r="D249">
        <f>_xlfn.XLOOKUP(clean_sales!I249,Dim_Product!B:B,Dim_Product!A:A)</f>
        <v>7</v>
      </c>
      <c r="E249">
        <f>clean_sales!L249</f>
        <v>1</v>
      </c>
      <c r="F249">
        <f>clean_sales!T249</f>
        <v>58000</v>
      </c>
    </row>
    <row r="250" spans="1:6" x14ac:dyDescent="0.35">
      <c r="A250" t="str">
        <v>TXN100248</v>
      </c>
      <c r="B250">
        <f>_xlfn.XLOOKUP(clean_sales!P250,Dim_Date!B:B,Dim_Date!A:A)</f>
        <v>20251104</v>
      </c>
      <c r="C250">
        <f>_xlfn.XLOOKUP(clean_sales!C250,Dim_Customer!B:B,Dim_Customer!A:A)</f>
        <v>213</v>
      </c>
      <c r="D250">
        <f>_xlfn.XLOOKUP(clean_sales!I250,Dim_Product!B:B,Dim_Product!A:A)</f>
        <v>5</v>
      </c>
      <c r="E250">
        <f>clean_sales!L250</f>
        <v>2</v>
      </c>
      <c r="F250">
        <f>clean_sales!T250</f>
        <v>3600</v>
      </c>
    </row>
    <row r="251" spans="1:6" x14ac:dyDescent="0.35">
      <c r="A251" t="str">
        <v>TXN100249</v>
      </c>
      <c r="B251">
        <f>_xlfn.XLOOKUP(clean_sales!P251,Dim_Date!B:B,Dim_Date!A:A)</f>
        <v>20250720</v>
      </c>
      <c r="C251">
        <f>_xlfn.XLOOKUP(clean_sales!C251,Dim_Customer!B:B,Dim_Customer!A:A)</f>
        <v>214</v>
      </c>
      <c r="D251">
        <f>_xlfn.XLOOKUP(clean_sales!I251,Dim_Product!B:B,Dim_Product!A:A)</f>
        <v>7</v>
      </c>
      <c r="E251">
        <f>clean_sales!L251</f>
        <v>1</v>
      </c>
      <c r="F251">
        <f>clean_sales!T251</f>
        <v>58000</v>
      </c>
    </row>
    <row r="252" spans="1:6" x14ac:dyDescent="0.35">
      <c r="A252" t="str">
        <v>TXN100250</v>
      </c>
      <c r="B252">
        <f>_xlfn.XLOOKUP(clean_sales!P252,Dim_Date!B:B,Dim_Date!A:A)</f>
        <v>20250117</v>
      </c>
      <c r="C252">
        <f>_xlfn.XLOOKUP(clean_sales!C252,Dim_Customer!B:B,Dim_Customer!A:A)</f>
        <v>215</v>
      </c>
      <c r="D252">
        <f>_xlfn.XLOOKUP(clean_sales!I252,Dim_Product!B:B,Dim_Product!A:A)</f>
        <v>5</v>
      </c>
      <c r="E252">
        <f>clean_sales!L252</f>
        <v>4</v>
      </c>
      <c r="F252">
        <f>clean_sales!T252</f>
        <v>7200</v>
      </c>
    </row>
    <row r="253" spans="1:6" x14ac:dyDescent="0.35">
      <c r="A253" t="str">
        <v>TXN100251</v>
      </c>
      <c r="B253">
        <f>_xlfn.XLOOKUP(clean_sales!P253,Dim_Date!B:B,Dim_Date!A:A)</f>
        <v>20250327</v>
      </c>
      <c r="C253">
        <f>_xlfn.XLOOKUP(clean_sales!C253,Dim_Customer!B:B,Dim_Customer!A:A)</f>
        <v>52</v>
      </c>
      <c r="D253">
        <f>_xlfn.XLOOKUP(clean_sales!I253,Dim_Product!B:B,Dim_Product!A:A)</f>
        <v>3</v>
      </c>
      <c r="E253">
        <f>clean_sales!L253</f>
        <v>5</v>
      </c>
      <c r="F253">
        <f>clean_sales!T253</f>
        <v>25000</v>
      </c>
    </row>
    <row r="254" spans="1:6" x14ac:dyDescent="0.35">
      <c r="A254" t="str">
        <v>TXN100252</v>
      </c>
      <c r="B254">
        <f>_xlfn.XLOOKUP(clean_sales!P254,Dim_Date!B:B,Dim_Date!A:A)</f>
        <v>20250802</v>
      </c>
      <c r="C254">
        <f>_xlfn.XLOOKUP(clean_sales!C254,Dim_Customer!B:B,Dim_Customer!A:A)</f>
        <v>216</v>
      </c>
      <c r="D254">
        <f>_xlfn.XLOOKUP(clean_sales!I254,Dim_Product!B:B,Dim_Product!A:A)</f>
        <v>2</v>
      </c>
      <c r="E254">
        <f>clean_sales!L254</f>
        <v>2</v>
      </c>
      <c r="F254">
        <f>clean_sales!T254</f>
        <v>130000</v>
      </c>
    </row>
    <row r="255" spans="1:6" x14ac:dyDescent="0.35">
      <c r="A255" t="str">
        <v>TXN100253</v>
      </c>
      <c r="B255">
        <f>_xlfn.XLOOKUP(clean_sales!P255,Dim_Date!B:B,Dim_Date!A:A)</f>
        <v>20250212</v>
      </c>
      <c r="C255">
        <f>_xlfn.XLOOKUP(clean_sales!C255,Dim_Customer!B:B,Dim_Customer!A:A)</f>
        <v>217</v>
      </c>
      <c r="D255">
        <f>_xlfn.XLOOKUP(clean_sales!I255,Dim_Product!B:B,Dim_Product!A:A)</f>
        <v>6</v>
      </c>
      <c r="E255">
        <f>clean_sales!L255</f>
        <v>3</v>
      </c>
      <c r="F255">
        <f>clean_sales!T255</f>
        <v>216000</v>
      </c>
    </row>
    <row r="256" spans="1:6" x14ac:dyDescent="0.35">
      <c r="A256" t="str">
        <v>TXN100254</v>
      </c>
      <c r="B256">
        <f>_xlfn.XLOOKUP(clean_sales!P256,Dim_Date!B:B,Dim_Date!A:A)</f>
        <v>20250909</v>
      </c>
      <c r="C256">
        <f>_xlfn.XLOOKUP(clean_sales!C256,Dim_Customer!B:B,Dim_Customer!A:A)</f>
        <v>218</v>
      </c>
      <c r="D256">
        <f>_xlfn.XLOOKUP(clean_sales!I256,Dim_Product!B:B,Dim_Product!A:A)</f>
        <v>3</v>
      </c>
      <c r="E256">
        <f>clean_sales!L256</f>
        <v>1</v>
      </c>
      <c r="F256">
        <f>clean_sales!T256</f>
        <v>5000</v>
      </c>
    </row>
    <row r="257" spans="1:6" x14ac:dyDescent="0.35">
      <c r="A257" t="str">
        <v>TXN100255</v>
      </c>
      <c r="B257">
        <f>_xlfn.XLOOKUP(clean_sales!P257,Dim_Date!B:B,Dim_Date!A:A)</f>
        <v>20250526</v>
      </c>
      <c r="C257">
        <f>_xlfn.XLOOKUP(clean_sales!C257,Dim_Customer!B:B,Dim_Customer!A:A)</f>
        <v>8</v>
      </c>
      <c r="D257">
        <f>_xlfn.XLOOKUP(clean_sales!I257,Dim_Product!B:B,Dim_Product!A:A)</f>
        <v>4</v>
      </c>
      <c r="E257">
        <f>clean_sales!L257</f>
        <v>3</v>
      </c>
      <c r="F257">
        <f>clean_sales!T257</f>
        <v>13500</v>
      </c>
    </row>
    <row r="258" spans="1:6" x14ac:dyDescent="0.35">
      <c r="A258" t="str">
        <v>TXN100256</v>
      </c>
      <c r="B258">
        <f>_xlfn.XLOOKUP(clean_sales!P258,Dim_Date!B:B,Dim_Date!A:A)</f>
        <v>20250921</v>
      </c>
      <c r="C258">
        <f>_xlfn.XLOOKUP(clean_sales!C258,Dim_Customer!B:B,Dim_Customer!A:A)</f>
        <v>151</v>
      </c>
      <c r="D258">
        <f>_xlfn.XLOOKUP(clean_sales!I258,Dim_Product!B:B,Dim_Product!A:A)</f>
        <v>4</v>
      </c>
      <c r="E258">
        <f>clean_sales!L258</f>
        <v>5</v>
      </c>
      <c r="F258">
        <f>clean_sales!T258</f>
        <v>22500</v>
      </c>
    </row>
    <row r="259" spans="1:6" x14ac:dyDescent="0.35">
      <c r="A259" t="str">
        <v>TXN100257</v>
      </c>
      <c r="B259">
        <f>_xlfn.XLOOKUP(clean_sales!P259,Dim_Date!B:B,Dim_Date!A:A)</f>
        <v>20250819</v>
      </c>
      <c r="C259">
        <f>_xlfn.XLOOKUP(clean_sales!C259,Dim_Customer!B:B,Dim_Customer!A:A)</f>
        <v>219</v>
      </c>
      <c r="D259">
        <f>_xlfn.XLOOKUP(clean_sales!I259,Dim_Product!B:B,Dim_Product!A:A)</f>
        <v>5</v>
      </c>
      <c r="E259">
        <f>clean_sales!L259</f>
        <v>5</v>
      </c>
      <c r="F259">
        <f>clean_sales!T259</f>
        <v>9000</v>
      </c>
    </row>
    <row r="260" spans="1:6" x14ac:dyDescent="0.35">
      <c r="A260" t="str">
        <v>TXN100258</v>
      </c>
      <c r="B260">
        <f>_xlfn.XLOOKUP(clean_sales!P260,Dim_Date!B:B,Dim_Date!A:A)</f>
        <v>20250301</v>
      </c>
      <c r="C260">
        <f>_xlfn.XLOOKUP(clean_sales!C260,Dim_Customer!B:B,Dim_Customer!A:A)</f>
        <v>220</v>
      </c>
      <c r="D260">
        <f>_xlfn.XLOOKUP(clean_sales!I260,Dim_Product!B:B,Dim_Product!A:A)</f>
        <v>3</v>
      </c>
      <c r="E260">
        <f>clean_sales!L260</f>
        <v>3</v>
      </c>
      <c r="F260">
        <f>clean_sales!T260</f>
        <v>15000</v>
      </c>
    </row>
    <row r="261" spans="1:6" x14ac:dyDescent="0.35">
      <c r="A261" t="str">
        <v>TXN100259</v>
      </c>
      <c r="B261">
        <f>_xlfn.XLOOKUP(clean_sales!P261,Dim_Date!B:B,Dim_Date!A:A)</f>
        <v>20251030</v>
      </c>
      <c r="C261">
        <f>_xlfn.XLOOKUP(clean_sales!C261,Dim_Customer!B:B,Dim_Customer!A:A)</f>
        <v>221</v>
      </c>
      <c r="D261">
        <f>_xlfn.XLOOKUP(clean_sales!I261,Dim_Product!B:B,Dim_Product!A:A)</f>
        <v>3</v>
      </c>
      <c r="E261">
        <f>clean_sales!L261</f>
        <v>1</v>
      </c>
      <c r="F261">
        <f>clean_sales!T261</f>
        <v>5000</v>
      </c>
    </row>
    <row r="262" spans="1:6" x14ac:dyDescent="0.35">
      <c r="A262" t="str">
        <v>TXN100260</v>
      </c>
      <c r="B262">
        <f>_xlfn.XLOOKUP(clean_sales!P262,Dim_Date!B:B,Dim_Date!A:A)</f>
        <v>20250411</v>
      </c>
      <c r="C262">
        <f>_xlfn.XLOOKUP(clean_sales!C262,Dim_Customer!B:B,Dim_Customer!A:A)</f>
        <v>156</v>
      </c>
      <c r="D262">
        <f>_xlfn.XLOOKUP(clean_sales!I262,Dim_Product!B:B,Dim_Product!A:A)</f>
        <v>1</v>
      </c>
      <c r="E262">
        <f>clean_sales!L262</f>
        <v>1</v>
      </c>
      <c r="F262">
        <f>clean_sales!T262</f>
        <v>12000</v>
      </c>
    </row>
    <row r="263" spans="1:6" x14ac:dyDescent="0.35">
      <c r="A263" t="str">
        <v>TXN100261</v>
      </c>
      <c r="B263">
        <f>_xlfn.XLOOKUP(clean_sales!P263,Dim_Date!B:B,Dim_Date!A:A)</f>
        <v>20251123</v>
      </c>
      <c r="C263">
        <f>_xlfn.XLOOKUP(clean_sales!C263,Dim_Customer!B:B,Dim_Customer!A:A)</f>
        <v>222</v>
      </c>
      <c r="D263">
        <f>_xlfn.XLOOKUP(clean_sales!I263,Dim_Product!B:B,Dim_Product!A:A)</f>
        <v>7</v>
      </c>
      <c r="E263">
        <f>clean_sales!L263</f>
        <v>1</v>
      </c>
      <c r="F263">
        <f>clean_sales!T263</f>
        <v>58000</v>
      </c>
    </row>
    <row r="264" spans="1:6" x14ac:dyDescent="0.35">
      <c r="A264" t="str">
        <v>TXN100262</v>
      </c>
      <c r="B264">
        <f>_xlfn.XLOOKUP(clean_sales!P264,Dim_Date!B:B,Dim_Date!A:A)</f>
        <v>20250703</v>
      </c>
      <c r="C264">
        <f>_xlfn.XLOOKUP(clean_sales!C264,Dim_Customer!B:B,Dim_Customer!A:A)</f>
        <v>223</v>
      </c>
      <c r="D264">
        <f>_xlfn.XLOOKUP(clean_sales!I264,Dim_Product!B:B,Dim_Product!A:A)</f>
        <v>4</v>
      </c>
      <c r="E264">
        <f>clean_sales!L264</f>
        <v>4</v>
      </c>
      <c r="F264">
        <f>clean_sales!T264</f>
        <v>18000</v>
      </c>
    </row>
    <row r="265" spans="1:6" x14ac:dyDescent="0.35">
      <c r="A265" t="str">
        <v>TXN100263</v>
      </c>
      <c r="B265">
        <f>_xlfn.XLOOKUP(clean_sales!P265,Dim_Date!B:B,Dim_Date!A:A)</f>
        <v>20251016</v>
      </c>
      <c r="C265">
        <f>_xlfn.XLOOKUP(clean_sales!C265,Dim_Customer!B:B,Dim_Customer!A:A)</f>
        <v>224</v>
      </c>
      <c r="D265">
        <f>_xlfn.XLOOKUP(clean_sales!I265,Dim_Product!B:B,Dim_Product!A:A)</f>
        <v>1</v>
      </c>
      <c r="E265">
        <f>clean_sales!L265</f>
        <v>5</v>
      </c>
      <c r="F265">
        <f>clean_sales!T265</f>
        <v>60000</v>
      </c>
    </row>
    <row r="266" spans="1:6" x14ac:dyDescent="0.35">
      <c r="A266" t="str">
        <v>TXN100264</v>
      </c>
      <c r="B266">
        <f>_xlfn.XLOOKUP(clean_sales!P266,Dim_Date!B:B,Dim_Date!A:A)</f>
        <v>20251025</v>
      </c>
      <c r="C266">
        <f>_xlfn.XLOOKUP(clean_sales!C266,Dim_Customer!B:B,Dim_Customer!A:A)</f>
        <v>47</v>
      </c>
      <c r="D266">
        <f>_xlfn.XLOOKUP(clean_sales!I266,Dim_Product!B:B,Dim_Product!A:A)</f>
        <v>4</v>
      </c>
      <c r="E266">
        <f>clean_sales!L266</f>
        <v>2</v>
      </c>
      <c r="F266">
        <f>clean_sales!T266</f>
        <v>9000</v>
      </c>
    </row>
    <row r="267" spans="1:6" x14ac:dyDescent="0.35">
      <c r="A267" t="str">
        <v>TXN100265</v>
      </c>
      <c r="B267">
        <f>_xlfn.XLOOKUP(clean_sales!P267,Dim_Date!B:B,Dim_Date!A:A)</f>
        <v>20250320</v>
      </c>
      <c r="C267">
        <f>_xlfn.XLOOKUP(clean_sales!C267,Dim_Customer!B:B,Dim_Customer!A:A)</f>
        <v>225</v>
      </c>
      <c r="D267">
        <f>_xlfn.XLOOKUP(clean_sales!I267,Dim_Product!B:B,Dim_Product!A:A)</f>
        <v>6</v>
      </c>
      <c r="E267">
        <f>clean_sales!L267</f>
        <v>1</v>
      </c>
      <c r="F267">
        <f>clean_sales!T267</f>
        <v>72000</v>
      </c>
    </row>
    <row r="268" spans="1:6" x14ac:dyDescent="0.35">
      <c r="A268" t="str">
        <v>TXN100266</v>
      </c>
      <c r="B268">
        <f>_xlfn.XLOOKUP(clean_sales!P268,Dim_Date!B:B,Dim_Date!A:A)</f>
        <v>20251123</v>
      </c>
      <c r="C268">
        <f>_xlfn.XLOOKUP(clean_sales!C268,Dim_Customer!B:B,Dim_Customer!A:A)</f>
        <v>226</v>
      </c>
      <c r="D268">
        <f>_xlfn.XLOOKUP(clean_sales!I268,Dim_Product!B:B,Dim_Product!A:A)</f>
        <v>4</v>
      </c>
      <c r="E268">
        <f>clean_sales!L268</f>
        <v>2</v>
      </c>
      <c r="F268">
        <f>clean_sales!T268</f>
        <v>9000</v>
      </c>
    </row>
    <row r="269" spans="1:6" x14ac:dyDescent="0.35">
      <c r="A269" t="str">
        <v>TXN100267</v>
      </c>
      <c r="B269">
        <f>_xlfn.XLOOKUP(clean_sales!P269,Dim_Date!B:B,Dim_Date!A:A)</f>
        <v>20251201</v>
      </c>
      <c r="C269">
        <f>_xlfn.XLOOKUP(clean_sales!C269,Dim_Customer!B:B,Dim_Customer!A:A)</f>
        <v>108</v>
      </c>
      <c r="D269">
        <f>_xlfn.XLOOKUP(clean_sales!I269,Dim_Product!B:B,Dim_Product!A:A)</f>
        <v>2</v>
      </c>
      <c r="E269">
        <f>clean_sales!L269</f>
        <v>1</v>
      </c>
      <c r="F269">
        <f>clean_sales!T269</f>
        <v>65000</v>
      </c>
    </row>
    <row r="270" spans="1:6" x14ac:dyDescent="0.35">
      <c r="A270" t="str">
        <v>TXN100268</v>
      </c>
      <c r="B270">
        <f>_xlfn.XLOOKUP(clean_sales!P270,Dim_Date!B:B,Dim_Date!A:A)</f>
        <v>20250721</v>
      </c>
      <c r="C270">
        <f>_xlfn.XLOOKUP(clean_sales!C270,Dim_Customer!B:B,Dim_Customer!A:A)</f>
        <v>85</v>
      </c>
      <c r="D270">
        <f>_xlfn.XLOOKUP(clean_sales!I270,Dim_Product!B:B,Dim_Product!A:A)</f>
        <v>6</v>
      </c>
      <c r="E270">
        <f>clean_sales!L270</f>
        <v>4</v>
      </c>
      <c r="F270">
        <f>clean_sales!T270</f>
        <v>288000</v>
      </c>
    </row>
    <row r="271" spans="1:6" x14ac:dyDescent="0.35">
      <c r="A271" t="str">
        <v>TXN100269</v>
      </c>
      <c r="B271">
        <f>_xlfn.XLOOKUP(clean_sales!P271,Dim_Date!B:B,Dim_Date!A:A)</f>
        <v>20250507</v>
      </c>
      <c r="C271">
        <f>_xlfn.XLOOKUP(clean_sales!C271,Dim_Customer!B:B,Dim_Customer!A:A)</f>
        <v>209</v>
      </c>
      <c r="D271">
        <f>_xlfn.XLOOKUP(clean_sales!I271,Dim_Product!B:B,Dim_Product!A:A)</f>
        <v>5</v>
      </c>
      <c r="E271">
        <f>clean_sales!L271</f>
        <v>3</v>
      </c>
      <c r="F271">
        <f>clean_sales!T271</f>
        <v>5400</v>
      </c>
    </row>
    <row r="272" spans="1:6" x14ac:dyDescent="0.35">
      <c r="A272" t="str">
        <v>TXN100270</v>
      </c>
      <c r="B272">
        <f>_xlfn.XLOOKUP(clean_sales!P272,Dim_Date!B:B,Dim_Date!A:A)</f>
        <v>20250320</v>
      </c>
      <c r="C272">
        <f>_xlfn.XLOOKUP(clean_sales!C272,Dim_Customer!B:B,Dim_Customer!A:A)</f>
        <v>227</v>
      </c>
      <c r="D272">
        <f>_xlfn.XLOOKUP(clean_sales!I272,Dim_Product!B:B,Dim_Product!A:A)</f>
        <v>2</v>
      </c>
      <c r="E272">
        <f>clean_sales!L272</f>
        <v>1</v>
      </c>
      <c r="F272">
        <f>clean_sales!T272</f>
        <v>65000</v>
      </c>
    </row>
    <row r="273" spans="1:6" x14ac:dyDescent="0.35">
      <c r="A273" t="str">
        <v>TXN100271</v>
      </c>
      <c r="B273">
        <f>_xlfn.XLOOKUP(clean_sales!P273,Dim_Date!B:B,Dim_Date!A:A)</f>
        <v>20250211</v>
      </c>
      <c r="C273">
        <f>_xlfn.XLOOKUP(clean_sales!C273,Dim_Customer!B:B,Dim_Customer!A:A)</f>
        <v>228</v>
      </c>
      <c r="D273">
        <f>_xlfn.XLOOKUP(clean_sales!I273,Dim_Product!B:B,Dim_Product!A:A)</f>
        <v>1</v>
      </c>
      <c r="E273">
        <f>clean_sales!L273</f>
        <v>5</v>
      </c>
      <c r="F273">
        <f>clean_sales!T273</f>
        <v>60000</v>
      </c>
    </row>
    <row r="274" spans="1:6" x14ac:dyDescent="0.35">
      <c r="A274" t="str">
        <v>TXN100272</v>
      </c>
      <c r="B274">
        <f>_xlfn.XLOOKUP(clean_sales!P274,Dim_Date!B:B,Dim_Date!A:A)</f>
        <v>20251101</v>
      </c>
      <c r="C274">
        <f>_xlfn.XLOOKUP(clean_sales!C274,Dim_Customer!B:B,Dim_Customer!A:A)</f>
        <v>229</v>
      </c>
      <c r="D274">
        <f>_xlfn.XLOOKUP(clean_sales!I274,Dim_Product!B:B,Dim_Product!A:A)</f>
        <v>3</v>
      </c>
      <c r="E274">
        <f>clean_sales!L274</f>
        <v>1</v>
      </c>
      <c r="F274">
        <f>clean_sales!T274</f>
        <v>5000</v>
      </c>
    </row>
    <row r="275" spans="1:6" x14ac:dyDescent="0.35">
      <c r="A275" t="str">
        <v>TXN100273</v>
      </c>
      <c r="B275">
        <f>_xlfn.XLOOKUP(clean_sales!P275,Dim_Date!B:B,Dim_Date!A:A)</f>
        <v>20251122</v>
      </c>
      <c r="C275">
        <f>_xlfn.XLOOKUP(clean_sales!C275,Dim_Customer!B:B,Dim_Customer!A:A)</f>
        <v>170</v>
      </c>
      <c r="D275">
        <f>_xlfn.XLOOKUP(clean_sales!I275,Dim_Product!B:B,Dim_Product!A:A)</f>
        <v>2</v>
      </c>
      <c r="E275">
        <f>clean_sales!L275</f>
        <v>3</v>
      </c>
      <c r="F275">
        <f>clean_sales!T275</f>
        <v>195000</v>
      </c>
    </row>
    <row r="276" spans="1:6" x14ac:dyDescent="0.35">
      <c r="A276" t="str">
        <v>TXN100274</v>
      </c>
      <c r="B276">
        <f>_xlfn.XLOOKUP(clean_sales!P276,Dim_Date!B:B,Dim_Date!A:A)</f>
        <v>20250225</v>
      </c>
      <c r="C276">
        <f>_xlfn.XLOOKUP(clean_sales!C276,Dim_Customer!B:B,Dim_Customer!A:A)</f>
        <v>230</v>
      </c>
      <c r="D276">
        <f>_xlfn.XLOOKUP(clean_sales!I276,Dim_Product!B:B,Dim_Product!A:A)</f>
        <v>4</v>
      </c>
      <c r="E276">
        <f>clean_sales!L276</f>
        <v>5</v>
      </c>
      <c r="F276">
        <f>clean_sales!T276</f>
        <v>22500</v>
      </c>
    </row>
    <row r="277" spans="1:6" x14ac:dyDescent="0.35">
      <c r="A277" t="str">
        <v>TXN100275</v>
      </c>
      <c r="B277">
        <f>_xlfn.XLOOKUP(clean_sales!P277,Dim_Date!B:B,Dim_Date!A:A)</f>
        <v>20250825</v>
      </c>
      <c r="C277">
        <f>_xlfn.XLOOKUP(clean_sales!C277,Dim_Customer!B:B,Dim_Customer!A:A)</f>
        <v>231</v>
      </c>
      <c r="D277">
        <f>_xlfn.XLOOKUP(clean_sales!I277,Dim_Product!B:B,Dim_Product!A:A)</f>
        <v>4</v>
      </c>
      <c r="E277">
        <f>clean_sales!L277</f>
        <v>2</v>
      </c>
      <c r="F277">
        <f>clean_sales!T277</f>
        <v>9000</v>
      </c>
    </row>
    <row r="278" spans="1:6" x14ac:dyDescent="0.35">
      <c r="A278" t="str">
        <v>TXN100276</v>
      </c>
      <c r="B278">
        <f>_xlfn.XLOOKUP(clean_sales!P278,Dim_Date!B:B,Dim_Date!A:A)</f>
        <v>20250906</v>
      </c>
      <c r="C278">
        <f>_xlfn.XLOOKUP(clean_sales!C278,Dim_Customer!B:B,Dim_Customer!A:A)</f>
        <v>232</v>
      </c>
      <c r="D278">
        <f>_xlfn.XLOOKUP(clean_sales!I278,Dim_Product!B:B,Dim_Product!A:A)</f>
        <v>2</v>
      </c>
      <c r="E278">
        <f>clean_sales!L278</f>
        <v>4</v>
      </c>
      <c r="F278">
        <f>clean_sales!T278</f>
        <v>260000</v>
      </c>
    </row>
    <row r="279" spans="1:6" x14ac:dyDescent="0.35">
      <c r="A279" t="str">
        <v>TXN100277</v>
      </c>
      <c r="B279">
        <f>_xlfn.XLOOKUP(clean_sales!P279,Dim_Date!B:B,Dim_Date!A:A)</f>
        <v>20250518</v>
      </c>
      <c r="C279">
        <f>_xlfn.XLOOKUP(clean_sales!C279,Dim_Customer!B:B,Dim_Customer!A:A)</f>
        <v>76</v>
      </c>
      <c r="D279">
        <f>_xlfn.XLOOKUP(clean_sales!I279,Dim_Product!B:B,Dim_Product!A:A)</f>
        <v>1</v>
      </c>
      <c r="E279">
        <f>clean_sales!L279</f>
        <v>3</v>
      </c>
      <c r="F279">
        <f>clean_sales!T279</f>
        <v>36000</v>
      </c>
    </row>
    <row r="280" spans="1:6" x14ac:dyDescent="0.35">
      <c r="A280" t="str">
        <v>TXN100278</v>
      </c>
      <c r="B280">
        <f>_xlfn.XLOOKUP(clean_sales!P280,Dim_Date!B:B,Dim_Date!A:A)</f>
        <v>20250811</v>
      </c>
      <c r="C280">
        <f>_xlfn.XLOOKUP(clean_sales!C280,Dim_Customer!B:B,Dim_Customer!A:A)</f>
        <v>233</v>
      </c>
      <c r="D280">
        <f>_xlfn.XLOOKUP(clean_sales!I280,Dim_Product!B:B,Dim_Product!A:A)</f>
        <v>6</v>
      </c>
      <c r="E280">
        <f>clean_sales!L280</f>
        <v>4</v>
      </c>
      <c r="F280">
        <f>clean_sales!T280</f>
        <v>288000</v>
      </c>
    </row>
    <row r="281" spans="1:6" x14ac:dyDescent="0.35">
      <c r="A281" t="str">
        <v>TXN100279</v>
      </c>
      <c r="B281">
        <f>_xlfn.XLOOKUP(clean_sales!P281,Dim_Date!B:B,Dim_Date!A:A)</f>
        <v>20251222</v>
      </c>
      <c r="C281">
        <f>_xlfn.XLOOKUP(clean_sales!C281,Dim_Customer!B:B,Dim_Customer!A:A)</f>
        <v>234</v>
      </c>
      <c r="D281">
        <f>_xlfn.XLOOKUP(clean_sales!I281,Dim_Product!B:B,Dim_Product!A:A)</f>
        <v>1</v>
      </c>
      <c r="E281">
        <f>clean_sales!L281</f>
        <v>5</v>
      </c>
      <c r="F281">
        <f>clean_sales!T281</f>
        <v>60000</v>
      </c>
    </row>
    <row r="282" spans="1:6" x14ac:dyDescent="0.35">
      <c r="A282" t="str">
        <v>TXN100280</v>
      </c>
      <c r="B282">
        <f>_xlfn.XLOOKUP(clean_sales!P282,Dim_Date!B:B,Dim_Date!A:A)</f>
        <v>20250917</v>
      </c>
      <c r="C282">
        <f>_xlfn.XLOOKUP(clean_sales!C282,Dim_Customer!B:B,Dim_Customer!A:A)</f>
        <v>74</v>
      </c>
      <c r="D282">
        <f>_xlfn.XLOOKUP(clean_sales!I282,Dim_Product!B:B,Dim_Product!A:A)</f>
        <v>2</v>
      </c>
      <c r="E282">
        <f>clean_sales!L282</f>
        <v>4</v>
      </c>
      <c r="F282">
        <f>clean_sales!T282</f>
        <v>260000</v>
      </c>
    </row>
    <row r="283" spans="1:6" x14ac:dyDescent="0.35">
      <c r="A283" t="str">
        <v>TXN100281</v>
      </c>
      <c r="B283">
        <f>_xlfn.XLOOKUP(clean_sales!P283,Dim_Date!B:B,Dim_Date!A:A)</f>
        <v>20250621</v>
      </c>
      <c r="C283">
        <f>_xlfn.XLOOKUP(clean_sales!C283,Dim_Customer!B:B,Dim_Customer!A:A)</f>
        <v>235</v>
      </c>
      <c r="D283">
        <f>_xlfn.XLOOKUP(clean_sales!I283,Dim_Product!B:B,Dim_Product!A:A)</f>
        <v>4</v>
      </c>
      <c r="E283">
        <f>clean_sales!L283</f>
        <v>3</v>
      </c>
      <c r="F283">
        <f>clean_sales!T283</f>
        <v>13500</v>
      </c>
    </row>
    <row r="284" spans="1:6" x14ac:dyDescent="0.35">
      <c r="A284" t="str">
        <v>TXN100282</v>
      </c>
      <c r="B284">
        <f>_xlfn.XLOOKUP(clean_sales!P284,Dim_Date!B:B,Dim_Date!A:A)</f>
        <v>20251221</v>
      </c>
      <c r="C284">
        <f>_xlfn.XLOOKUP(clean_sales!C284,Dim_Customer!B:B,Dim_Customer!A:A)</f>
        <v>31</v>
      </c>
      <c r="D284">
        <f>_xlfn.XLOOKUP(clean_sales!I284,Dim_Product!B:B,Dim_Product!A:A)</f>
        <v>4</v>
      </c>
      <c r="E284">
        <f>clean_sales!L284</f>
        <v>4</v>
      </c>
      <c r="F284">
        <f>clean_sales!T284</f>
        <v>18000</v>
      </c>
    </row>
    <row r="285" spans="1:6" x14ac:dyDescent="0.35">
      <c r="A285" t="str">
        <v>TXN100283</v>
      </c>
      <c r="B285">
        <f>_xlfn.XLOOKUP(clean_sales!P285,Dim_Date!B:B,Dim_Date!A:A)</f>
        <v>20250404</v>
      </c>
      <c r="C285">
        <f>_xlfn.XLOOKUP(clean_sales!C285,Dim_Customer!B:B,Dim_Customer!A:A)</f>
        <v>236</v>
      </c>
      <c r="D285">
        <f>_xlfn.XLOOKUP(clean_sales!I285,Dim_Product!B:B,Dim_Product!A:A)</f>
        <v>4</v>
      </c>
      <c r="E285">
        <f>clean_sales!L285</f>
        <v>2</v>
      </c>
      <c r="F285">
        <f>clean_sales!T285</f>
        <v>9000</v>
      </c>
    </row>
    <row r="286" spans="1:6" x14ac:dyDescent="0.35">
      <c r="A286" t="str">
        <v>TXN100284</v>
      </c>
      <c r="B286">
        <f>_xlfn.XLOOKUP(clean_sales!P286,Dim_Date!B:B,Dim_Date!A:A)</f>
        <v>20251016</v>
      </c>
      <c r="C286">
        <f>_xlfn.XLOOKUP(clean_sales!C286,Dim_Customer!B:B,Dim_Customer!A:A)</f>
        <v>20</v>
      </c>
      <c r="D286">
        <f>_xlfn.XLOOKUP(clean_sales!I286,Dim_Product!B:B,Dim_Product!A:A)</f>
        <v>2</v>
      </c>
      <c r="E286">
        <f>clean_sales!L286</f>
        <v>2</v>
      </c>
      <c r="F286">
        <f>clean_sales!T286</f>
        <v>130000</v>
      </c>
    </row>
    <row r="287" spans="1:6" x14ac:dyDescent="0.35">
      <c r="A287" t="str">
        <v>TXN100285</v>
      </c>
      <c r="B287">
        <f>_xlfn.XLOOKUP(clean_sales!P287,Dim_Date!B:B,Dim_Date!A:A)</f>
        <v>20250819</v>
      </c>
      <c r="C287">
        <f>_xlfn.XLOOKUP(clean_sales!C287,Dim_Customer!B:B,Dim_Customer!A:A)</f>
        <v>237</v>
      </c>
      <c r="D287">
        <f>_xlfn.XLOOKUP(clean_sales!I287,Dim_Product!B:B,Dim_Product!A:A)</f>
        <v>2</v>
      </c>
      <c r="E287">
        <f>clean_sales!L287</f>
        <v>1</v>
      </c>
      <c r="F287">
        <f>clean_sales!T287</f>
        <v>65000</v>
      </c>
    </row>
    <row r="288" spans="1:6" x14ac:dyDescent="0.35">
      <c r="A288" t="str">
        <v>TXN100286</v>
      </c>
      <c r="B288">
        <f>_xlfn.XLOOKUP(clean_sales!P288,Dim_Date!B:B,Dim_Date!A:A)</f>
        <v>20251022</v>
      </c>
      <c r="C288">
        <f>_xlfn.XLOOKUP(clean_sales!C288,Dim_Customer!B:B,Dim_Customer!A:A)</f>
        <v>238</v>
      </c>
      <c r="D288">
        <f>_xlfn.XLOOKUP(clean_sales!I288,Dim_Product!B:B,Dim_Product!A:A)</f>
        <v>2</v>
      </c>
      <c r="E288">
        <f>clean_sales!L288</f>
        <v>2</v>
      </c>
      <c r="F288">
        <f>clean_sales!T288</f>
        <v>130000</v>
      </c>
    </row>
    <row r="289" spans="1:6" x14ac:dyDescent="0.35">
      <c r="A289" t="str">
        <v>TXN100287</v>
      </c>
      <c r="B289">
        <f>_xlfn.XLOOKUP(clean_sales!P289,Dim_Date!B:B,Dim_Date!A:A)</f>
        <v>20250219</v>
      </c>
      <c r="C289">
        <f>_xlfn.XLOOKUP(clean_sales!C289,Dim_Customer!B:B,Dim_Customer!A:A)</f>
        <v>239</v>
      </c>
      <c r="D289">
        <f>_xlfn.XLOOKUP(clean_sales!I289,Dim_Product!B:B,Dim_Product!A:A)</f>
        <v>1</v>
      </c>
      <c r="E289">
        <f>clean_sales!L289</f>
        <v>1</v>
      </c>
      <c r="F289">
        <f>clean_sales!T289</f>
        <v>12000</v>
      </c>
    </row>
    <row r="290" spans="1:6" x14ac:dyDescent="0.35">
      <c r="A290" t="str">
        <v>TXN100288</v>
      </c>
      <c r="B290">
        <f>_xlfn.XLOOKUP(clean_sales!P290,Dim_Date!B:B,Dim_Date!A:A)</f>
        <v>20251014</v>
      </c>
      <c r="C290">
        <f>_xlfn.XLOOKUP(clean_sales!C290,Dim_Customer!B:B,Dim_Customer!A:A)</f>
        <v>240</v>
      </c>
      <c r="D290">
        <f>_xlfn.XLOOKUP(clean_sales!I290,Dim_Product!B:B,Dim_Product!A:A)</f>
        <v>7</v>
      </c>
      <c r="E290">
        <f>clean_sales!L290</f>
        <v>3</v>
      </c>
      <c r="F290">
        <f>clean_sales!T290</f>
        <v>174000</v>
      </c>
    </row>
    <row r="291" spans="1:6" x14ac:dyDescent="0.35">
      <c r="A291" t="str">
        <v>TXN100289</v>
      </c>
      <c r="B291">
        <f>_xlfn.XLOOKUP(clean_sales!P291,Dim_Date!B:B,Dim_Date!A:A)</f>
        <v>20250805</v>
      </c>
      <c r="C291">
        <f>_xlfn.XLOOKUP(clean_sales!C291,Dim_Customer!B:B,Dim_Customer!A:A)</f>
        <v>241</v>
      </c>
      <c r="D291">
        <f>_xlfn.XLOOKUP(clean_sales!I291,Dim_Product!B:B,Dim_Product!A:A)</f>
        <v>3</v>
      </c>
      <c r="E291">
        <f>clean_sales!L291</f>
        <v>5</v>
      </c>
      <c r="F291">
        <f>clean_sales!T291</f>
        <v>25000</v>
      </c>
    </row>
    <row r="292" spans="1:6" x14ac:dyDescent="0.35">
      <c r="A292" t="str">
        <v>TXN100290</v>
      </c>
      <c r="B292">
        <f>_xlfn.XLOOKUP(clean_sales!P292,Dim_Date!B:B,Dim_Date!A:A)</f>
        <v>20250124</v>
      </c>
      <c r="C292">
        <f>_xlfn.XLOOKUP(clean_sales!C292,Dim_Customer!B:B,Dim_Customer!A:A)</f>
        <v>242</v>
      </c>
      <c r="D292">
        <f>_xlfn.XLOOKUP(clean_sales!I292,Dim_Product!B:B,Dim_Product!A:A)</f>
        <v>3</v>
      </c>
      <c r="E292">
        <f>clean_sales!L292</f>
        <v>4</v>
      </c>
      <c r="F292">
        <f>clean_sales!T292</f>
        <v>20000</v>
      </c>
    </row>
    <row r="293" spans="1:6" x14ac:dyDescent="0.35">
      <c r="A293" t="str">
        <v>TXN100291</v>
      </c>
      <c r="B293">
        <f>_xlfn.XLOOKUP(clean_sales!P293,Dim_Date!B:B,Dim_Date!A:A)</f>
        <v>20250724</v>
      </c>
      <c r="C293">
        <f>_xlfn.XLOOKUP(clean_sales!C293,Dim_Customer!B:B,Dim_Customer!A:A)</f>
        <v>243</v>
      </c>
      <c r="D293">
        <f>_xlfn.XLOOKUP(clean_sales!I293,Dim_Product!B:B,Dim_Product!A:A)</f>
        <v>5</v>
      </c>
      <c r="E293">
        <f>clean_sales!L293</f>
        <v>4</v>
      </c>
      <c r="F293">
        <f>clean_sales!T293</f>
        <v>7200</v>
      </c>
    </row>
    <row r="294" spans="1:6" x14ac:dyDescent="0.35">
      <c r="A294" t="str">
        <v>TXN100292</v>
      </c>
      <c r="B294">
        <f>_xlfn.XLOOKUP(clean_sales!P294,Dim_Date!B:B,Dim_Date!A:A)</f>
        <v>20250307</v>
      </c>
      <c r="C294">
        <f>_xlfn.XLOOKUP(clean_sales!C294,Dim_Customer!B:B,Dim_Customer!A:A)</f>
        <v>244</v>
      </c>
      <c r="D294">
        <f>_xlfn.XLOOKUP(clean_sales!I294,Dim_Product!B:B,Dim_Product!A:A)</f>
        <v>2</v>
      </c>
      <c r="E294">
        <f>clean_sales!L294</f>
        <v>3</v>
      </c>
      <c r="F294">
        <f>clean_sales!T294</f>
        <v>195000</v>
      </c>
    </row>
    <row r="295" spans="1:6" x14ac:dyDescent="0.35">
      <c r="A295" t="str">
        <v>TXN100293</v>
      </c>
      <c r="B295">
        <f>_xlfn.XLOOKUP(clean_sales!P295,Dim_Date!B:B,Dim_Date!A:A)</f>
        <v>20250301</v>
      </c>
      <c r="C295">
        <f>_xlfn.XLOOKUP(clean_sales!C295,Dim_Customer!B:B,Dim_Customer!A:A)</f>
        <v>245</v>
      </c>
      <c r="D295">
        <f>_xlfn.XLOOKUP(clean_sales!I295,Dim_Product!B:B,Dim_Product!A:A)</f>
        <v>4</v>
      </c>
      <c r="E295">
        <f>clean_sales!L295</f>
        <v>1</v>
      </c>
      <c r="F295">
        <f>clean_sales!T295</f>
        <v>4500</v>
      </c>
    </row>
    <row r="296" spans="1:6" x14ac:dyDescent="0.35">
      <c r="A296" t="str">
        <v>TXN100294</v>
      </c>
      <c r="B296">
        <f>_xlfn.XLOOKUP(clean_sales!P296,Dim_Date!B:B,Dim_Date!A:A)</f>
        <v>20250923</v>
      </c>
      <c r="C296">
        <f>_xlfn.XLOOKUP(clean_sales!C296,Dim_Customer!B:B,Dim_Customer!A:A)</f>
        <v>117</v>
      </c>
      <c r="D296">
        <f>_xlfn.XLOOKUP(clean_sales!I296,Dim_Product!B:B,Dim_Product!A:A)</f>
        <v>6</v>
      </c>
      <c r="E296">
        <f>clean_sales!L296</f>
        <v>1</v>
      </c>
      <c r="F296">
        <f>clean_sales!T296</f>
        <v>72000</v>
      </c>
    </row>
    <row r="297" spans="1:6" x14ac:dyDescent="0.35">
      <c r="A297" t="str">
        <v>TXN100295</v>
      </c>
      <c r="B297">
        <f>_xlfn.XLOOKUP(clean_sales!P297,Dim_Date!B:B,Dim_Date!A:A)</f>
        <v>20250822</v>
      </c>
      <c r="C297">
        <f>_xlfn.XLOOKUP(clean_sales!C297,Dim_Customer!B:B,Dim_Customer!A:A)</f>
        <v>113</v>
      </c>
      <c r="D297">
        <f>_xlfn.XLOOKUP(clean_sales!I297,Dim_Product!B:B,Dim_Product!A:A)</f>
        <v>1</v>
      </c>
      <c r="E297">
        <f>clean_sales!L297</f>
        <v>2</v>
      </c>
      <c r="F297">
        <f>clean_sales!T297</f>
        <v>24000</v>
      </c>
    </row>
    <row r="298" spans="1:6" x14ac:dyDescent="0.35">
      <c r="A298" t="str">
        <v>TXN100296</v>
      </c>
      <c r="B298">
        <f>_xlfn.XLOOKUP(clean_sales!P298,Dim_Date!B:B,Dim_Date!A:A)</f>
        <v>20250818</v>
      </c>
      <c r="C298">
        <f>_xlfn.XLOOKUP(clean_sales!C298,Dim_Customer!B:B,Dim_Customer!A:A)</f>
        <v>246</v>
      </c>
      <c r="D298">
        <f>_xlfn.XLOOKUP(clean_sales!I298,Dim_Product!B:B,Dim_Product!A:A)</f>
        <v>7</v>
      </c>
      <c r="E298">
        <f>clean_sales!L298</f>
        <v>5</v>
      </c>
      <c r="F298">
        <f>clean_sales!T298</f>
        <v>290000</v>
      </c>
    </row>
    <row r="299" spans="1:6" x14ac:dyDescent="0.35">
      <c r="A299" t="str">
        <v>TXN100297</v>
      </c>
      <c r="B299">
        <f>_xlfn.XLOOKUP(clean_sales!P299,Dim_Date!B:B,Dim_Date!A:A)</f>
        <v>20251009</v>
      </c>
      <c r="C299">
        <f>_xlfn.XLOOKUP(clean_sales!C299,Dim_Customer!B:B,Dim_Customer!A:A)</f>
        <v>247</v>
      </c>
      <c r="D299">
        <f>_xlfn.XLOOKUP(clean_sales!I299,Dim_Product!B:B,Dim_Product!A:A)</f>
        <v>3</v>
      </c>
      <c r="E299">
        <f>clean_sales!L299</f>
        <v>2</v>
      </c>
      <c r="F299">
        <f>clean_sales!T299</f>
        <v>10000</v>
      </c>
    </row>
    <row r="300" spans="1:6" x14ac:dyDescent="0.35">
      <c r="A300" t="str">
        <v>TXN100298</v>
      </c>
      <c r="B300">
        <f>_xlfn.XLOOKUP(clean_sales!P300,Dim_Date!B:B,Dim_Date!A:A)</f>
        <v>20250328</v>
      </c>
      <c r="C300">
        <f>_xlfn.XLOOKUP(clean_sales!C300,Dim_Customer!B:B,Dim_Customer!A:A)</f>
        <v>248</v>
      </c>
      <c r="D300">
        <f>_xlfn.XLOOKUP(clean_sales!I300,Dim_Product!B:B,Dim_Product!A:A)</f>
        <v>3</v>
      </c>
      <c r="E300">
        <f>clean_sales!L300</f>
        <v>1</v>
      </c>
      <c r="F300">
        <f>clean_sales!T300</f>
        <v>5000</v>
      </c>
    </row>
    <row r="301" spans="1:6" x14ac:dyDescent="0.35">
      <c r="A301" t="str">
        <v>TXN100299</v>
      </c>
      <c r="B301">
        <f>_xlfn.XLOOKUP(clean_sales!P301,Dim_Date!B:B,Dim_Date!A:A)</f>
        <v>20250413</v>
      </c>
      <c r="C301">
        <f>_xlfn.XLOOKUP(clean_sales!C301,Dim_Customer!B:B,Dim_Customer!A:A)</f>
        <v>249</v>
      </c>
      <c r="D301">
        <f>_xlfn.XLOOKUP(clean_sales!I301,Dim_Product!B:B,Dim_Product!A:A)</f>
        <v>4</v>
      </c>
      <c r="E301">
        <f>clean_sales!L301</f>
        <v>2</v>
      </c>
      <c r="F301">
        <f>clean_sales!T301</f>
        <v>9000</v>
      </c>
    </row>
    <row r="302" spans="1:6" x14ac:dyDescent="0.35">
      <c r="A302" t="str">
        <v>TXN100300</v>
      </c>
      <c r="B302">
        <f>_xlfn.XLOOKUP(clean_sales!P302,Dim_Date!B:B,Dim_Date!A:A)</f>
        <v>20250911</v>
      </c>
      <c r="C302">
        <f>_xlfn.XLOOKUP(clean_sales!C302,Dim_Customer!B:B,Dim_Customer!A:A)</f>
        <v>105</v>
      </c>
      <c r="D302">
        <f>_xlfn.XLOOKUP(clean_sales!I302,Dim_Product!B:B,Dim_Product!A:A)</f>
        <v>6</v>
      </c>
      <c r="E302">
        <f>clean_sales!L302</f>
        <v>4</v>
      </c>
      <c r="F302">
        <f>clean_sales!T302</f>
        <v>288000</v>
      </c>
    </row>
    <row r="303" spans="1:6" x14ac:dyDescent="0.35">
      <c r="A303" t="str">
        <v>TXN100301</v>
      </c>
      <c r="B303">
        <f>_xlfn.XLOOKUP(clean_sales!P303,Dim_Date!B:B,Dim_Date!A:A)</f>
        <v>20250804</v>
      </c>
      <c r="C303">
        <f>_xlfn.XLOOKUP(clean_sales!C303,Dim_Customer!B:B,Dim_Customer!A:A)</f>
        <v>250</v>
      </c>
      <c r="D303">
        <f>_xlfn.XLOOKUP(clean_sales!I303,Dim_Product!B:B,Dim_Product!A:A)</f>
        <v>2</v>
      </c>
      <c r="E303">
        <f>clean_sales!L303</f>
        <v>5</v>
      </c>
      <c r="F303">
        <f>clean_sales!T303</f>
        <v>325000</v>
      </c>
    </row>
    <row r="304" spans="1:6" x14ac:dyDescent="0.35">
      <c r="A304" t="str">
        <v>TXN100302</v>
      </c>
      <c r="B304">
        <f>_xlfn.XLOOKUP(clean_sales!P304,Dim_Date!B:B,Dim_Date!A:A)</f>
        <v>20250212</v>
      </c>
      <c r="C304">
        <f>_xlfn.XLOOKUP(clean_sales!C304,Dim_Customer!B:B,Dim_Customer!A:A)</f>
        <v>251</v>
      </c>
      <c r="D304">
        <f>_xlfn.XLOOKUP(clean_sales!I304,Dim_Product!B:B,Dim_Product!A:A)</f>
        <v>1</v>
      </c>
      <c r="E304">
        <f>clean_sales!L304</f>
        <v>5</v>
      </c>
      <c r="F304">
        <f>clean_sales!T304</f>
        <v>60000</v>
      </c>
    </row>
    <row r="305" spans="1:6" x14ac:dyDescent="0.35">
      <c r="A305" t="str">
        <v>TXN100303</v>
      </c>
      <c r="B305">
        <f>_xlfn.XLOOKUP(clean_sales!P305,Dim_Date!B:B,Dim_Date!A:A)</f>
        <v>20250829</v>
      </c>
      <c r="C305">
        <f>_xlfn.XLOOKUP(clean_sales!C305,Dim_Customer!B:B,Dim_Customer!A:A)</f>
        <v>230</v>
      </c>
      <c r="D305">
        <f>_xlfn.XLOOKUP(clean_sales!I305,Dim_Product!B:B,Dim_Product!A:A)</f>
        <v>7</v>
      </c>
      <c r="E305">
        <f>clean_sales!L305</f>
        <v>4</v>
      </c>
      <c r="F305">
        <f>clean_sales!T305</f>
        <v>232000</v>
      </c>
    </row>
    <row r="306" spans="1:6" x14ac:dyDescent="0.35">
      <c r="A306" t="str">
        <v>TXN100304</v>
      </c>
      <c r="B306">
        <f>_xlfn.XLOOKUP(clean_sales!P306,Dim_Date!B:B,Dim_Date!A:A)</f>
        <v>20250619</v>
      </c>
      <c r="C306">
        <f>_xlfn.XLOOKUP(clean_sales!C306,Dim_Customer!B:B,Dim_Customer!A:A)</f>
        <v>252</v>
      </c>
      <c r="D306">
        <f>_xlfn.XLOOKUP(clean_sales!I306,Dim_Product!B:B,Dim_Product!A:A)</f>
        <v>2</v>
      </c>
      <c r="E306">
        <f>clean_sales!L306</f>
        <v>4</v>
      </c>
      <c r="F306">
        <f>clean_sales!T306</f>
        <v>260000</v>
      </c>
    </row>
    <row r="307" spans="1:6" x14ac:dyDescent="0.35">
      <c r="A307" t="str">
        <v>TXN100305</v>
      </c>
      <c r="B307">
        <f>_xlfn.XLOOKUP(clean_sales!P307,Dim_Date!B:B,Dim_Date!A:A)</f>
        <v>20250613</v>
      </c>
      <c r="C307">
        <f>_xlfn.XLOOKUP(clean_sales!C307,Dim_Customer!B:B,Dim_Customer!A:A)</f>
        <v>253</v>
      </c>
      <c r="D307">
        <f>_xlfn.XLOOKUP(clean_sales!I307,Dim_Product!B:B,Dim_Product!A:A)</f>
        <v>5</v>
      </c>
      <c r="E307">
        <f>clean_sales!L307</f>
        <v>2</v>
      </c>
      <c r="F307">
        <f>clean_sales!T307</f>
        <v>3600</v>
      </c>
    </row>
    <row r="308" spans="1:6" x14ac:dyDescent="0.35">
      <c r="A308" t="str">
        <v>TXN100306</v>
      </c>
      <c r="B308">
        <f>_xlfn.XLOOKUP(clean_sales!P308,Dim_Date!B:B,Dim_Date!A:A)</f>
        <v>20250722</v>
      </c>
      <c r="C308">
        <f>_xlfn.XLOOKUP(clean_sales!C308,Dim_Customer!B:B,Dim_Customer!A:A)</f>
        <v>254</v>
      </c>
      <c r="D308">
        <f>_xlfn.XLOOKUP(clean_sales!I308,Dim_Product!B:B,Dim_Product!A:A)</f>
        <v>2</v>
      </c>
      <c r="E308">
        <f>clean_sales!L308</f>
        <v>1</v>
      </c>
      <c r="F308">
        <f>clean_sales!T308</f>
        <v>65000</v>
      </c>
    </row>
    <row r="309" spans="1:6" x14ac:dyDescent="0.35">
      <c r="A309" t="str">
        <v>TXN100307</v>
      </c>
      <c r="B309">
        <f>_xlfn.XLOOKUP(clean_sales!P309,Dim_Date!B:B,Dim_Date!A:A)</f>
        <v>20250714</v>
      </c>
      <c r="C309">
        <f>_xlfn.XLOOKUP(clean_sales!C309,Dim_Customer!B:B,Dim_Customer!A:A)</f>
        <v>217</v>
      </c>
      <c r="D309">
        <f>_xlfn.XLOOKUP(clean_sales!I309,Dim_Product!B:B,Dim_Product!A:A)</f>
        <v>5</v>
      </c>
      <c r="E309">
        <f>clean_sales!L309</f>
        <v>3</v>
      </c>
      <c r="F309">
        <f>clean_sales!T309</f>
        <v>5400</v>
      </c>
    </row>
    <row r="310" spans="1:6" x14ac:dyDescent="0.35">
      <c r="A310" t="str">
        <v>TXN100308</v>
      </c>
      <c r="B310">
        <f>_xlfn.XLOOKUP(clean_sales!P310,Dim_Date!B:B,Dim_Date!A:A)</f>
        <v>20250719</v>
      </c>
      <c r="C310">
        <f>_xlfn.XLOOKUP(clean_sales!C310,Dim_Customer!B:B,Dim_Customer!A:A)</f>
        <v>131</v>
      </c>
      <c r="D310">
        <f>_xlfn.XLOOKUP(clean_sales!I310,Dim_Product!B:B,Dim_Product!A:A)</f>
        <v>1</v>
      </c>
      <c r="E310">
        <f>clean_sales!L310</f>
        <v>3</v>
      </c>
      <c r="F310">
        <f>clean_sales!T310</f>
        <v>36000</v>
      </c>
    </row>
    <row r="311" spans="1:6" x14ac:dyDescent="0.35">
      <c r="A311" t="str">
        <v>TXN100309</v>
      </c>
      <c r="B311">
        <f>_xlfn.XLOOKUP(clean_sales!P311,Dim_Date!B:B,Dim_Date!A:A)</f>
        <v>20251130</v>
      </c>
      <c r="C311">
        <f>_xlfn.XLOOKUP(clean_sales!C311,Dim_Customer!B:B,Dim_Customer!A:A)</f>
        <v>255</v>
      </c>
      <c r="D311">
        <f>_xlfn.XLOOKUP(clean_sales!I311,Dim_Product!B:B,Dim_Product!A:A)</f>
        <v>5</v>
      </c>
      <c r="E311">
        <f>clean_sales!L311</f>
        <v>1</v>
      </c>
      <c r="F311">
        <f>clean_sales!T311</f>
        <v>1800</v>
      </c>
    </row>
    <row r="312" spans="1:6" x14ac:dyDescent="0.35">
      <c r="A312" t="str">
        <v>TXN100310</v>
      </c>
      <c r="B312">
        <f>_xlfn.XLOOKUP(clean_sales!P312,Dim_Date!B:B,Dim_Date!A:A)</f>
        <v>20250617</v>
      </c>
      <c r="C312">
        <f>_xlfn.XLOOKUP(clean_sales!C312,Dim_Customer!B:B,Dim_Customer!A:A)</f>
        <v>256</v>
      </c>
      <c r="D312">
        <f>_xlfn.XLOOKUP(clean_sales!I312,Dim_Product!B:B,Dim_Product!A:A)</f>
        <v>6</v>
      </c>
      <c r="E312">
        <f>clean_sales!L312</f>
        <v>5</v>
      </c>
      <c r="F312">
        <f>clean_sales!T312</f>
        <v>360000</v>
      </c>
    </row>
    <row r="313" spans="1:6" x14ac:dyDescent="0.35">
      <c r="A313" t="str">
        <v>TXN100311</v>
      </c>
      <c r="B313">
        <f>_xlfn.XLOOKUP(clean_sales!P313,Dim_Date!B:B,Dim_Date!A:A)</f>
        <v>20250306</v>
      </c>
      <c r="C313">
        <f>_xlfn.XLOOKUP(clean_sales!C313,Dim_Customer!B:B,Dim_Customer!A:A)</f>
        <v>257</v>
      </c>
      <c r="D313">
        <f>_xlfn.XLOOKUP(clean_sales!I313,Dim_Product!B:B,Dim_Product!A:A)</f>
        <v>7</v>
      </c>
      <c r="E313">
        <f>clean_sales!L313</f>
        <v>5</v>
      </c>
      <c r="F313">
        <f>clean_sales!T313</f>
        <v>290000</v>
      </c>
    </row>
    <row r="314" spans="1:6" x14ac:dyDescent="0.35">
      <c r="A314" t="str">
        <v>TXN100312</v>
      </c>
      <c r="B314">
        <f>_xlfn.XLOOKUP(clean_sales!P314,Dim_Date!B:B,Dim_Date!A:A)</f>
        <v>20251127</v>
      </c>
      <c r="C314">
        <f>_xlfn.XLOOKUP(clean_sales!C314,Dim_Customer!B:B,Dim_Customer!A:A)</f>
        <v>258</v>
      </c>
      <c r="D314">
        <f>_xlfn.XLOOKUP(clean_sales!I314,Dim_Product!B:B,Dim_Product!A:A)</f>
        <v>2</v>
      </c>
      <c r="E314">
        <f>clean_sales!L314</f>
        <v>4</v>
      </c>
      <c r="F314">
        <f>clean_sales!T314</f>
        <v>260000</v>
      </c>
    </row>
    <row r="315" spans="1:6" x14ac:dyDescent="0.35">
      <c r="A315" t="str">
        <v>TXN100313</v>
      </c>
      <c r="B315">
        <f>_xlfn.XLOOKUP(clean_sales!P315,Dim_Date!B:B,Dim_Date!A:A)</f>
        <v>20250502</v>
      </c>
      <c r="C315">
        <f>_xlfn.XLOOKUP(clean_sales!C315,Dim_Customer!B:B,Dim_Customer!A:A)</f>
        <v>259</v>
      </c>
      <c r="D315">
        <f>_xlfn.XLOOKUP(clean_sales!I315,Dim_Product!B:B,Dim_Product!A:A)</f>
        <v>6</v>
      </c>
      <c r="E315">
        <f>clean_sales!L315</f>
        <v>2</v>
      </c>
      <c r="F315">
        <f>clean_sales!T315</f>
        <v>144000</v>
      </c>
    </row>
    <row r="316" spans="1:6" x14ac:dyDescent="0.35">
      <c r="A316" t="str">
        <v>TXN100314</v>
      </c>
      <c r="B316">
        <f>_xlfn.XLOOKUP(clean_sales!P316,Dim_Date!B:B,Dim_Date!A:A)</f>
        <v>20250719</v>
      </c>
      <c r="C316">
        <f>_xlfn.XLOOKUP(clean_sales!C316,Dim_Customer!B:B,Dim_Customer!A:A)</f>
        <v>260</v>
      </c>
      <c r="D316">
        <f>_xlfn.XLOOKUP(clean_sales!I316,Dim_Product!B:B,Dim_Product!A:A)</f>
        <v>2</v>
      </c>
      <c r="E316">
        <f>clean_sales!L316</f>
        <v>5</v>
      </c>
      <c r="F316">
        <f>clean_sales!T316</f>
        <v>325000</v>
      </c>
    </row>
    <row r="317" spans="1:6" x14ac:dyDescent="0.35">
      <c r="A317" t="str">
        <v>TXN100315</v>
      </c>
      <c r="B317">
        <f>_xlfn.XLOOKUP(clean_sales!P317,Dim_Date!B:B,Dim_Date!A:A)</f>
        <v>20250901</v>
      </c>
      <c r="C317">
        <f>_xlfn.XLOOKUP(clean_sales!C317,Dim_Customer!B:B,Dim_Customer!A:A)</f>
        <v>122</v>
      </c>
      <c r="D317">
        <f>_xlfn.XLOOKUP(clean_sales!I317,Dim_Product!B:B,Dim_Product!A:A)</f>
        <v>7</v>
      </c>
      <c r="E317">
        <f>clean_sales!L317</f>
        <v>5</v>
      </c>
      <c r="F317">
        <f>clean_sales!T317</f>
        <v>290000</v>
      </c>
    </row>
    <row r="318" spans="1:6" x14ac:dyDescent="0.35">
      <c r="A318" t="str">
        <v>TXN100316</v>
      </c>
      <c r="B318">
        <f>_xlfn.XLOOKUP(clean_sales!P318,Dim_Date!B:B,Dim_Date!A:A)</f>
        <v>20251123</v>
      </c>
      <c r="C318">
        <f>_xlfn.XLOOKUP(clean_sales!C318,Dim_Customer!B:B,Dim_Customer!A:A)</f>
        <v>261</v>
      </c>
      <c r="D318">
        <f>_xlfn.XLOOKUP(clean_sales!I318,Dim_Product!B:B,Dim_Product!A:A)</f>
        <v>4</v>
      </c>
      <c r="E318">
        <f>clean_sales!L318</f>
        <v>5</v>
      </c>
      <c r="F318">
        <f>clean_sales!T318</f>
        <v>22500</v>
      </c>
    </row>
    <row r="319" spans="1:6" x14ac:dyDescent="0.35">
      <c r="A319" t="str">
        <v>TXN100317</v>
      </c>
      <c r="B319">
        <f>_xlfn.XLOOKUP(clean_sales!P319,Dim_Date!B:B,Dim_Date!A:A)</f>
        <v>20250511</v>
      </c>
      <c r="C319">
        <f>_xlfn.XLOOKUP(clean_sales!C319,Dim_Customer!B:B,Dim_Customer!A:A)</f>
        <v>6</v>
      </c>
      <c r="D319">
        <f>_xlfn.XLOOKUP(clean_sales!I319,Dim_Product!B:B,Dim_Product!A:A)</f>
        <v>5</v>
      </c>
      <c r="E319">
        <f>clean_sales!L319</f>
        <v>4</v>
      </c>
      <c r="F319">
        <f>clean_sales!T319</f>
        <v>7200</v>
      </c>
    </row>
    <row r="320" spans="1:6" x14ac:dyDescent="0.35">
      <c r="A320" t="str">
        <v>TXN100318</v>
      </c>
      <c r="B320">
        <f>_xlfn.XLOOKUP(clean_sales!P320,Dim_Date!B:B,Dim_Date!A:A)</f>
        <v>20251110</v>
      </c>
      <c r="C320">
        <f>_xlfn.XLOOKUP(clean_sales!C320,Dim_Customer!B:B,Dim_Customer!A:A)</f>
        <v>122</v>
      </c>
      <c r="D320">
        <f>_xlfn.XLOOKUP(clean_sales!I320,Dim_Product!B:B,Dim_Product!A:A)</f>
        <v>2</v>
      </c>
      <c r="E320">
        <f>clean_sales!L320</f>
        <v>5</v>
      </c>
      <c r="F320">
        <f>clean_sales!T320</f>
        <v>325000</v>
      </c>
    </row>
    <row r="321" spans="1:6" x14ac:dyDescent="0.35">
      <c r="A321" t="str">
        <v>TXN100319</v>
      </c>
      <c r="B321">
        <f>_xlfn.XLOOKUP(clean_sales!P321,Dim_Date!B:B,Dim_Date!A:A)</f>
        <v>20250608</v>
      </c>
      <c r="C321">
        <f>_xlfn.XLOOKUP(clean_sales!C321,Dim_Customer!B:B,Dim_Customer!A:A)</f>
        <v>262</v>
      </c>
      <c r="D321">
        <f>_xlfn.XLOOKUP(clean_sales!I321,Dim_Product!B:B,Dim_Product!A:A)</f>
        <v>5</v>
      </c>
      <c r="E321">
        <f>clean_sales!L321</f>
        <v>2</v>
      </c>
      <c r="F321">
        <f>clean_sales!T321</f>
        <v>3600</v>
      </c>
    </row>
    <row r="322" spans="1:6" x14ac:dyDescent="0.35">
      <c r="A322" t="str">
        <v>TXN100320</v>
      </c>
      <c r="B322">
        <f>_xlfn.XLOOKUP(clean_sales!P322,Dim_Date!B:B,Dim_Date!A:A)</f>
        <v>20250810</v>
      </c>
      <c r="C322">
        <f>_xlfn.XLOOKUP(clean_sales!C322,Dim_Customer!B:B,Dim_Customer!A:A)</f>
        <v>263</v>
      </c>
      <c r="D322">
        <f>_xlfn.XLOOKUP(clean_sales!I322,Dim_Product!B:B,Dim_Product!A:A)</f>
        <v>4</v>
      </c>
      <c r="E322">
        <f>clean_sales!L322</f>
        <v>2</v>
      </c>
      <c r="F322">
        <f>clean_sales!T322</f>
        <v>9000</v>
      </c>
    </row>
    <row r="323" spans="1:6" x14ac:dyDescent="0.35">
      <c r="A323" t="str">
        <v>TXN100321</v>
      </c>
      <c r="B323">
        <f>_xlfn.XLOOKUP(clean_sales!P323,Dim_Date!B:B,Dim_Date!A:A)</f>
        <v>20250324</v>
      </c>
      <c r="C323">
        <f>_xlfn.XLOOKUP(clean_sales!C323,Dim_Customer!B:B,Dim_Customer!A:A)</f>
        <v>68</v>
      </c>
      <c r="D323">
        <f>_xlfn.XLOOKUP(clean_sales!I323,Dim_Product!B:B,Dim_Product!A:A)</f>
        <v>4</v>
      </c>
      <c r="E323">
        <f>clean_sales!L323</f>
        <v>5</v>
      </c>
      <c r="F323">
        <f>clean_sales!T323</f>
        <v>22500</v>
      </c>
    </row>
    <row r="324" spans="1:6" x14ac:dyDescent="0.35">
      <c r="A324" t="str">
        <v>TXN100322</v>
      </c>
      <c r="B324">
        <f>_xlfn.XLOOKUP(clean_sales!P324,Dim_Date!B:B,Dim_Date!A:A)</f>
        <v>20251030</v>
      </c>
      <c r="C324">
        <f>_xlfn.XLOOKUP(clean_sales!C324,Dim_Customer!B:B,Dim_Customer!A:A)</f>
        <v>264</v>
      </c>
      <c r="D324">
        <f>_xlfn.XLOOKUP(clean_sales!I324,Dim_Product!B:B,Dim_Product!A:A)</f>
        <v>5</v>
      </c>
      <c r="E324">
        <f>clean_sales!L324</f>
        <v>2</v>
      </c>
      <c r="F324">
        <f>clean_sales!T324</f>
        <v>3600</v>
      </c>
    </row>
    <row r="325" spans="1:6" x14ac:dyDescent="0.35">
      <c r="A325" t="str">
        <v>TXN100323</v>
      </c>
      <c r="B325">
        <f>_xlfn.XLOOKUP(clean_sales!P325,Dim_Date!B:B,Dim_Date!A:A)</f>
        <v>20250626</v>
      </c>
      <c r="C325">
        <f>_xlfn.XLOOKUP(clean_sales!C325,Dim_Customer!B:B,Dim_Customer!A:A)</f>
        <v>265</v>
      </c>
      <c r="D325">
        <f>_xlfn.XLOOKUP(clean_sales!I325,Dim_Product!B:B,Dim_Product!A:A)</f>
        <v>3</v>
      </c>
      <c r="E325">
        <f>clean_sales!L325</f>
        <v>4</v>
      </c>
      <c r="F325">
        <f>clean_sales!T325</f>
        <v>20000</v>
      </c>
    </row>
    <row r="326" spans="1:6" x14ac:dyDescent="0.35">
      <c r="A326" t="str">
        <v>TXN100324</v>
      </c>
      <c r="B326">
        <f>_xlfn.XLOOKUP(clean_sales!P326,Dim_Date!B:B,Dim_Date!A:A)</f>
        <v>20250622</v>
      </c>
      <c r="C326">
        <f>_xlfn.XLOOKUP(clean_sales!C326,Dim_Customer!B:B,Dim_Customer!A:A)</f>
        <v>266</v>
      </c>
      <c r="D326">
        <f>_xlfn.XLOOKUP(clean_sales!I326,Dim_Product!B:B,Dim_Product!A:A)</f>
        <v>1</v>
      </c>
      <c r="E326">
        <f>clean_sales!L326</f>
        <v>1</v>
      </c>
      <c r="F326">
        <f>clean_sales!T326</f>
        <v>12000</v>
      </c>
    </row>
    <row r="327" spans="1:6" x14ac:dyDescent="0.35">
      <c r="A327" t="str">
        <v>TXN100325</v>
      </c>
      <c r="B327">
        <f>_xlfn.XLOOKUP(clean_sales!P327,Dim_Date!B:B,Dim_Date!A:A)</f>
        <v>20251026</v>
      </c>
      <c r="C327">
        <f>_xlfn.XLOOKUP(clean_sales!C327,Dim_Customer!B:B,Dim_Customer!A:A)</f>
        <v>267</v>
      </c>
      <c r="D327">
        <f>_xlfn.XLOOKUP(clean_sales!I327,Dim_Product!B:B,Dim_Product!A:A)</f>
        <v>2</v>
      </c>
      <c r="E327">
        <f>clean_sales!L327</f>
        <v>1</v>
      </c>
      <c r="F327">
        <f>clean_sales!T327</f>
        <v>65000</v>
      </c>
    </row>
    <row r="328" spans="1:6" x14ac:dyDescent="0.35">
      <c r="A328" t="str">
        <v>TXN100326</v>
      </c>
      <c r="B328">
        <f>_xlfn.XLOOKUP(clean_sales!P328,Dim_Date!B:B,Dim_Date!A:A)</f>
        <v>20250710</v>
      </c>
      <c r="C328">
        <f>_xlfn.XLOOKUP(clean_sales!C328,Dim_Customer!B:B,Dim_Customer!A:A)</f>
        <v>268</v>
      </c>
      <c r="D328">
        <f>_xlfn.XLOOKUP(clean_sales!I328,Dim_Product!B:B,Dim_Product!A:A)</f>
        <v>6</v>
      </c>
      <c r="E328">
        <f>clean_sales!L328</f>
        <v>2</v>
      </c>
      <c r="F328">
        <f>clean_sales!T328</f>
        <v>144000</v>
      </c>
    </row>
    <row r="329" spans="1:6" x14ac:dyDescent="0.35">
      <c r="A329" t="str">
        <v>TXN100327</v>
      </c>
      <c r="B329">
        <f>_xlfn.XLOOKUP(clean_sales!P329,Dim_Date!B:B,Dim_Date!A:A)</f>
        <v>20251218</v>
      </c>
      <c r="C329">
        <f>_xlfn.XLOOKUP(clean_sales!C329,Dim_Customer!B:B,Dim_Customer!A:A)</f>
        <v>269</v>
      </c>
      <c r="D329">
        <f>_xlfn.XLOOKUP(clean_sales!I329,Dim_Product!B:B,Dim_Product!A:A)</f>
        <v>7</v>
      </c>
      <c r="E329">
        <f>clean_sales!L329</f>
        <v>4</v>
      </c>
      <c r="F329">
        <f>clean_sales!T329</f>
        <v>232000</v>
      </c>
    </row>
    <row r="330" spans="1:6" x14ac:dyDescent="0.35">
      <c r="A330" t="str">
        <v>TXN100328</v>
      </c>
      <c r="B330">
        <f>_xlfn.XLOOKUP(clean_sales!P330,Dim_Date!B:B,Dim_Date!A:A)</f>
        <v>20250930</v>
      </c>
      <c r="C330">
        <f>_xlfn.XLOOKUP(clean_sales!C330,Dim_Customer!B:B,Dim_Customer!A:A)</f>
        <v>270</v>
      </c>
      <c r="D330">
        <f>_xlfn.XLOOKUP(clean_sales!I330,Dim_Product!B:B,Dim_Product!A:A)</f>
        <v>4</v>
      </c>
      <c r="E330">
        <f>clean_sales!L330</f>
        <v>1</v>
      </c>
      <c r="F330">
        <f>clean_sales!T330</f>
        <v>4500</v>
      </c>
    </row>
    <row r="331" spans="1:6" x14ac:dyDescent="0.35">
      <c r="A331" t="str">
        <v>TXN100329</v>
      </c>
      <c r="B331">
        <f>_xlfn.XLOOKUP(clean_sales!P331,Dim_Date!B:B,Dim_Date!A:A)</f>
        <v>20251210</v>
      </c>
      <c r="C331">
        <f>_xlfn.XLOOKUP(clean_sales!C331,Dim_Customer!B:B,Dim_Customer!A:A)</f>
        <v>271</v>
      </c>
      <c r="D331">
        <f>_xlfn.XLOOKUP(clean_sales!I331,Dim_Product!B:B,Dim_Product!A:A)</f>
        <v>4</v>
      </c>
      <c r="E331">
        <f>clean_sales!L331</f>
        <v>1</v>
      </c>
      <c r="F331">
        <f>clean_sales!T331</f>
        <v>4500</v>
      </c>
    </row>
    <row r="332" spans="1:6" x14ac:dyDescent="0.35">
      <c r="A332" t="str">
        <v>TXN100330</v>
      </c>
      <c r="B332">
        <f>_xlfn.XLOOKUP(clean_sales!P332,Dim_Date!B:B,Dim_Date!A:A)</f>
        <v>20250319</v>
      </c>
      <c r="C332">
        <f>_xlfn.XLOOKUP(clean_sales!C332,Dim_Customer!B:B,Dim_Customer!A:A)</f>
        <v>272</v>
      </c>
      <c r="D332">
        <f>_xlfn.XLOOKUP(clean_sales!I332,Dim_Product!B:B,Dim_Product!A:A)</f>
        <v>3</v>
      </c>
      <c r="E332">
        <f>clean_sales!L332</f>
        <v>3</v>
      </c>
      <c r="F332">
        <f>clean_sales!T332</f>
        <v>15000</v>
      </c>
    </row>
    <row r="333" spans="1:6" x14ac:dyDescent="0.35">
      <c r="A333" t="str">
        <v>TXN100331</v>
      </c>
      <c r="B333">
        <f>_xlfn.XLOOKUP(clean_sales!P333,Dim_Date!B:B,Dim_Date!A:A)</f>
        <v>20250219</v>
      </c>
      <c r="C333">
        <f>_xlfn.XLOOKUP(clean_sales!C333,Dim_Customer!B:B,Dim_Customer!A:A)</f>
        <v>273</v>
      </c>
      <c r="D333">
        <f>_xlfn.XLOOKUP(clean_sales!I333,Dim_Product!B:B,Dim_Product!A:A)</f>
        <v>4</v>
      </c>
      <c r="E333">
        <f>clean_sales!L333</f>
        <v>4</v>
      </c>
      <c r="F333">
        <f>clean_sales!T333</f>
        <v>18000</v>
      </c>
    </row>
    <row r="334" spans="1:6" x14ac:dyDescent="0.35">
      <c r="A334" t="str">
        <v>TXN100332</v>
      </c>
      <c r="B334">
        <f>_xlfn.XLOOKUP(clean_sales!P334,Dim_Date!B:B,Dim_Date!A:A)</f>
        <v>20250525</v>
      </c>
      <c r="C334">
        <f>_xlfn.XLOOKUP(clean_sales!C334,Dim_Customer!B:B,Dim_Customer!A:A)</f>
        <v>274</v>
      </c>
      <c r="D334">
        <f>_xlfn.XLOOKUP(clean_sales!I334,Dim_Product!B:B,Dim_Product!A:A)</f>
        <v>7</v>
      </c>
      <c r="E334">
        <f>clean_sales!L334</f>
        <v>5</v>
      </c>
      <c r="F334">
        <f>clean_sales!T334</f>
        <v>290000</v>
      </c>
    </row>
    <row r="335" spans="1:6" x14ac:dyDescent="0.35">
      <c r="A335" t="str">
        <v>TXN100333</v>
      </c>
      <c r="B335">
        <f>_xlfn.XLOOKUP(clean_sales!P335,Dim_Date!B:B,Dim_Date!A:A)</f>
        <v>20250925</v>
      </c>
      <c r="C335">
        <f>_xlfn.XLOOKUP(clean_sales!C335,Dim_Customer!B:B,Dim_Customer!A:A)</f>
        <v>275</v>
      </c>
      <c r="D335">
        <f>_xlfn.XLOOKUP(clean_sales!I335,Dim_Product!B:B,Dim_Product!A:A)</f>
        <v>7</v>
      </c>
      <c r="E335">
        <f>clean_sales!L335</f>
        <v>5</v>
      </c>
      <c r="F335">
        <f>clean_sales!T335</f>
        <v>290000</v>
      </c>
    </row>
    <row r="336" spans="1:6" x14ac:dyDescent="0.35">
      <c r="A336" t="str">
        <v>TXN100334</v>
      </c>
      <c r="B336">
        <f>_xlfn.XLOOKUP(clean_sales!P336,Dim_Date!B:B,Dim_Date!A:A)</f>
        <v>20250420</v>
      </c>
      <c r="C336">
        <f>_xlfn.XLOOKUP(clean_sales!C336,Dim_Customer!B:B,Dim_Customer!A:A)</f>
        <v>209</v>
      </c>
      <c r="D336">
        <f>_xlfn.XLOOKUP(clean_sales!I336,Dim_Product!B:B,Dim_Product!A:A)</f>
        <v>6</v>
      </c>
      <c r="E336">
        <f>clean_sales!L336</f>
        <v>1</v>
      </c>
      <c r="F336">
        <f>clean_sales!T336</f>
        <v>72000</v>
      </c>
    </row>
    <row r="337" spans="1:6" x14ac:dyDescent="0.35">
      <c r="A337" t="str">
        <v>TXN100335</v>
      </c>
      <c r="B337">
        <f>_xlfn.XLOOKUP(clean_sales!P337,Dim_Date!B:B,Dim_Date!A:A)</f>
        <v>20250427</v>
      </c>
      <c r="C337">
        <f>_xlfn.XLOOKUP(clean_sales!C337,Dim_Customer!B:B,Dim_Customer!A:A)</f>
        <v>142</v>
      </c>
      <c r="D337">
        <f>_xlfn.XLOOKUP(clean_sales!I337,Dim_Product!B:B,Dim_Product!A:A)</f>
        <v>3</v>
      </c>
      <c r="E337">
        <f>clean_sales!L337</f>
        <v>5</v>
      </c>
      <c r="F337">
        <f>clean_sales!T337</f>
        <v>25000</v>
      </c>
    </row>
    <row r="338" spans="1:6" x14ac:dyDescent="0.35">
      <c r="A338" t="str">
        <v>TXN100336</v>
      </c>
      <c r="B338">
        <f>_xlfn.XLOOKUP(clean_sales!P338,Dim_Date!B:B,Dim_Date!A:A)</f>
        <v>20250815</v>
      </c>
      <c r="C338">
        <f>_xlfn.XLOOKUP(clean_sales!C338,Dim_Customer!B:B,Dim_Customer!A:A)</f>
        <v>276</v>
      </c>
      <c r="D338">
        <f>_xlfn.XLOOKUP(clean_sales!I338,Dim_Product!B:B,Dim_Product!A:A)</f>
        <v>6</v>
      </c>
      <c r="E338">
        <f>clean_sales!L338</f>
        <v>2</v>
      </c>
      <c r="F338">
        <f>clean_sales!T338</f>
        <v>144000</v>
      </c>
    </row>
    <row r="339" spans="1:6" x14ac:dyDescent="0.35">
      <c r="A339" t="str">
        <v>TXN100337</v>
      </c>
      <c r="B339">
        <f>_xlfn.XLOOKUP(clean_sales!P339,Dim_Date!B:B,Dim_Date!A:A)</f>
        <v>20250329</v>
      </c>
      <c r="C339">
        <f>_xlfn.XLOOKUP(clean_sales!C339,Dim_Customer!B:B,Dim_Customer!A:A)</f>
        <v>78</v>
      </c>
      <c r="D339">
        <f>_xlfn.XLOOKUP(clean_sales!I339,Dim_Product!B:B,Dim_Product!A:A)</f>
        <v>5</v>
      </c>
      <c r="E339">
        <f>clean_sales!L339</f>
        <v>1</v>
      </c>
      <c r="F339">
        <f>clean_sales!T339</f>
        <v>1800</v>
      </c>
    </row>
    <row r="340" spans="1:6" x14ac:dyDescent="0.35">
      <c r="A340" t="str">
        <v>TXN100338</v>
      </c>
      <c r="B340">
        <f>_xlfn.XLOOKUP(clean_sales!P340,Dim_Date!B:B,Dim_Date!A:A)</f>
        <v>20250204</v>
      </c>
      <c r="C340">
        <f>_xlfn.XLOOKUP(clean_sales!C340,Dim_Customer!B:B,Dim_Customer!A:A)</f>
        <v>277</v>
      </c>
      <c r="D340">
        <f>_xlfn.XLOOKUP(clean_sales!I340,Dim_Product!B:B,Dim_Product!A:A)</f>
        <v>7</v>
      </c>
      <c r="E340">
        <f>clean_sales!L340</f>
        <v>3</v>
      </c>
      <c r="F340">
        <f>clean_sales!T340</f>
        <v>174000</v>
      </c>
    </row>
    <row r="341" spans="1:6" x14ac:dyDescent="0.35">
      <c r="A341" t="str">
        <v>TXN100339</v>
      </c>
      <c r="B341">
        <f>_xlfn.XLOOKUP(clean_sales!P341,Dim_Date!B:B,Dim_Date!A:A)</f>
        <v>20251130</v>
      </c>
      <c r="C341">
        <f>_xlfn.XLOOKUP(clean_sales!C341,Dim_Customer!B:B,Dim_Customer!A:A)</f>
        <v>176</v>
      </c>
      <c r="D341">
        <f>_xlfn.XLOOKUP(clean_sales!I341,Dim_Product!B:B,Dim_Product!A:A)</f>
        <v>2</v>
      </c>
      <c r="E341">
        <f>clean_sales!L341</f>
        <v>4</v>
      </c>
      <c r="F341">
        <f>clean_sales!T341</f>
        <v>260000</v>
      </c>
    </row>
    <row r="342" spans="1:6" x14ac:dyDescent="0.35">
      <c r="A342" t="str">
        <v>TXN100340</v>
      </c>
      <c r="B342">
        <f>_xlfn.XLOOKUP(clean_sales!P342,Dim_Date!B:B,Dim_Date!A:A)</f>
        <v>20250627</v>
      </c>
      <c r="C342">
        <f>_xlfn.XLOOKUP(clean_sales!C342,Dim_Customer!B:B,Dim_Customer!A:A)</f>
        <v>278</v>
      </c>
      <c r="D342">
        <f>_xlfn.XLOOKUP(clean_sales!I342,Dim_Product!B:B,Dim_Product!A:A)</f>
        <v>2</v>
      </c>
      <c r="E342">
        <f>clean_sales!L342</f>
        <v>4</v>
      </c>
      <c r="F342">
        <f>clean_sales!T342</f>
        <v>260000</v>
      </c>
    </row>
    <row r="343" spans="1:6" x14ac:dyDescent="0.35">
      <c r="A343" t="str">
        <v>TXN100341</v>
      </c>
      <c r="B343">
        <f>_xlfn.XLOOKUP(clean_sales!P343,Dim_Date!B:B,Dim_Date!A:A)</f>
        <v>20250703</v>
      </c>
      <c r="C343">
        <f>_xlfn.XLOOKUP(clean_sales!C343,Dim_Customer!B:B,Dim_Customer!A:A)</f>
        <v>279</v>
      </c>
      <c r="D343">
        <f>_xlfn.XLOOKUP(clean_sales!I343,Dim_Product!B:B,Dim_Product!A:A)</f>
        <v>5</v>
      </c>
      <c r="E343">
        <f>clean_sales!L343</f>
        <v>2</v>
      </c>
      <c r="F343">
        <f>clean_sales!T343</f>
        <v>3600</v>
      </c>
    </row>
    <row r="344" spans="1:6" x14ac:dyDescent="0.35">
      <c r="A344" t="str">
        <v>TXN100342</v>
      </c>
      <c r="B344">
        <f>_xlfn.XLOOKUP(clean_sales!P344,Dim_Date!B:B,Dim_Date!A:A)</f>
        <v>20260101</v>
      </c>
      <c r="C344">
        <f>_xlfn.XLOOKUP(clean_sales!C344,Dim_Customer!B:B,Dim_Customer!A:A)</f>
        <v>97</v>
      </c>
      <c r="D344">
        <f>_xlfn.XLOOKUP(clean_sales!I344,Dim_Product!B:B,Dim_Product!A:A)</f>
        <v>5</v>
      </c>
      <c r="E344">
        <f>clean_sales!L344</f>
        <v>2</v>
      </c>
      <c r="F344">
        <f>clean_sales!T344</f>
        <v>3600</v>
      </c>
    </row>
    <row r="345" spans="1:6" x14ac:dyDescent="0.35">
      <c r="A345" t="str">
        <v>TXN100343</v>
      </c>
      <c r="B345">
        <f>_xlfn.XLOOKUP(clean_sales!P345,Dim_Date!B:B,Dim_Date!A:A)</f>
        <v>20260103</v>
      </c>
      <c r="C345">
        <f>_xlfn.XLOOKUP(clean_sales!C345,Dim_Customer!B:B,Dim_Customer!A:A)</f>
        <v>280</v>
      </c>
      <c r="D345">
        <f>_xlfn.XLOOKUP(clean_sales!I345,Dim_Product!B:B,Dim_Product!A:A)</f>
        <v>6</v>
      </c>
      <c r="E345">
        <f>clean_sales!L345</f>
        <v>1</v>
      </c>
      <c r="F345">
        <f>clean_sales!T345</f>
        <v>72000</v>
      </c>
    </row>
    <row r="346" spans="1:6" x14ac:dyDescent="0.35">
      <c r="A346" t="str">
        <v>TXN100344</v>
      </c>
      <c r="B346">
        <f>_xlfn.XLOOKUP(clean_sales!P346,Dim_Date!B:B,Dim_Date!A:A)</f>
        <v>20250314</v>
      </c>
      <c r="C346">
        <f>_xlfn.XLOOKUP(clean_sales!C346,Dim_Customer!B:B,Dim_Customer!A:A)</f>
        <v>281</v>
      </c>
      <c r="D346">
        <f>_xlfn.XLOOKUP(clean_sales!I346,Dim_Product!B:B,Dim_Product!A:A)</f>
        <v>5</v>
      </c>
      <c r="E346">
        <f>clean_sales!L346</f>
        <v>1</v>
      </c>
      <c r="F346">
        <f>clean_sales!T346</f>
        <v>1800</v>
      </c>
    </row>
    <row r="347" spans="1:6" x14ac:dyDescent="0.35">
      <c r="A347" t="str">
        <v>TXN100345</v>
      </c>
      <c r="B347">
        <f>_xlfn.XLOOKUP(clean_sales!P347,Dim_Date!B:B,Dim_Date!A:A)</f>
        <v>20251224</v>
      </c>
      <c r="C347">
        <f>_xlfn.XLOOKUP(clean_sales!C347,Dim_Customer!B:B,Dim_Customer!A:A)</f>
        <v>282</v>
      </c>
      <c r="D347">
        <f>_xlfn.XLOOKUP(clean_sales!I347,Dim_Product!B:B,Dim_Product!A:A)</f>
        <v>6</v>
      </c>
      <c r="E347">
        <f>clean_sales!L347</f>
        <v>5</v>
      </c>
      <c r="F347">
        <f>clean_sales!T347</f>
        <v>360000</v>
      </c>
    </row>
    <row r="348" spans="1:6" x14ac:dyDescent="0.35">
      <c r="A348" t="str">
        <v>TXN100346</v>
      </c>
      <c r="B348">
        <f>_xlfn.XLOOKUP(clean_sales!P348,Dim_Date!B:B,Dim_Date!A:A)</f>
        <v>20250906</v>
      </c>
      <c r="C348">
        <f>_xlfn.XLOOKUP(clean_sales!C348,Dim_Customer!B:B,Dim_Customer!A:A)</f>
        <v>283</v>
      </c>
      <c r="D348">
        <f>_xlfn.XLOOKUP(clean_sales!I348,Dim_Product!B:B,Dim_Product!A:A)</f>
        <v>5</v>
      </c>
      <c r="E348">
        <f>clean_sales!L348</f>
        <v>2</v>
      </c>
      <c r="F348">
        <f>clean_sales!T348</f>
        <v>3600</v>
      </c>
    </row>
    <row r="349" spans="1:6" x14ac:dyDescent="0.35">
      <c r="A349" t="str">
        <v>TXN100347</v>
      </c>
      <c r="B349">
        <f>_xlfn.XLOOKUP(clean_sales!P349,Dim_Date!B:B,Dim_Date!A:A)</f>
        <v>20250613</v>
      </c>
      <c r="C349">
        <f>_xlfn.XLOOKUP(clean_sales!C349,Dim_Customer!B:B,Dim_Customer!A:A)</f>
        <v>284</v>
      </c>
      <c r="D349">
        <f>_xlfn.XLOOKUP(clean_sales!I349,Dim_Product!B:B,Dim_Product!A:A)</f>
        <v>4</v>
      </c>
      <c r="E349">
        <f>clean_sales!L349</f>
        <v>4</v>
      </c>
      <c r="F349">
        <f>clean_sales!T349</f>
        <v>18000</v>
      </c>
    </row>
    <row r="350" spans="1:6" x14ac:dyDescent="0.35">
      <c r="A350" t="str">
        <v>TXN100348</v>
      </c>
      <c r="B350">
        <f>_xlfn.XLOOKUP(clean_sales!P350,Dim_Date!B:B,Dim_Date!A:A)</f>
        <v>20250801</v>
      </c>
      <c r="C350">
        <f>_xlfn.XLOOKUP(clean_sales!C350,Dim_Customer!B:B,Dim_Customer!A:A)</f>
        <v>285</v>
      </c>
      <c r="D350">
        <f>_xlfn.XLOOKUP(clean_sales!I350,Dim_Product!B:B,Dim_Product!A:A)</f>
        <v>7</v>
      </c>
      <c r="E350">
        <f>clean_sales!L350</f>
        <v>2</v>
      </c>
      <c r="F350">
        <f>clean_sales!T350</f>
        <v>116000</v>
      </c>
    </row>
    <row r="351" spans="1:6" x14ac:dyDescent="0.35">
      <c r="A351" t="str">
        <v>TXN100349</v>
      </c>
      <c r="B351">
        <f>_xlfn.XLOOKUP(clean_sales!P351,Dim_Date!B:B,Dim_Date!A:A)</f>
        <v>20250824</v>
      </c>
      <c r="C351">
        <f>_xlfn.XLOOKUP(clean_sales!C351,Dim_Customer!B:B,Dim_Customer!A:A)</f>
        <v>286</v>
      </c>
      <c r="D351">
        <f>_xlfn.XLOOKUP(clean_sales!I351,Dim_Product!B:B,Dim_Product!A:A)</f>
        <v>1</v>
      </c>
      <c r="E351">
        <f>clean_sales!L351</f>
        <v>2</v>
      </c>
      <c r="F351">
        <f>clean_sales!T351</f>
        <v>24000</v>
      </c>
    </row>
    <row r="352" spans="1:6" x14ac:dyDescent="0.35">
      <c r="A352" t="str">
        <v>TXN100350</v>
      </c>
      <c r="B352">
        <f>_xlfn.XLOOKUP(clean_sales!P352,Dim_Date!B:B,Dim_Date!A:A)</f>
        <v>20250607</v>
      </c>
      <c r="C352">
        <f>_xlfn.XLOOKUP(clean_sales!C352,Dim_Customer!B:B,Dim_Customer!A:A)</f>
        <v>25</v>
      </c>
      <c r="D352">
        <f>_xlfn.XLOOKUP(clean_sales!I352,Dim_Product!B:B,Dim_Product!A:A)</f>
        <v>4</v>
      </c>
      <c r="E352">
        <f>clean_sales!L352</f>
        <v>1</v>
      </c>
      <c r="F352">
        <f>clean_sales!T352</f>
        <v>4500</v>
      </c>
    </row>
    <row r="353" spans="1:6" x14ac:dyDescent="0.35">
      <c r="A353" t="str">
        <v>TXN100351</v>
      </c>
      <c r="B353">
        <f>_xlfn.XLOOKUP(clean_sales!P353,Dim_Date!B:B,Dim_Date!A:A)</f>
        <v>20250802</v>
      </c>
      <c r="C353">
        <f>_xlfn.XLOOKUP(clean_sales!C353,Dim_Customer!B:B,Dim_Customer!A:A)</f>
        <v>287</v>
      </c>
      <c r="D353">
        <f>_xlfn.XLOOKUP(clean_sales!I353,Dim_Product!B:B,Dim_Product!A:A)</f>
        <v>5</v>
      </c>
      <c r="E353">
        <f>clean_sales!L353</f>
        <v>4</v>
      </c>
      <c r="F353">
        <f>clean_sales!T353</f>
        <v>7200</v>
      </c>
    </row>
    <row r="354" spans="1:6" x14ac:dyDescent="0.35">
      <c r="A354" t="str">
        <v>TXN100352</v>
      </c>
      <c r="B354">
        <f>_xlfn.XLOOKUP(clean_sales!P354,Dim_Date!B:B,Dim_Date!A:A)</f>
        <v>20250214</v>
      </c>
      <c r="C354">
        <f>_xlfn.XLOOKUP(clean_sales!C354,Dim_Customer!B:B,Dim_Customer!A:A)</f>
        <v>288</v>
      </c>
      <c r="D354">
        <f>_xlfn.XLOOKUP(clean_sales!I354,Dim_Product!B:B,Dim_Product!A:A)</f>
        <v>2</v>
      </c>
      <c r="E354">
        <f>clean_sales!L354</f>
        <v>2</v>
      </c>
      <c r="F354">
        <f>clean_sales!T354</f>
        <v>130000</v>
      </c>
    </row>
    <row r="355" spans="1:6" x14ac:dyDescent="0.35">
      <c r="A355" t="str">
        <v>TXN100353</v>
      </c>
      <c r="B355">
        <f>_xlfn.XLOOKUP(clean_sales!P355,Dim_Date!B:B,Dim_Date!A:A)</f>
        <v>20250517</v>
      </c>
      <c r="C355">
        <f>_xlfn.XLOOKUP(clean_sales!C355,Dim_Customer!B:B,Dim_Customer!A:A)</f>
        <v>289</v>
      </c>
      <c r="D355">
        <f>_xlfn.XLOOKUP(clean_sales!I355,Dim_Product!B:B,Dim_Product!A:A)</f>
        <v>2</v>
      </c>
      <c r="E355">
        <f>clean_sales!L355</f>
        <v>3</v>
      </c>
      <c r="F355">
        <f>clean_sales!T355</f>
        <v>195000</v>
      </c>
    </row>
    <row r="356" spans="1:6" x14ac:dyDescent="0.35">
      <c r="A356" t="str">
        <v>TXN100354</v>
      </c>
      <c r="B356">
        <f>_xlfn.XLOOKUP(clean_sales!P356,Dim_Date!B:B,Dim_Date!A:A)</f>
        <v>20250810</v>
      </c>
      <c r="C356">
        <f>_xlfn.XLOOKUP(clean_sales!C356,Dim_Customer!B:B,Dim_Customer!A:A)</f>
        <v>290</v>
      </c>
      <c r="D356">
        <f>_xlfn.XLOOKUP(clean_sales!I356,Dim_Product!B:B,Dim_Product!A:A)</f>
        <v>7</v>
      </c>
      <c r="E356">
        <f>clean_sales!L356</f>
        <v>4</v>
      </c>
      <c r="F356">
        <f>clean_sales!T356</f>
        <v>232000</v>
      </c>
    </row>
    <row r="357" spans="1:6" x14ac:dyDescent="0.35">
      <c r="A357" t="str">
        <v>TXN100355</v>
      </c>
      <c r="B357">
        <f>_xlfn.XLOOKUP(clean_sales!P357,Dim_Date!B:B,Dim_Date!A:A)</f>
        <v>20250426</v>
      </c>
      <c r="C357">
        <f>_xlfn.XLOOKUP(clean_sales!C357,Dim_Customer!B:B,Dim_Customer!A:A)</f>
        <v>88</v>
      </c>
      <c r="D357">
        <f>_xlfn.XLOOKUP(clean_sales!I357,Dim_Product!B:B,Dim_Product!A:A)</f>
        <v>4</v>
      </c>
      <c r="E357">
        <f>clean_sales!L357</f>
        <v>3</v>
      </c>
      <c r="F357">
        <f>clean_sales!T357</f>
        <v>13500</v>
      </c>
    </row>
    <row r="358" spans="1:6" x14ac:dyDescent="0.35">
      <c r="A358" t="str">
        <v>TXN100356</v>
      </c>
      <c r="B358">
        <f>_xlfn.XLOOKUP(clean_sales!P358,Dim_Date!B:B,Dim_Date!A:A)</f>
        <v>20251120</v>
      </c>
      <c r="C358">
        <f>_xlfn.XLOOKUP(clean_sales!C358,Dim_Customer!B:B,Dim_Customer!A:A)</f>
        <v>291</v>
      </c>
      <c r="D358">
        <f>_xlfn.XLOOKUP(clean_sales!I358,Dim_Product!B:B,Dim_Product!A:A)</f>
        <v>3</v>
      </c>
      <c r="E358">
        <f>clean_sales!L358</f>
        <v>3</v>
      </c>
      <c r="F358">
        <f>clean_sales!T358</f>
        <v>15000</v>
      </c>
    </row>
    <row r="359" spans="1:6" x14ac:dyDescent="0.35">
      <c r="A359" t="str">
        <v>TXN100357</v>
      </c>
      <c r="B359">
        <f>_xlfn.XLOOKUP(clean_sales!P359,Dim_Date!B:B,Dim_Date!A:A)</f>
        <v>20250304</v>
      </c>
      <c r="C359">
        <f>_xlfn.XLOOKUP(clean_sales!C359,Dim_Customer!B:B,Dim_Customer!A:A)</f>
        <v>259</v>
      </c>
      <c r="D359">
        <f>_xlfn.XLOOKUP(clean_sales!I359,Dim_Product!B:B,Dim_Product!A:A)</f>
        <v>4</v>
      </c>
      <c r="E359">
        <f>clean_sales!L359</f>
        <v>1</v>
      </c>
      <c r="F359">
        <f>clean_sales!T359</f>
        <v>4500</v>
      </c>
    </row>
    <row r="360" spans="1:6" x14ac:dyDescent="0.35">
      <c r="A360" t="str">
        <v>TXN100358</v>
      </c>
      <c r="B360">
        <f>_xlfn.XLOOKUP(clean_sales!P360,Dim_Date!B:B,Dim_Date!A:A)</f>
        <v>20250106</v>
      </c>
      <c r="C360">
        <f>_xlfn.XLOOKUP(clean_sales!C360,Dim_Customer!B:B,Dim_Customer!A:A)</f>
        <v>292</v>
      </c>
      <c r="D360">
        <f>_xlfn.XLOOKUP(clean_sales!I360,Dim_Product!B:B,Dim_Product!A:A)</f>
        <v>4</v>
      </c>
      <c r="E360">
        <f>clean_sales!L360</f>
        <v>3</v>
      </c>
      <c r="F360">
        <f>clean_sales!T360</f>
        <v>13500</v>
      </c>
    </row>
    <row r="361" spans="1:6" x14ac:dyDescent="0.35">
      <c r="A361" t="str">
        <v>TXN100359</v>
      </c>
      <c r="B361">
        <f>_xlfn.XLOOKUP(clean_sales!P361,Dim_Date!B:B,Dim_Date!A:A)</f>
        <v>20250210</v>
      </c>
      <c r="C361">
        <f>_xlfn.XLOOKUP(clean_sales!C361,Dim_Customer!B:B,Dim_Customer!A:A)</f>
        <v>293</v>
      </c>
      <c r="D361">
        <f>_xlfn.XLOOKUP(clean_sales!I361,Dim_Product!B:B,Dim_Product!A:A)</f>
        <v>6</v>
      </c>
      <c r="E361">
        <f>clean_sales!L361</f>
        <v>2</v>
      </c>
      <c r="F361">
        <f>clean_sales!T361</f>
        <v>144000</v>
      </c>
    </row>
    <row r="362" spans="1:6" x14ac:dyDescent="0.35">
      <c r="A362" t="str">
        <v>TXN100360</v>
      </c>
      <c r="B362">
        <f>_xlfn.XLOOKUP(clean_sales!P362,Dim_Date!B:B,Dim_Date!A:A)</f>
        <v>20250825</v>
      </c>
      <c r="C362">
        <f>_xlfn.XLOOKUP(clean_sales!C362,Dim_Customer!B:B,Dim_Customer!A:A)</f>
        <v>294</v>
      </c>
      <c r="D362">
        <f>_xlfn.XLOOKUP(clean_sales!I362,Dim_Product!B:B,Dim_Product!A:A)</f>
        <v>1</v>
      </c>
      <c r="E362">
        <f>clean_sales!L362</f>
        <v>1</v>
      </c>
      <c r="F362">
        <f>clean_sales!T362</f>
        <v>12000</v>
      </c>
    </row>
    <row r="363" spans="1:6" x14ac:dyDescent="0.35">
      <c r="A363" t="str">
        <v>TXN100361</v>
      </c>
      <c r="B363">
        <f>_xlfn.XLOOKUP(clean_sales!P363,Dim_Date!B:B,Dim_Date!A:A)</f>
        <v>20250206</v>
      </c>
      <c r="C363">
        <f>_xlfn.XLOOKUP(clean_sales!C363,Dim_Customer!B:B,Dim_Customer!A:A)</f>
        <v>295</v>
      </c>
      <c r="D363">
        <f>_xlfn.XLOOKUP(clean_sales!I363,Dim_Product!B:B,Dim_Product!A:A)</f>
        <v>5</v>
      </c>
      <c r="E363">
        <f>clean_sales!L363</f>
        <v>3</v>
      </c>
      <c r="F363">
        <f>clean_sales!T363</f>
        <v>5400</v>
      </c>
    </row>
    <row r="364" spans="1:6" x14ac:dyDescent="0.35">
      <c r="A364" t="str">
        <v>TXN100362</v>
      </c>
      <c r="B364">
        <f>_xlfn.XLOOKUP(clean_sales!P364,Dim_Date!B:B,Dim_Date!A:A)</f>
        <v>20250823</v>
      </c>
      <c r="C364">
        <f>_xlfn.XLOOKUP(clean_sales!C364,Dim_Customer!B:B,Dim_Customer!A:A)</f>
        <v>296</v>
      </c>
      <c r="D364">
        <f>_xlfn.XLOOKUP(clean_sales!I364,Dim_Product!B:B,Dim_Product!A:A)</f>
        <v>4</v>
      </c>
      <c r="E364">
        <f>clean_sales!L364</f>
        <v>4</v>
      </c>
      <c r="F364">
        <f>clean_sales!T364</f>
        <v>18000</v>
      </c>
    </row>
    <row r="365" spans="1:6" x14ac:dyDescent="0.35">
      <c r="A365" t="str">
        <v>TXN100363</v>
      </c>
      <c r="B365">
        <f>_xlfn.XLOOKUP(clean_sales!P365,Dim_Date!B:B,Dim_Date!A:A)</f>
        <v>20250403</v>
      </c>
      <c r="C365">
        <f>_xlfn.XLOOKUP(clean_sales!C365,Dim_Customer!B:B,Dim_Customer!A:A)</f>
        <v>94</v>
      </c>
      <c r="D365">
        <f>_xlfn.XLOOKUP(clean_sales!I365,Dim_Product!B:B,Dim_Product!A:A)</f>
        <v>4</v>
      </c>
      <c r="E365">
        <f>clean_sales!L365</f>
        <v>1</v>
      </c>
      <c r="F365">
        <f>clean_sales!T365</f>
        <v>4500</v>
      </c>
    </row>
    <row r="366" spans="1:6" x14ac:dyDescent="0.35">
      <c r="A366" t="str">
        <v>TXN100364</v>
      </c>
      <c r="B366">
        <f>_xlfn.XLOOKUP(clean_sales!P366,Dim_Date!B:B,Dim_Date!A:A)</f>
        <v>20250729</v>
      </c>
      <c r="C366">
        <f>_xlfn.XLOOKUP(clean_sales!C366,Dim_Customer!B:B,Dim_Customer!A:A)</f>
        <v>297</v>
      </c>
      <c r="D366">
        <f>_xlfn.XLOOKUP(clean_sales!I366,Dim_Product!B:B,Dim_Product!A:A)</f>
        <v>3</v>
      </c>
      <c r="E366">
        <f>clean_sales!L366</f>
        <v>3</v>
      </c>
      <c r="F366">
        <f>clean_sales!T366</f>
        <v>15000</v>
      </c>
    </row>
    <row r="367" spans="1:6" x14ac:dyDescent="0.35">
      <c r="A367" t="str">
        <v>TXN100365</v>
      </c>
      <c r="B367">
        <f>_xlfn.XLOOKUP(clean_sales!P367,Dim_Date!B:B,Dim_Date!A:A)</f>
        <v>20250206</v>
      </c>
      <c r="C367">
        <f>_xlfn.XLOOKUP(clean_sales!C367,Dim_Customer!B:B,Dim_Customer!A:A)</f>
        <v>298</v>
      </c>
      <c r="D367">
        <f>_xlfn.XLOOKUP(clean_sales!I367,Dim_Product!B:B,Dim_Product!A:A)</f>
        <v>5</v>
      </c>
      <c r="E367">
        <f>clean_sales!L367</f>
        <v>5</v>
      </c>
      <c r="F367">
        <f>clean_sales!T367</f>
        <v>9000</v>
      </c>
    </row>
    <row r="368" spans="1:6" x14ac:dyDescent="0.35">
      <c r="A368" t="str">
        <v>TXN100366</v>
      </c>
      <c r="B368">
        <f>_xlfn.XLOOKUP(clean_sales!P368,Dim_Date!B:B,Dim_Date!A:A)</f>
        <v>20250805</v>
      </c>
      <c r="C368">
        <f>_xlfn.XLOOKUP(clean_sales!C368,Dim_Customer!B:B,Dim_Customer!A:A)</f>
        <v>299</v>
      </c>
      <c r="D368">
        <f>_xlfn.XLOOKUP(clean_sales!I368,Dim_Product!B:B,Dim_Product!A:A)</f>
        <v>1</v>
      </c>
      <c r="E368">
        <f>clean_sales!L368</f>
        <v>5</v>
      </c>
      <c r="F368">
        <f>clean_sales!T368</f>
        <v>60000</v>
      </c>
    </row>
    <row r="369" spans="1:6" x14ac:dyDescent="0.35">
      <c r="A369" t="str">
        <v>TXN100367</v>
      </c>
      <c r="B369">
        <f>_xlfn.XLOOKUP(clean_sales!P369,Dim_Date!B:B,Dim_Date!A:A)</f>
        <v>20250728</v>
      </c>
      <c r="C369">
        <f>_xlfn.XLOOKUP(clean_sales!C369,Dim_Customer!B:B,Dim_Customer!A:A)</f>
        <v>300</v>
      </c>
      <c r="D369">
        <f>_xlfn.XLOOKUP(clean_sales!I369,Dim_Product!B:B,Dim_Product!A:A)</f>
        <v>1</v>
      </c>
      <c r="E369">
        <f>clean_sales!L369</f>
        <v>3</v>
      </c>
      <c r="F369">
        <f>clean_sales!T369</f>
        <v>36000</v>
      </c>
    </row>
    <row r="370" spans="1:6" x14ac:dyDescent="0.35">
      <c r="A370" t="str">
        <v>TXN100368</v>
      </c>
      <c r="B370">
        <f>_xlfn.XLOOKUP(clean_sales!P370,Dim_Date!B:B,Dim_Date!A:A)</f>
        <v>20250917</v>
      </c>
      <c r="C370">
        <f>_xlfn.XLOOKUP(clean_sales!C370,Dim_Customer!B:B,Dim_Customer!A:A)</f>
        <v>301</v>
      </c>
      <c r="D370">
        <f>_xlfn.XLOOKUP(clean_sales!I370,Dim_Product!B:B,Dim_Product!A:A)</f>
        <v>5</v>
      </c>
      <c r="E370">
        <f>clean_sales!L370</f>
        <v>5</v>
      </c>
      <c r="F370">
        <f>clean_sales!T370</f>
        <v>9000</v>
      </c>
    </row>
    <row r="371" spans="1:6" x14ac:dyDescent="0.35">
      <c r="A371" t="str">
        <v>TXN100369</v>
      </c>
      <c r="B371">
        <f>_xlfn.XLOOKUP(clean_sales!P371,Dim_Date!B:B,Dim_Date!A:A)</f>
        <v>20251106</v>
      </c>
      <c r="C371">
        <f>_xlfn.XLOOKUP(clean_sales!C371,Dim_Customer!B:B,Dim_Customer!A:A)</f>
        <v>302</v>
      </c>
      <c r="D371">
        <f>_xlfn.XLOOKUP(clean_sales!I371,Dim_Product!B:B,Dim_Product!A:A)</f>
        <v>5</v>
      </c>
      <c r="E371">
        <f>clean_sales!L371</f>
        <v>5</v>
      </c>
      <c r="F371">
        <f>clean_sales!T371</f>
        <v>9000</v>
      </c>
    </row>
    <row r="372" spans="1:6" x14ac:dyDescent="0.35">
      <c r="A372" t="str">
        <v>TXN100370</v>
      </c>
      <c r="B372">
        <f>_xlfn.XLOOKUP(clean_sales!P372,Dim_Date!B:B,Dim_Date!A:A)</f>
        <v>20250723</v>
      </c>
      <c r="C372">
        <f>_xlfn.XLOOKUP(clean_sales!C372,Dim_Customer!B:B,Dim_Customer!A:A)</f>
        <v>303</v>
      </c>
      <c r="D372">
        <f>_xlfn.XLOOKUP(clean_sales!I372,Dim_Product!B:B,Dim_Product!A:A)</f>
        <v>2</v>
      </c>
      <c r="E372">
        <f>clean_sales!L372</f>
        <v>1</v>
      </c>
      <c r="F372">
        <f>clean_sales!T372</f>
        <v>65000</v>
      </c>
    </row>
    <row r="373" spans="1:6" x14ac:dyDescent="0.35">
      <c r="A373" t="str">
        <v>TXN100371</v>
      </c>
      <c r="B373">
        <f>_xlfn.XLOOKUP(clean_sales!P373,Dim_Date!B:B,Dim_Date!A:A)</f>
        <v>20250702</v>
      </c>
      <c r="C373">
        <f>_xlfn.XLOOKUP(clean_sales!C373,Dim_Customer!B:B,Dim_Customer!A:A)</f>
        <v>304</v>
      </c>
      <c r="D373">
        <f>_xlfn.XLOOKUP(clean_sales!I373,Dim_Product!B:B,Dim_Product!A:A)</f>
        <v>5</v>
      </c>
      <c r="E373">
        <f>clean_sales!L373</f>
        <v>3</v>
      </c>
      <c r="F373">
        <f>clean_sales!T373</f>
        <v>5400</v>
      </c>
    </row>
    <row r="374" spans="1:6" x14ac:dyDescent="0.35">
      <c r="A374" t="str">
        <v>TXN100372</v>
      </c>
      <c r="B374">
        <f>_xlfn.XLOOKUP(clean_sales!P374,Dim_Date!B:B,Dim_Date!A:A)</f>
        <v>20250109</v>
      </c>
      <c r="C374">
        <f>_xlfn.XLOOKUP(clean_sales!C374,Dim_Customer!B:B,Dim_Customer!A:A)</f>
        <v>305</v>
      </c>
      <c r="D374">
        <f>_xlfn.XLOOKUP(clean_sales!I374,Dim_Product!B:B,Dim_Product!A:A)</f>
        <v>5</v>
      </c>
      <c r="E374">
        <f>clean_sales!L374</f>
        <v>2</v>
      </c>
      <c r="F374">
        <f>clean_sales!T374</f>
        <v>3600</v>
      </c>
    </row>
    <row r="375" spans="1:6" x14ac:dyDescent="0.35">
      <c r="A375" t="str">
        <v>TXN100373</v>
      </c>
      <c r="B375">
        <f>_xlfn.XLOOKUP(clean_sales!P375,Dim_Date!B:B,Dim_Date!A:A)</f>
        <v>20250613</v>
      </c>
      <c r="C375">
        <f>_xlfn.XLOOKUP(clean_sales!C375,Dim_Customer!B:B,Dim_Customer!A:A)</f>
        <v>306</v>
      </c>
      <c r="D375">
        <f>_xlfn.XLOOKUP(clean_sales!I375,Dim_Product!B:B,Dim_Product!A:A)</f>
        <v>3</v>
      </c>
      <c r="E375">
        <f>clean_sales!L375</f>
        <v>4</v>
      </c>
      <c r="F375">
        <f>clean_sales!T375</f>
        <v>20000</v>
      </c>
    </row>
    <row r="376" spans="1:6" x14ac:dyDescent="0.35">
      <c r="A376" t="str">
        <v>TXN100374</v>
      </c>
      <c r="B376">
        <f>_xlfn.XLOOKUP(clean_sales!P376,Dim_Date!B:B,Dim_Date!A:A)</f>
        <v>20250524</v>
      </c>
      <c r="C376">
        <f>_xlfn.XLOOKUP(clean_sales!C376,Dim_Customer!B:B,Dim_Customer!A:A)</f>
        <v>103</v>
      </c>
      <c r="D376">
        <f>_xlfn.XLOOKUP(clean_sales!I376,Dim_Product!B:B,Dim_Product!A:A)</f>
        <v>2</v>
      </c>
      <c r="E376">
        <f>clean_sales!L376</f>
        <v>3</v>
      </c>
      <c r="F376">
        <f>clean_sales!T376</f>
        <v>195000</v>
      </c>
    </row>
    <row r="377" spans="1:6" x14ac:dyDescent="0.35">
      <c r="A377" t="str">
        <v>TXN100375</v>
      </c>
      <c r="B377">
        <f>_xlfn.XLOOKUP(clean_sales!P377,Dim_Date!B:B,Dim_Date!A:A)</f>
        <v>20250720</v>
      </c>
      <c r="C377">
        <f>_xlfn.XLOOKUP(clean_sales!C377,Dim_Customer!B:B,Dim_Customer!A:A)</f>
        <v>307</v>
      </c>
      <c r="D377">
        <f>_xlfn.XLOOKUP(clean_sales!I377,Dim_Product!B:B,Dim_Product!A:A)</f>
        <v>6</v>
      </c>
      <c r="E377">
        <f>clean_sales!L377</f>
        <v>2</v>
      </c>
      <c r="F377">
        <f>clean_sales!T377</f>
        <v>144000</v>
      </c>
    </row>
    <row r="378" spans="1:6" x14ac:dyDescent="0.35">
      <c r="A378" t="str">
        <v>TXN100376</v>
      </c>
      <c r="B378">
        <f>_xlfn.XLOOKUP(clean_sales!P378,Dim_Date!B:B,Dim_Date!A:A)</f>
        <v>20250527</v>
      </c>
      <c r="C378">
        <f>_xlfn.XLOOKUP(clean_sales!C378,Dim_Customer!B:B,Dim_Customer!A:A)</f>
        <v>308</v>
      </c>
      <c r="D378">
        <f>_xlfn.XLOOKUP(clean_sales!I378,Dim_Product!B:B,Dim_Product!A:A)</f>
        <v>7</v>
      </c>
      <c r="E378">
        <f>clean_sales!L378</f>
        <v>4</v>
      </c>
      <c r="F378">
        <f>clean_sales!T378</f>
        <v>232000</v>
      </c>
    </row>
    <row r="379" spans="1:6" x14ac:dyDescent="0.35">
      <c r="A379" t="str">
        <v>TXN100377</v>
      </c>
      <c r="B379">
        <f>_xlfn.XLOOKUP(clean_sales!P379,Dim_Date!B:B,Dim_Date!A:A)</f>
        <v>20250226</v>
      </c>
      <c r="C379">
        <f>_xlfn.XLOOKUP(clean_sales!C379,Dim_Customer!B:B,Dim_Customer!A:A)</f>
        <v>309</v>
      </c>
      <c r="D379">
        <f>_xlfn.XLOOKUP(clean_sales!I379,Dim_Product!B:B,Dim_Product!A:A)</f>
        <v>2</v>
      </c>
      <c r="E379">
        <f>clean_sales!L379</f>
        <v>3</v>
      </c>
      <c r="F379">
        <f>clean_sales!T379</f>
        <v>195000</v>
      </c>
    </row>
    <row r="380" spans="1:6" x14ac:dyDescent="0.35">
      <c r="A380" t="str">
        <v>TXN100378</v>
      </c>
      <c r="B380">
        <f>_xlfn.XLOOKUP(clean_sales!P380,Dim_Date!B:B,Dim_Date!A:A)</f>
        <v>20250606</v>
      </c>
      <c r="C380">
        <f>_xlfn.XLOOKUP(clean_sales!C380,Dim_Customer!B:B,Dim_Customer!A:A)</f>
        <v>310</v>
      </c>
      <c r="D380">
        <f>_xlfn.XLOOKUP(clean_sales!I380,Dim_Product!B:B,Dim_Product!A:A)</f>
        <v>7</v>
      </c>
      <c r="E380">
        <f>clean_sales!L380</f>
        <v>5</v>
      </c>
      <c r="F380">
        <f>clean_sales!T380</f>
        <v>290000</v>
      </c>
    </row>
    <row r="381" spans="1:6" x14ac:dyDescent="0.35">
      <c r="A381" t="str">
        <v>TXN100379</v>
      </c>
      <c r="B381">
        <f>_xlfn.XLOOKUP(clean_sales!P381,Dim_Date!B:B,Dim_Date!A:A)</f>
        <v>20250815</v>
      </c>
      <c r="C381">
        <f>_xlfn.XLOOKUP(clean_sales!C381,Dim_Customer!B:B,Dim_Customer!A:A)</f>
        <v>33</v>
      </c>
      <c r="D381">
        <f>_xlfn.XLOOKUP(clean_sales!I381,Dim_Product!B:B,Dim_Product!A:A)</f>
        <v>1</v>
      </c>
      <c r="E381">
        <f>clean_sales!L381</f>
        <v>3</v>
      </c>
      <c r="F381">
        <f>clean_sales!T381</f>
        <v>36000</v>
      </c>
    </row>
    <row r="382" spans="1:6" x14ac:dyDescent="0.35">
      <c r="A382" t="str">
        <v>TXN100380</v>
      </c>
      <c r="B382">
        <f>_xlfn.XLOOKUP(clean_sales!P382,Dim_Date!B:B,Dim_Date!A:A)</f>
        <v>20250811</v>
      </c>
      <c r="C382">
        <f>_xlfn.XLOOKUP(clean_sales!C382,Dim_Customer!B:B,Dim_Customer!A:A)</f>
        <v>311</v>
      </c>
      <c r="D382">
        <f>_xlfn.XLOOKUP(clean_sales!I382,Dim_Product!B:B,Dim_Product!A:A)</f>
        <v>4</v>
      </c>
      <c r="E382">
        <f>clean_sales!L382</f>
        <v>4</v>
      </c>
      <c r="F382">
        <f>clean_sales!T382</f>
        <v>18000</v>
      </c>
    </row>
    <row r="383" spans="1:6" x14ac:dyDescent="0.35">
      <c r="A383" t="str">
        <v>TXN100381</v>
      </c>
      <c r="B383">
        <f>_xlfn.XLOOKUP(clean_sales!P383,Dim_Date!B:B,Dim_Date!A:A)</f>
        <v>20250417</v>
      </c>
      <c r="C383">
        <f>_xlfn.XLOOKUP(clean_sales!C383,Dim_Customer!B:B,Dim_Customer!A:A)</f>
        <v>312</v>
      </c>
      <c r="D383">
        <f>_xlfn.XLOOKUP(clean_sales!I383,Dim_Product!B:B,Dim_Product!A:A)</f>
        <v>2</v>
      </c>
      <c r="E383">
        <f>clean_sales!L383</f>
        <v>4</v>
      </c>
      <c r="F383">
        <f>clean_sales!T383</f>
        <v>260000</v>
      </c>
    </row>
    <row r="384" spans="1:6" x14ac:dyDescent="0.35">
      <c r="A384" t="str">
        <v>TXN100382</v>
      </c>
      <c r="B384">
        <f>_xlfn.XLOOKUP(clean_sales!P384,Dim_Date!B:B,Dim_Date!A:A)</f>
        <v>20250725</v>
      </c>
      <c r="C384">
        <f>_xlfn.XLOOKUP(clean_sales!C384,Dim_Customer!B:B,Dim_Customer!A:A)</f>
        <v>313</v>
      </c>
      <c r="D384">
        <f>_xlfn.XLOOKUP(clean_sales!I384,Dim_Product!B:B,Dim_Product!A:A)</f>
        <v>7</v>
      </c>
      <c r="E384">
        <f>clean_sales!L384</f>
        <v>2</v>
      </c>
      <c r="F384">
        <f>clean_sales!T384</f>
        <v>116000</v>
      </c>
    </row>
    <row r="385" spans="1:6" x14ac:dyDescent="0.35">
      <c r="A385" t="str">
        <v>TXN100383</v>
      </c>
      <c r="B385">
        <f>_xlfn.XLOOKUP(clean_sales!P385,Dim_Date!B:B,Dim_Date!A:A)</f>
        <v>20250130</v>
      </c>
      <c r="C385">
        <f>_xlfn.XLOOKUP(clean_sales!C385,Dim_Customer!B:B,Dim_Customer!A:A)</f>
        <v>314</v>
      </c>
      <c r="D385">
        <f>_xlfn.XLOOKUP(clean_sales!I385,Dim_Product!B:B,Dim_Product!A:A)</f>
        <v>5</v>
      </c>
      <c r="E385">
        <f>clean_sales!L385</f>
        <v>5</v>
      </c>
      <c r="F385">
        <f>clean_sales!T385</f>
        <v>9000</v>
      </c>
    </row>
    <row r="386" spans="1:6" x14ac:dyDescent="0.35">
      <c r="A386" t="str">
        <v>TXN100384</v>
      </c>
      <c r="B386">
        <f>_xlfn.XLOOKUP(clean_sales!P386,Dim_Date!B:B,Dim_Date!A:A)</f>
        <v>20250420</v>
      </c>
      <c r="C386">
        <f>_xlfn.XLOOKUP(clean_sales!C386,Dim_Customer!B:B,Dim_Customer!A:A)</f>
        <v>315</v>
      </c>
      <c r="D386">
        <f>_xlfn.XLOOKUP(clean_sales!I386,Dim_Product!B:B,Dim_Product!A:A)</f>
        <v>4</v>
      </c>
      <c r="E386">
        <f>clean_sales!L386</f>
        <v>4</v>
      </c>
      <c r="F386">
        <f>clean_sales!T386</f>
        <v>18000</v>
      </c>
    </row>
    <row r="387" spans="1:6" x14ac:dyDescent="0.35">
      <c r="A387" t="str">
        <v>TXN100385</v>
      </c>
      <c r="B387">
        <f>_xlfn.XLOOKUP(clean_sales!P387,Dim_Date!B:B,Dim_Date!A:A)</f>
        <v>20250306</v>
      </c>
      <c r="C387">
        <f>_xlfn.XLOOKUP(clean_sales!C387,Dim_Customer!B:B,Dim_Customer!A:A)</f>
        <v>316</v>
      </c>
      <c r="D387">
        <f>_xlfn.XLOOKUP(clean_sales!I387,Dim_Product!B:B,Dim_Product!A:A)</f>
        <v>6</v>
      </c>
      <c r="E387">
        <f>clean_sales!L387</f>
        <v>4</v>
      </c>
      <c r="F387">
        <f>clean_sales!T387</f>
        <v>288000</v>
      </c>
    </row>
    <row r="388" spans="1:6" x14ac:dyDescent="0.35">
      <c r="A388" t="str">
        <v>TXN100386</v>
      </c>
      <c r="B388">
        <f>_xlfn.XLOOKUP(clean_sales!P388,Dim_Date!B:B,Dim_Date!A:A)</f>
        <v>20250529</v>
      </c>
      <c r="C388">
        <f>_xlfn.XLOOKUP(clean_sales!C388,Dim_Customer!B:B,Dim_Customer!A:A)</f>
        <v>317</v>
      </c>
      <c r="D388">
        <f>_xlfn.XLOOKUP(clean_sales!I388,Dim_Product!B:B,Dim_Product!A:A)</f>
        <v>5</v>
      </c>
      <c r="E388">
        <f>clean_sales!L388</f>
        <v>3</v>
      </c>
      <c r="F388">
        <f>clean_sales!T388</f>
        <v>5400</v>
      </c>
    </row>
    <row r="389" spans="1:6" x14ac:dyDescent="0.35">
      <c r="A389" t="str">
        <v>TXN100387</v>
      </c>
      <c r="B389">
        <f>_xlfn.XLOOKUP(clean_sales!P389,Dim_Date!B:B,Dim_Date!A:A)</f>
        <v>20250221</v>
      </c>
      <c r="C389">
        <f>_xlfn.XLOOKUP(clean_sales!C389,Dim_Customer!B:B,Dim_Customer!A:A)</f>
        <v>177</v>
      </c>
      <c r="D389">
        <f>_xlfn.XLOOKUP(clean_sales!I389,Dim_Product!B:B,Dim_Product!A:A)</f>
        <v>6</v>
      </c>
      <c r="E389">
        <f>clean_sales!L389</f>
        <v>3</v>
      </c>
      <c r="F389">
        <f>clean_sales!T389</f>
        <v>216000</v>
      </c>
    </row>
    <row r="390" spans="1:6" x14ac:dyDescent="0.35">
      <c r="A390" t="str">
        <v>TXN100388</v>
      </c>
      <c r="B390">
        <f>_xlfn.XLOOKUP(clean_sales!P390,Dim_Date!B:B,Dim_Date!A:A)</f>
        <v>20250930</v>
      </c>
      <c r="C390">
        <f>_xlfn.XLOOKUP(clean_sales!C390,Dim_Customer!B:B,Dim_Customer!A:A)</f>
        <v>318</v>
      </c>
      <c r="D390">
        <f>_xlfn.XLOOKUP(clean_sales!I390,Dim_Product!B:B,Dim_Product!A:A)</f>
        <v>3</v>
      </c>
      <c r="E390">
        <f>clean_sales!L390</f>
        <v>1</v>
      </c>
      <c r="F390">
        <f>clean_sales!T390</f>
        <v>5000</v>
      </c>
    </row>
    <row r="391" spans="1:6" x14ac:dyDescent="0.35">
      <c r="A391" t="str">
        <v>TXN100389</v>
      </c>
      <c r="B391">
        <f>_xlfn.XLOOKUP(clean_sales!P391,Dim_Date!B:B,Dim_Date!A:A)</f>
        <v>20251115</v>
      </c>
      <c r="C391">
        <f>_xlfn.XLOOKUP(clean_sales!C391,Dim_Customer!B:B,Dim_Customer!A:A)</f>
        <v>319</v>
      </c>
      <c r="D391">
        <f>_xlfn.XLOOKUP(clean_sales!I391,Dim_Product!B:B,Dim_Product!A:A)</f>
        <v>6</v>
      </c>
      <c r="E391">
        <f>clean_sales!L391</f>
        <v>2</v>
      </c>
      <c r="F391">
        <f>clean_sales!T391</f>
        <v>144000</v>
      </c>
    </row>
    <row r="392" spans="1:6" x14ac:dyDescent="0.35">
      <c r="A392" t="str">
        <v>TXN100390</v>
      </c>
      <c r="B392">
        <f>_xlfn.XLOOKUP(clean_sales!P392,Dim_Date!B:B,Dim_Date!A:A)</f>
        <v>20250617</v>
      </c>
      <c r="C392">
        <f>_xlfn.XLOOKUP(clean_sales!C392,Dim_Customer!B:B,Dim_Customer!A:A)</f>
        <v>86</v>
      </c>
      <c r="D392">
        <f>_xlfn.XLOOKUP(clean_sales!I392,Dim_Product!B:B,Dim_Product!A:A)</f>
        <v>4</v>
      </c>
      <c r="E392">
        <f>clean_sales!L392</f>
        <v>1</v>
      </c>
      <c r="F392">
        <f>clean_sales!T392</f>
        <v>4500</v>
      </c>
    </row>
    <row r="393" spans="1:6" x14ac:dyDescent="0.35">
      <c r="A393" t="str">
        <v>TXN100391</v>
      </c>
      <c r="B393">
        <f>_xlfn.XLOOKUP(clean_sales!P393,Dim_Date!B:B,Dim_Date!A:A)</f>
        <v>20250210</v>
      </c>
      <c r="C393">
        <f>_xlfn.XLOOKUP(clean_sales!C393,Dim_Customer!B:B,Dim_Customer!A:A)</f>
        <v>320</v>
      </c>
      <c r="D393">
        <f>_xlfn.XLOOKUP(clean_sales!I393,Dim_Product!B:B,Dim_Product!A:A)</f>
        <v>7</v>
      </c>
      <c r="E393">
        <f>clean_sales!L393</f>
        <v>1</v>
      </c>
      <c r="F393">
        <f>clean_sales!T393</f>
        <v>58000</v>
      </c>
    </row>
    <row r="394" spans="1:6" x14ac:dyDescent="0.35">
      <c r="A394" t="str">
        <v>TXN100392</v>
      </c>
      <c r="B394">
        <f>_xlfn.XLOOKUP(clean_sales!P394,Dim_Date!B:B,Dim_Date!A:A)</f>
        <v>20250629</v>
      </c>
      <c r="C394">
        <f>_xlfn.XLOOKUP(clean_sales!C394,Dim_Customer!B:B,Dim_Customer!A:A)</f>
        <v>321</v>
      </c>
      <c r="D394">
        <f>_xlfn.XLOOKUP(clean_sales!I394,Dim_Product!B:B,Dim_Product!A:A)</f>
        <v>6</v>
      </c>
      <c r="E394">
        <f>clean_sales!L394</f>
        <v>5</v>
      </c>
      <c r="F394">
        <f>clean_sales!T394</f>
        <v>360000</v>
      </c>
    </row>
    <row r="395" spans="1:6" x14ac:dyDescent="0.35">
      <c r="A395" t="str">
        <v>TXN100393</v>
      </c>
      <c r="B395">
        <f>_xlfn.XLOOKUP(clean_sales!P395,Dim_Date!B:B,Dim_Date!A:A)</f>
        <v>20250919</v>
      </c>
      <c r="C395">
        <f>_xlfn.XLOOKUP(clean_sales!C395,Dim_Customer!B:B,Dim_Customer!A:A)</f>
        <v>322</v>
      </c>
      <c r="D395">
        <f>_xlfn.XLOOKUP(clean_sales!I395,Dim_Product!B:B,Dim_Product!A:A)</f>
        <v>6</v>
      </c>
      <c r="E395">
        <f>clean_sales!L395</f>
        <v>4</v>
      </c>
      <c r="F395">
        <f>clean_sales!T395</f>
        <v>288000</v>
      </c>
    </row>
    <row r="396" spans="1:6" x14ac:dyDescent="0.35">
      <c r="A396" t="str">
        <v>TXN100394</v>
      </c>
      <c r="B396">
        <f>_xlfn.XLOOKUP(clean_sales!P396,Dim_Date!B:B,Dim_Date!A:A)</f>
        <v>20250602</v>
      </c>
      <c r="C396">
        <f>_xlfn.XLOOKUP(clean_sales!C396,Dim_Customer!B:B,Dim_Customer!A:A)</f>
        <v>323</v>
      </c>
      <c r="D396">
        <f>_xlfn.XLOOKUP(clean_sales!I396,Dim_Product!B:B,Dim_Product!A:A)</f>
        <v>7</v>
      </c>
      <c r="E396">
        <f>clean_sales!L396</f>
        <v>1</v>
      </c>
      <c r="F396">
        <f>clean_sales!T396</f>
        <v>58000</v>
      </c>
    </row>
    <row r="397" spans="1:6" x14ac:dyDescent="0.35">
      <c r="A397" t="str">
        <v>TXN100395</v>
      </c>
      <c r="B397">
        <f>_xlfn.XLOOKUP(clean_sales!P397,Dim_Date!B:B,Dim_Date!A:A)</f>
        <v>20250516</v>
      </c>
      <c r="C397">
        <f>_xlfn.XLOOKUP(clean_sales!C397,Dim_Customer!B:B,Dim_Customer!A:A)</f>
        <v>115</v>
      </c>
      <c r="D397">
        <f>_xlfn.XLOOKUP(clean_sales!I397,Dim_Product!B:B,Dim_Product!A:A)</f>
        <v>4</v>
      </c>
      <c r="E397">
        <f>clean_sales!L397</f>
        <v>1</v>
      </c>
      <c r="F397">
        <f>clean_sales!T397</f>
        <v>4500</v>
      </c>
    </row>
    <row r="398" spans="1:6" x14ac:dyDescent="0.35">
      <c r="A398" t="str">
        <v>TXN100396</v>
      </c>
      <c r="B398">
        <f>_xlfn.XLOOKUP(clean_sales!P398,Dim_Date!B:B,Dim_Date!A:A)</f>
        <v>20250507</v>
      </c>
      <c r="C398">
        <f>_xlfn.XLOOKUP(clean_sales!C398,Dim_Customer!B:B,Dim_Customer!A:A)</f>
        <v>324</v>
      </c>
      <c r="D398">
        <f>_xlfn.XLOOKUP(clean_sales!I398,Dim_Product!B:B,Dim_Product!A:A)</f>
        <v>1</v>
      </c>
      <c r="E398">
        <f>clean_sales!L398</f>
        <v>5</v>
      </c>
      <c r="F398">
        <f>clean_sales!T398</f>
        <v>60000</v>
      </c>
    </row>
    <row r="399" spans="1:6" x14ac:dyDescent="0.35">
      <c r="A399" t="str">
        <v>TXN100397</v>
      </c>
      <c r="B399">
        <f>_xlfn.XLOOKUP(clean_sales!P399,Dim_Date!B:B,Dim_Date!A:A)</f>
        <v>20250220</v>
      </c>
      <c r="C399">
        <f>_xlfn.XLOOKUP(clean_sales!C399,Dim_Customer!B:B,Dim_Customer!A:A)</f>
        <v>137</v>
      </c>
      <c r="D399">
        <f>_xlfn.XLOOKUP(clean_sales!I399,Dim_Product!B:B,Dim_Product!A:A)</f>
        <v>7</v>
      </c>
      <c r="E399">
        <f>clean_sales!L399</f>
        <v>5</v>
      </c>
      <c r="F399">
        <f>clean_sales!T399</f>
        <v>290000</v>
      </c>
    </row>
    <row r="400" spans="1:6" x14ac:dyDescent="0.35">
      <c r="A400" t="str">
        <v>TXN100398</v>
      </c>
      <c r="B400">
        <f>_xlfn.XLOOKUP(clean_sales!P400,Dim_Date!B:B,Dim_Date!A:A)</f>
        <v>20251218</v>
      </c>
      <c r="C400">
        <f>_xlfn.XLOOKUP(clean_sales!C400,Dim_Customer!B:B,Dim_Customer!A:A)</f>
        <v>325</v>
      </c>
      <c r="D400">
        <f>_xlfn.XLOOKUP(clean_sales!I400,Dim_Product!B:B,Dim_Product!A:A)</f>
        <v>2</v>
      </c>
      <c r="E400">
        <f>clean_sales!L400</f>
        <v>5</v>
      </c>
      <c r="F400">
        <f>clean_sales!T400</f>
        <v>325000</v>
      </c>
    </row>
    <row r="401" spans="1:6" x14ac:dyDescent="0.35">
      <c r="A401" t="str">
        <v>TXN100399</v>
      </c>
      <c r="B401">
        <f>_xlfn.XLOOKUP(clean_sales!P401,Dim_Date!B:B,Dim_Date!A:A)</f>
        <v>20250508</v>
      </c>
      <c r="C401">
        <f>_xlfn.XLOOKUP(clean_sales!C401,Dim_Customer!B:B,Dim_Customer!A:A)</f>
        <v>326</v>
      </c>
      <c r="D401">
        <f>_xlfn.XLOOKUP(clean_sales!I401,Dim_Product!B:B,Dim_Product!A:A)</f>
        <v>7</v>
      </c>
      <c r="E401">
        <f>clean_sales!L401</f>
        <v>1</v>
      </c>
      <c r="F401">
        <f>clean_sales!T401</f>
        <v>58000</v>
      </c>
    </row>
    <row r="402" spans="1:6" x14ac:dyDescent="0.35">
      <c r="A402" t="str">
        <v>TXN100400</v>
      </c>
      <c r="B402">
        <f>_xlfn.XLOOKUP(clean_sales!P402,Dim_Date!B:B,Dim_Date!A:A)</f>
        <v>20250718</v>
      </c>
      <c r="C402">
        <f>_xlfn.XLOOKUP(clean_sales!C402,Dim_Customer!B:B,Dim_Customer!A:A)</f>
        <v>327</v>
      </c>
      <c r="D402">
        <f>_xlfn.XLOOKUP(clean_sales!I402,Dim_Product!B:B,Dim_Product!A:A)</f>
        <v>1</v>
      </c>
      <c r="E402">
        <f>clean_sales!L402</f>
        <v>2</v>
      </c>
      <c r="F402">
        <f>clean_sales!T402</f>
        <v>24000</v>
      </c>
    </row>
    <row r="403" spans="1:6" x14ac:dyDescent="0.35">
      <c r="A403" t="str">
        <v>TXN100401</v>
      </c>
      <c r="B403">
        <f>_xlfn.XLOOKUP(clean_sales!P403,Dim_Date!B:B,Dim_Date!A:A)</f>
        <v>20251207</v>
      </c>
      <c r="C403">
        <f>_xlfn.XLOOKUP(clean_sales!C403,Dim_Customer!B:B,Dim_Customer!A:A)</f>
        <v>30</v>
      </c>
      <c r="D403">
        <f>_xlfn.XLOOKUP(clean_sales!I403,Dim_Product!B:B,Dim_Product!A:A)</f>
        <v>3</v>
      </c>
      <c r="E403">
        <f>clean_sales!L403</f>
        <v>3</v>
      </c>
      <c r="F403">
        <f>clean_sales!T403</f>
        <v>15000</v>
      </c>
    </row>
    <row r="404" spans="1:6" x14ac:dyDescent="0.35">
      <c r="A404" t="str">
        <v>TXN100402</v>
      </c>
      <c r="B404">
        <f>_xlfn.XLOOKUP(clean_sales!P404,Dim_Date!B:B,Dim_Date!A:A)</f>
        <v>20250430</v>
      </c>
      <c r="C404">
        <f>_xlfn.XLOOKUP(clean_sales!C404,Dim_Customer!B:B,Dim_Customer!A:A)</f>
        <v>296</v>
      </c>
      <c r="D404">
        <f>_xlfn.XLOOKUP(clean_sales!I404,Dim_Product!B:B,Dim_Product!A:A)</f>
        <v>1</v>
      </c>
      <c r="E404">
        <f>clean_sales!L404</f>
        <v>2</v>
      </c>
      <c r="F404">
        <f>clean_sales!T404</f>
        <v>24000</v>
      </c>
    </row>
    <row r="405" spans="1:6" x14ac:dyDescent="0.35">
      <c r="A405" t="str">
        <v>TXN100403</v>
      </c>
      <c r="B405">
        <f>_xlfn.XLOOKUP(clean_sales!P405,Dim_Date!B:B,Dim_Date!A:A)</f>
        <v>20251031</v>
      </c>
      <c r="C405">
        <f>_xlfn.XLOOKUP(clean_sales!C405,Dim_Customer!B:B,Dim_Customer!A:A)</f>
        <v>328</v>
      </c>
      <c r="D405">
        <f>_xlfn.XLOOKUP(clean_sales!I405,Dim_Product!B:B,Dim_Product!A:A)</f>
        <v>6</v>
      </c>
      <c r="E405">
        <f>clean_sales!L405</f>
        <v>2</v>
      </c>
      <c r="F405">
        <f>clean_sales!T405</f>
        <v>144000</v>
      </c>
    </row>
    <row r="406" spans="1:6" x14ac:dyDescent="0.35">
      <c r="A406" t="str">
        <v>TXN100404</v>
      </c>
      <c r="B406">
        <f>_xlfn.XLOOKUP(clean_sales!P406,Dim_Date!B:B,Dim_Date!A:A)</f>
        <v>20250914</v>
      </c>
      <c r="C406">
        <f>_xlfn.XLOOKUP(clean_sales!C406,Dim_Customer!B:B,Dim_Customer!A:A)</f>
        <v>281</v>
      </c>
      <c r="D406">
        <f>_xlfn.XLOOKUP(clean_sales!I406,Dim_Product!B:B,Dim_Product!A:A)</f>
        <v>1</v>
      </c>
      <c r="E406">
        <f>clean_sales!L406</f>
        <v>4</v>
      </c>
      <c r="F406">
        <f>clean_sales!T406</f>
        <v>48000</v>
      </c>
    </row>
    <row r="407" spans="1:6" x14ac:dyDescent="0.35">
      <c r="A407" t="str">
        <v>TXN100405</v>
      </c>
      <c r="B407">
        <f>_xlfn.XLOOKUP(clean_sales!P407,Dim_Date!B:B,Dim_Date!A:A)</f>
        <v>20250604</v>
      </c>
      <c r="C407">
        <f>_xlfn.XLOOKUP(clean_sales!C407,Dim_Customer!B:B,Dim_Customer!A:A)</f>
        <v>329</v>
      </c>
      <c r="D407">
        <f>_xlfn.XLOOKUP(clean_sales!I407,Dim_Product!B:B,Dim_Product!A:A)</f>
        <v>5</v>
      </c>
      <c r="E407">
        <f>clean_sales!L407</f>
        <v>2</v>
      </c>
      <c r="F407">
        <f>clean_sales!T407</f>
        <v>3600</v>
      </c>
    </row>
    <row r="408" spans="1:6" x14ac:dyDescent="0.35">
      <c r="A408" t="str">
        <v>TXN100406</v>
      </c>
      <c r="B408">
        <f>_xlfn.XLOOKUP(clean_sales!P408,Dim_Date!B:B,Dim_Date!A:A)</f>
        <v>20250607</v>
      </c>
      <c r="C408">
        <f>_xlfn.XLOOKUP(clean_sales!C408,Dim_Customer!B:B,Dim_Customer!A:A)</f>
        <v>330</v>
      </c>
      <c r="D408">
        <f>_xlfn.XLOOKUP(clean_sales!I408,Dim_Product!B:B,Dim_Product!A:A)</f>
        <v>7</v>
      </c>
      <c r="E408">
        <f>clean_sales!L408</f>
        <v>3</v>
      </c>
      <c r="F408">
        <f>clean_sales!T408</f>
        <v>174000</v>
      </c>
    </row>
    <row r="409" spans="1:6" x14ac:dyDescent="0.35">
      <c r="A409" t="str">
        <v>TXN100407</v>
      </c>
      <c r="B409">
        <f>_xlfn.XLOOKUP(clean_sales!P409,Dim_Date!B:B,Dim_Date!A:A)</f>
        <v>20250105</v>
      </c>
      <c r="C409">
        <f>_xlfn.XLOOKUP(clean_sales!C409,Dim_Customer!B:B,Dim_Customer!A:A)</f>
        <v>331</v>
      </c>
      <c r="D409">
        <f>_xlfn.XLOOKUP(clean_sales!I409,Dim_Product!B:B,Dim_Product!A:A)</f>
        <v>3</v>
      </c>
      <c r="E409">
        <f>clean_sales!L409</f>
        <v>4</v>
      </c>
      <c r="F409">
        <f>clean_sales!T409</f>
        <v>20000</v>
      </c>
    </row>
    <row r="410" spans="1:6" x14ac:dyDescent="0.35">
      <c r="A410" t="str">
        <v>TXN100408</v>
      </c>
      <c r="B410">
        <f>_xlfn.XLOOKUP(clean_sales!P410,Dim_Date!B:B,Dim_Date!A:A)</f>
        <v>20250504</v>
      </c>
      <c r="C410">
        <f>_xlfn.XLOOKUP(clean_sales!C410,Dim_Customer!B:B,Dim_Customer!A:A)</f>
        <v>332</v>
      </c>
      <c r="D410">
        <f>_xlfn.XLOOKUP(clean_sales!I410,Dim_Product!B:B,Dim_Product!A:A)</f>
        <v>7</v>
      </c>
      <c r="E410">
        <f>clean_sales!L410</f>
        <v>3</v>
      </c>
      <c r="F410">
        <f>clean_sales!T410</f>
        <v>174000</v>
      </c>
    </row>
    <row r="411" spans="1:6" x14ac:dyDescent="0.35">
      <c r="A411" t="str">
        <v>TXN100409</v>
      </c>
      <c r="B411">
        <f>_xlfn.XLOOKUP(clean_sales!P411,Dim_Date!B:B,Dim_Date!A:A)</f>
        <v>20250910</v>
      </c>
      <c r="C411">
        <f>_xlfn.XLOOKUP(clean_sales!C411,Dim_Customer!B:B,Dim_Customer!A:A)</f>
        <v>98</v>
      </c>
      <c r="D411">
        <f>_xlfn.XLOOKUP(clean_sales!I411,Dim_Product!B:B,Dim_Product!A:A)</f>
        <v>7</v>
      </c>
      <c r="E411">
        <f>clean_sales!L411</f>
        <v>1</v>
      </c>
      <c r="F411">
        <f>clean_sales!T411</f>
        <v>58000</v>
      </c>
    </row>
    <row r="412" spans="1:6" x14ac:dyDescent="0.35">
      <c r="A412" t="str">
        <v>TXN100410</v>
      </c>
      <c r="B412">
        <f>_xlfn.XLOOKUP(clean_sales!P412,Dim_Date!B:B,Dim_Date!A:A)</f>
        <v>20250824</v>
      </c>
      <c r="C412">
        <f>_xlfn.XLOOKUP(clean_sales!C412,Dim_Customer!B:B,Dim_Customer!A:A)</f>
        <v>333</v>
      </c>
      <c r="D412">
        <f>_xlfn.XLOOKUP(clean_sales!I412,Dim_Product!B:B,Dim_Product!A:A)</f>
        <v>4</v>
      </c>
      <c r="E412">
        <f>clean_sales!L412</f>
        <v>5</v>
      </c>
      <c r="F412">
        <f>clean_sales!T412</f>
        <v>22500</v>
      </c>
    </row>
    <row r="413" spans="1:6" x14ac:dyDescent="0.35">
      <c r="A413" t="str">
        <v>TXN100411</v>
      </c>
      <c r="B413">
        <f>_xlfn.XLOOKUP(clean_sales!P413,Dim_Date!B:B,Dim_Date!A:A)</f>
        <v>20250106</v>
      </c>
      <c r="C413">
        <f>_xlfn.XLOOKUP(clean_sales!C413,Dim_Customer!B:B,Dim_Customer!A:A)</f>
        <v>334</v>
      </c>
      <c r="D413">
        <f>_xlfn.XLOOKUP(clean_sales!I413,Dim_Product!B:B,Dim_Product!A:A)</f>
        <v>3</v>
      </c>
      <c r="E413">
        <f>clean_sales!L413</f>
        <v>5</v>
      </c>
      <c r="F413">
        <f>clean_sales!T413</f>
        <v>25000</v>
      </c>
    </row>
    <row r="414" spans="1:6" x14ac:dyDescent="0.35">
      <c r="A414" t="str">
        <v>TXN100412</v>
      </c>
      <c r="B414">
        <f>_xlfn.XLOOKUP(clean_sales!P414,Dim_Date!B:B,Dim_Date!A:A)</f>
        <v>20250526</v>
      </c>
      <c r="C414">
        <f>_xlfn.XLOOKUP(clean_sales!C414,Dim_Customer!B:B,Dim_Customer!A:A)</f>
        <v>59</v>
      </c>
      <c r="D414">
        <f>_xlfn.XLOOKUP(clean_sales!I414,Dim_Product!B:B,Dim_Product!A:A)</f>
        <v>6</v>
      </c>
      <c r="E414">
        <f>clean_sales!L414</f>
        <v>4</v>
      </c>
      <c r="F414">
        <f>clean_sales!T414</f>
        <v>288000</v>
      </c>
    </row>
    <row r="415" spans="1:6" x14ac:dyDescent="0.35">
      <c r="A415" t="str">
        <v>TXN100413</v>
      </c>
      <c r="B415">
        <f>_xlfn.XLOOKUP(clean_sales!P415,Dim_Date!B:B,Dim_Date!A:A)</f>
        <v>20250109</v>
      </c>
      <c r="C415">
        <f>_xlfn.XLOOKUP(clean_sales!C415,Dim_Customer!B:B,Dim_Customer!A:A)</f>
        <v>335</v>
      </c>
      <c r="D415">
        <f>_xlfn.XLOOKUP(clean_sales!I415,Dim_Product!B:B,Dim_Product!A:A)</f>
        <v>3</v>
      </c>
      <c r="E415">
        <f>clean_sales!L415</f>
        <v>4</v>
      </c>
      <c r="F415">
        <f>clean_sales!T415</f>
        <v>20000</v>
      </c>
    </row>
    <row r="416" spans="1:6" x14ac:dyDescent="0.35">
      <c r="A416" t="str">
        <v>TXN100414</v>
      </c>
      <c r="B416">
        <f>_xlfn.XLOOKUP(clean_sales!P416,Dim_Date!B:B,Dim_Date!A:A)</f>
        <v>20250211</v>
      </c>
      <c r="C416">
        <f>_xlfn.XLOOKUP(clean_sales!C416,Dim_Customer!B:B,Dim_Customer!A:A)</f>
        <v>53</v>
      </c>
      <c r="D416">
        <f>_xlfn.XLOOKUP(clean_sales!I416,Dim_Product!B:B,Dim_Product!A:A)</f>
        <v>3</v>
      </c>
      <c r="E416">
        <f>clean_sales!L416</f>
        <v>5</v>
      </c>
      <c r="F416">
        <f>clean_sales!T416</f>
        <v>25000</v>
      </c>
    </row>
    <row r="417" spans="1:6" x14ac:dyDescent="0.35">
      <c r="A417" t="str">
        <v>TXN100415</v>
      </c>
      <c r="B417">
        <f>_xlfn.XLOOKUP(clean_sales!P417,Dim_Date!B:B,Dim_Date!A:A)</f>
        <v>20250315</v>
      </c>
      <c r="C417">
        <f>_xlfn.XLOOKUP(clean_sales!C417,Dim_Customer!B:B,Dim_Customer!A:A)</f>
        <v>336</v>
      </c>
      <c r="D417">
        <f>_xlfn.XLOOKUP(clean_sales!I417,Dim_Product!B:B,Dim_Product!A:A)</f>
        <v>2</v>
      </c>
      <c r="E417">
        <f>clean_sales!L417</f>
        <v>2</v>
      </c>
      <c r="F417">
        <f>clean_sales!T417</f>
        <v>130000</v>
      </c>
    </row>
    <row r="418" spans="1:6" x14ac:dyDescent="0.35">
      <c r="A418" t="str">
        <v>TXN100416</v>
      </c>
      <c r="B418">
        <f>_xlfn.XLOOKUP(clean_sales!P418,Dim_Date!B:B,Dim_Date!A:A)</f>
        <v>20250226</v>
      </c>
      <c r="C418">
        <f>_xlfn.XLOOKUP(clean_sales!C418,Dim_Customer!B:B,Dim_Customer!A:A)</f>
        <v>337</v>
      </c>
      <c r="D418">
        <f>_xlfn.XLOOKUP(clean_sales!I418,Dim_Product!B:B,Dim_Product!A:A)</f>
        <v>3</v>
      </c>
      <c r="E418">
        <f>clean_sales!L418</f>
        <v>1</v>
      </c>
      <c r="F418">
        <f>clean_sales!T418</f>
        <v>5000</v>
      </c>
    </row>
    <row r="419" spans="1:6" x14ac:dyDescent="0.35">
      <c r="A419" t="str">
        <v>TXN100417</v>
      </c>
      <c r="B419">
        <f>_xlfn.XLOOKUP(clean_sales!P419,Dim_Date!B:B,Dim_Date!A:A)</f>
        <v>20250912</v>
      </c>
      <c r="C419">
        <f>_xlfn.XLOOKUP(clean_sales!C419,Dim_Customer!B:B,Dim_Customer!A:A)</f>
        <v>150</v>
      </c>
      <c r="D419">
        <f>_xlfn.XLOOKUP(clean_sales!I419,Dim_Product!B:B,Dim_Product!A:A)</f>
        <v>3</v>
      </c>
      <c r="E419">
        <f>clean_sales!L419</f>
        <v>3</v>
      </c>
      <c r="F419">
        <f>clean_sales!T419</f>
        <v>15000</v>
      </c>
    </row>
    <row r="420" spans="1:6" x14ac:dyDescent="0.35">
      <c r="A420" t="str">
        <v>TXN100418</v>
      </c>
      <c r="B420">
        <f>_xlfn.XLOOKUP(clean_sales!P420,Dim_Date!B:B,Dim_Date!A:A)</f>
        <v>20250710</v>
      </c>
      <c r="C420">
        <f>_xlfn.XLOOKUP(clean_sales!C420,Dim_Customer!B:B,Dim_Customer!A:A)</f>
        <v>225</v>
      </c>
      <c r="D420">
        <f>_xlfn.XLOOKUP(clean_sales!I420,Dim_Product!B:B,Dim_Product!A:A)</f>
        <v>2</v>
      </c>
      <c r="E420">
        <f>clean_sales!L420</f>
        <v>3</v>
      </c>
      <c r="F420">
        <f>clean_sales!T420</f>
        <v>195000</v>
      </c>
    </row>
    <row r="421" spans="1:6" x14ac:dyDescent="0.35">
      <c r="A421" t="str">
        <v>TXN100419</v>
      </c>
      <c r="B421">
        <f>_xlfn.XLOOKUP(clean_sales!P421,Dim_Date!B:B,Dim_Date!A:A)</f>
        <v>20250118</v>
      </c>
      <c r="C421">
        <f>_xlfn.XLOOKUP(clean_sales!C421,Dim_Customer!B:B,Dim_Customer!A:A)</f>
        <v>287</v>
      </c>
      <c r="D421">
        <f>_xlfn.XLOOKUP(clean_sales!I421,Dim_Product!B:B,Dim_Product!A:A)</f>
        <v>6</v>
      </c>
      <c r="E421">
        <f>clean_sales!L421</f>
        <v>3</v>
      </c>
      <c r="F421">
        <f>clean_sales!T421</f>
        <v>216000</v>
      </c>
    </row>
    <row r="422" spans="1:6" x14ac:dyDescent="0.35">
      <c r="A422" t="str">
        <v>TXN100420</v>
      </c>
      <c r="B422">
        <f>_xlfn.XLOOKUP(clean_sales!P422,Dim_Date!B:B,Dim_Date!A:A)</f>
        <v>20250520</v>
      </c>
      <c r="C422">
        <f>_xlfn.XLOOKUP(clean_sales!C422,Dim_Customer!B:B,Dim_Customer!A:A)</f>
        <v>268</v>
      </c>
      <c r="D422">
        <f>_xlfn.XLOOKUP(clean_sales!I422,Dim_Product!B:B,Dim_Product!A:A)</f>
        <v>7</v>
      </c>
      <c r="E422">
        <f>clean_sales!L422</f>
        <v>4</v>
      </c>
      <c r="F422">
        <f>clean_sales!T422</f>
        <v>232000</v>
      </c>
    </row>
    <row r="423" spans="1:6" x14ac:dyDescent="0.35">
      <c r="A423" t="str">
        <v>TXN100421</v>
      </c>
      <c r="B423">
        <f>_xlfn.XLOOKUP(clean_sales!P423,Dim_Date!B:B,Dim_Date!A:A)</f>
        <v>20250523</v>
      </c>
      <c r="C423">
        <f>_xlfn.XLOOKUP(clean_sales!C423,Dim_Customer!B:B,Dim_Customer!A:A)</f>
        <v>253</v>
      </c>
      <c r="D423">
        <f>_xlfn.XLOOKUP(clean_sales!I423,Dim_Product!B:B,Dim_Product!A:A)</f>
        <v>2</v>
      </c>
      <c r="E423">
        <f>clean_sales!L423</f>
        <v>1</v>
      </c>
      <c r="F423">
        <f>clean_sales!T423</f>
        <v>65000</v>
      </c>
    </row>
    <row r="424" spans="1:6" x14ac:dyDescent="0.35">
      <c r="A424" t="str">
        <v>TXN100422</v>
      </c>
      <c r="B424">
        <f>_xlfn.XLOOKUP(clean_sales!P424,Dim_Date!B:B,Dim_Date!A:A)</f>
        <v>20250906</v>
      </c>
      <c r="C424">
        <f>_xlfn.XLOOKUP(clean_sales!C424,Dim_Customer!B:B,Dim_Customer!A:A)</f>
        <v>107</v>
      </c>
      <c r="D424">
        <f>_xlfn.XLOOKUP(clean_sales!I424,Dim_Product!B:B,Dim_Product!A:A)</f>
        <v>7</v>
      </c>
      <c r="E424">
        <f>clean_sales!L424</f>
        <v>5</v>
      </c>
      <c r="F424">
        <f>clean_sales!T424</f>
        <v>290000</v>
      </c>
    </row>
    <row r="425" spans="1:6" x14ac:dyDescent="0.35">
      <c r="A425" t="str">
        <v>TXN100423</v>
      </c>
      <c r="B425">
        <f>_xlfn.XLOOKUP(clean_sales!P425,Dim_Date!B:B,Dim_Date!A:A)</f>
        <v>20251231</v>
      </c>
      <c r="C425">
        <f>_xlfn.XLOOKUP(clean_sales!C425,Dim_Customer!B:B,Dim_Customer!A:A)</f>
        <v>338</v>
      </c>
      <c r="D425">
        <f>_xlfn.XLOOKUP(clean_sales!I425,Dim_Product!B:B,Dim_Product!A:A)</f>
        <v>3</v>
      </c>
      <c r="E425">
        <f>clean_sales!L425</f>
        <v>2</v>
      </c>
      <c r="F425">
        <f>clean_sales!T425</f>
        <v>10000</v>
      </c>
    </row>
    <row r="426" spans="1:6" x14ac:dyDescent="0.35">
      <c r="A426" t="str">
        <v>TXN100424</v>
      </c>
      <c r="B426">
        <f>_xlfn.XLOOKUP(clean_sales!P426,Dim_Date!B:B,Dim_Date!A:A)</f>
        <v>20250601</v>
      </c>
      <c r="C426">
        <f>_xlfn.XLOOKUP(clean_sales!C426,Dim_Customer!B:B,Dim_Customer!A:A)</f>
        <v>339</v>
      </c>
      <c r="D426">
        <f>_xlfn.XLOOKUP(clean_sales!I426,Dim_Product!B:B,Dim_Product!A:A)</f>
        <v>2</v>
      </c>
      <c r="E426">
        <f>clean_sales!L426</f>
        <v>3</v>
      </c>
      <c r="F426">
        <f>clean_sales!T426</f>
        <v>195000</v>
      </c>
    </row>
    <row r="427" spans="1:6" x14ac:dyDescent="0.35">
      <c r="A427" t="str">
        <v>TXN100425</v>
      </c>
      <c r="B427">
        <f>_xlfn.XLOOKUP(clean_sales!P427,Dim_Date!B:B,Dim_Date!A:A)</f>
        <v>20250909</v>
      </c>
      <c r="C427">
        <f>_xlfn.XLOOKUP(clean_sales!C427,Dim_Customer!B:B,Dim_Customer!A:A)</f>
        <v>25</v>
      </c>
      <c r="D427">
        <f>_xlfn.XLOOKUP(clean_sales!I427,Dim_Product!B:B,Dim_Product!A:A)</f>
        <v>6</v>
      </c>
      <c r="E427">
        <f>clean_sales!L427</f>
        <v>1</v>
      </c>
      <c r="F427">
        <f>clean_sales!T427</f>
        <v>72000</v>
      </c>
    </row>
    <row r="428" spans="1:6" x14ac:dyDescent="0.35">
      <c r="A428" t="str">
        <v>TXN100426</v>
      </c>
      <c r="B428">
        <f>_xlfn.XLOOKUP(clean_sales!P428,Dim_Date!B:B,Dim_Date!A:A)</f>
        <v>20250217</v>
      </c>
      <c r="C428">
        <f>_xlfn.XLOOKUP(clean_sales!C428,Dim_Customer!B:B,Dim_Customer!A:A)</f>
        <v>340</v>
      </c>
      <c r="D428">
        <f>_xlfn.XLOOKUP(clean_sales!I428,Dim_Product!B:B,Dim_Product!A:A)</f>
        <v>5</v>
      </c>
      <c r="E428">
        <f>clean_sales!L428</f>
        <v>1</v>
      </c>
      <c r="F428">
        <f>clean_sales!T428</f>
        <v>1800</v>
      </c>
    </row>
    <row r="429" spans="1:6" x14ac:dyDescent="0.35">
      <c r="A429" t="str">
        <v>TXN100427</v>
      </c>
      <c r="B429">
        <f>_xlfn.XLOOKUP(clean_sales!P429,Dim_Date!B:B,Dim_Date!A:A)</f>
        <v>20250518</v>
      </c>
      <c r="C429">
        <f>_xlfn.XLOOKUP(clean_sales!C429,Dim_Customer!B:B,Dim_Customer!A:A)</f>
        <v>286</v>
      </c>
      <c r="D429">
        <f>_xlfn.XLOOKUP(clean_sales!I429,Dim_Product!B:B,Dim_Product!A:A)</f>
        <v>2</v>
      </c>
      <c r="E429">
        <f>clean_sales!L429</f>
        <v>1</v>
      </c>
      <c r="F429">
        <f>clean_sales!T429</f>
        <v>65000</v>
      </c>
    </row>
    <row r="430" spans="1:6" x14ac:dyDescent="0.35">
      <c r="A430" t="str">
        <v>TXN100428</v>
      </c>
      <c r="B430">
        <f>_xlfn.XLOOKUP(clean_sales!P430,Dim_Date!B:B,Dim_Date!A:A)</f>
        <v>20250705</v>
      </c>
      <c r="C430">
        <f>_xlfn.XLOOKUP(clean_sales!C430,Dim_Customer!B:B,Dim_Customer!A:A)</f>
        <v>23</v>
      </c>
      <c r="D430">
        <f>_xlfn.XLOOKUP(clean_sales!I430,Dim_Product!B:B,Dim_Product!A:A)</f>
        <v>4</v>
      </c>
      <c r="E430">
        <f>clean_sales!L430</f>
        <v>3</v>
      </c>
      <c r="F430">
        <f>clean_sales!T430</f>
        <v>13500</v>
      </c>
    </row>
    <row r="431" spans="1:6" x14ac:dyDescent="0.35">
      <c r="A431" t="str">
        <v>TXN100429</v>
      </c>
      <c r="B431">
        <f>_xlfn.XLOOKUP(clean_sales!P431,Dim_Date!B:B,Dim_Date!A:A)</f>
        <v>20251210</v>
      </c>
      <c r="C431">
        <f>_xlfn.XLOOKUP(clean_sales!C431,Dim_Customer!B:B,Dim_Customer!A:A)</f>
        <v>248</v>
      </c>
      <c r="D431">
        <f>_xlfn.XLOOKUP(clean_sales!I431,Dim_Product!B:B,Dim_Product!A:A)</f>
        <v>3</v>
      </c>
      <c r="E431">
        <f>clean_sales!L431</f>
        <v>2</v>
      </c>
      <c r="F431">
        <f>clean_sales!T431</f>
        <v>10000</v>
      </c>
    </row>
    <row r="432" spans="1:6" x14ac:dyDescent="0.35">
      <c r="A432" t="str">
        <v>TXN100430</v>
      </c>
      <c r="B432">
        <f>_xlfn.XLOOKUP(clean_sales!P432,Dim_Date!B:B,Dim_Date!A:A)</f>
        <v>20251108</v>
      </c>
      <c r="C432">
        <f>_xlfn.XLOOKUP(clean_sales!C432,Dim_Customer!B:B,Dim_Customer!A:A)</f>
        <v>341</v>
      </c>
      <c r="D432">
        <f>_xlfn.XLOOKUP(clean_sales!I432,Dim_Product!B:B,Dim_Product!A:A)</f>
        <v>1</v>
      </c>
      <c r="E432">
        <f>clean_sales!L432</f>
        <v>2</v>
      </c>
      <c r="F432">
        <f>clean_sales!T432</f>
        <v>24000</v>
      </c>
    </row>
    <row r="433" spans="1:6" x14ac:dyDescent="0.35">
      <c r="A433" t="str">
        <v>TXN100431</v>
      </c>
      <c r="B433">
        <f>_xlfn.XLOOKUP(clean_sales!P433,Dim_Date!B:B,Dim_Date!A:A)</f>
        <v>20251208</v>
      </c>
      <c r="C433">
        <f>_xlfn.XLOOKUP(clean_sales!C433,Dim_Customer!B:B,Dim_Customer!A:A)</f>
        <v>342</v>
      </c>
      <c r="D433">
        <f>_xlfn.XLOOKUP(clean_sales!I433,Dim_Product!B:B,Dim_Product!A:A)</f>
        <v>5</v>
      </c>
      <c r="E433">
        <f>clean_sales!L433</f>
        <v>4</v>
      </c>
      <c r="F433">
        <f>clean_sales!T433</f>
        <v>7200</v>
      </c>
    </row>
    <row r="434" spans="1:6" x14ac:dyDescent="0.35">
      <c r="A434" t="str">
        <v>TXN100432</v>
      </c>
      <c r="B434">
        <f>_xlfn.XLOOKUP(clean_sales!P434,Dim_Date!B:B,Dim_Date!A:A)</f>
        <v>20251209</v>
      </c>
      <c r="C434">
        <f>_xlfn.XLOOKUP(clean_sales!C434,Dim_Customer!B:B,Dim_Customer!A:A)</f>
        <v>343</v>
      </c>
      <c r="D434">
        <f>_xlfn.XLOOKUP(clean_sales!I434,Dim_Product!B:B,Dim_Product!A:A)</f>
        <v>6</v>
      </c>
      <c r="E434">
        <f>clean_sales!L434</f>
        <v>2</v>
      </c>
      <c r="F434">
        <f>clean_sales!T434</f>
        <v>144000</v>
      </c>
    </row>
    <row r="435" spans="1:6" x14ac:dyDescent="0.35">
      <c r="A435" t="str">
        <v>TXN100433</v>
      </c>
      <c r="B435">
        <f>_xlfn.XLOOKUP(clean_sales!P435,Dim_Date!B:B,Dim_Date!A:A)</f>
        <v>20250904</v>
      </c>
      <c r="C435">
        <f>_xlfn.XLOOKUP(clean_sales!C435,Dim_Customer!B:B,Dim_Customer!A:A)</f>
        <v>344</v>
      </c>
      <c r="D435">
        <f>_xlfn.XLOOKUP(clean_sales!I435,Dim_Product!B:B,Dim_Product!A:A)</f>
        <v>7</v>
      </c>
      <c r="E435">
        <f>clean_sales!L435</f>
        <v>3</v>
      </c>
      <c r="F435">
        <f>clean_sales!T435</f>
        <v>174000</v>
      </c>
    </row>
    <row r="436" spans="1:6" x14ac:dyDescent="0.35">
      <c r="A436" t="str">
        <v>TXN100434</v>
      </c>
      <c r="B436">
        <f>_xlfn.XLOOKUP(clean_sales!P436,Dim_Date!B:B,Dim_Date!A:A)</f>
        <v>20250716</v>
      </c>
      <c r="C436">
        <f>_xlfn.XLOOKUP(clean_sales!C436,Dim_Customer!B:B,Dim_Customer!A:A)</f>
        <v>70</v>
      </c>
      <c r="D436">
        <f>_xlfn.XLOOKUP(clean_sales!I436,Dim_Product!B:B,Dim_Product!A:A)</f>
        <v>2</v>
      </c>
      <c r="E436">
        <f>clean_sales!L436</f>
        <v>3</v>
      </c>
      <c r="F436">
        <f>clean_sales!T436</f>
        <v>195000</v>
      </c>
    </row>
    <row r="437" spans="1:6" x14ac:dyDescent="0.35">
      <c r="A437" t="str">
        <v>TXN100435</v>
      </c>
      <c r="B437">
        <f>_xlfn.XLOOKUP(clean_sales!P437,Dim_Date!B:B,Dim_Date!A:A)</f>
        <v>20251101</v>
      </c>
      <c r="C437">
        <f>_xlfn.XLOOKUP(clean_sales!C437,Dim_Customer!B:B,Dim_Customer!A:A)</f>
        <v>345</v>
      </c>
      <c r="D437">
        <f>_xlfn.XLOOKUP(clean_sales!I437,Dim_Product!B:B,Dim_Product!A:A)</f>
        <v>6</v>
      </c>
      <c r="E437">
        <f>clean_sales!L437</f>
        <v>4</v>
      </c>
      <c r="F437">
        <f>clean_sales!T437</f>
        <v>288000</v>
      </c>
    </row>
    <row r="438" spans="1:6" x14ac:dyDescent="0.35">
      <c r="A438" t="str">
        <v>TXN100436</v>
      </c>
      <c r="B438">
        <f>_xlfn.XLOOKUP(clean_sales!P438,Dim_Date!B:B,Dim_Date!A:A)</f>
        <v>20250512</v>
      </c>
      <c r="C438">
        <f>_xlfn.XLOOKUP(clean_sales!C438,Dim_Customer!B:B,Dim_Customer!A:A)</f>
        <v>346</v>
      </c>
      <c r="D438">
        <f>_xlfn.XLOOKUP(clean_sales!I438,Dim_Product!B:B,Dim_Product!A:A)</f>
        <v>6</v>
      </c>
      <c r="E438">
        <f>clean_sales!L438</f>
        <v>3</v>
      </c>
      <c r="F438">
        <f>clean_sales!T438</f>
        <v>216000</v>
      </c>
    </row>
    <row r="439" spans="1:6" x14ac:dyDescent="0.35">
      <c r="A439" t="str">
        <v>TXN100437</v>
      </c>
      <c r="B439">
        <f>_xlfn.XLOOKUP(clean_sales!P439,Dim_Date!B:B,Dim_Date!A:A)</f>
        <v>20250509</v>
      </c>
      <c r="C439">
        <f>_xlfn.XLOOKUP(clean_sales!C439,Dim_Customer!B:B,Dim_Customer!A:A)</f>
        <v>347</v>
      </c>
      <c r="D439">
        <f>_xlfn.XLOOKUP(clean_sales!I439,Dim_Product!B:B,Dim_Product!A:A)</f>
        <v>1</v>
      </c>
      <c r="E439">
        <f>clean_sales!L439</f>
        <v>1</v>
      </c>
      <c r="F439">
        <f>clean_sales!T439</f>
        <v>12000</v>
      </c>
    </row>
    <row r="440" spans="1:6" x14ac:dyDescent="0.35">
      <c r="A440" t="str">
        <v>TXN100438</v>
      </c>
      <c r="B440">
        <f>_xlfn.XLOOKUP(clean_sales!P440,Dim_Date!B:B,Dim_Date!A:A)</f>
        <v>20250921</v>
      </c>
      <c r="C440">
        <f>_xlfn.XLOOKUP(clean_sales!C440,Dim_Customer!B:B,Dim_Customer!A:A)</f>
        <v>348</v>
      </c>
      <c r="D440">
        <f>_xlfn.XLOOKUP(clean_sales!I440,Dim_Product!B:B,Dim_Product!A:A)</f>
        <v>2</v>
      </c>
      <c r="E440">
        <f>clean_sales!L440</f>
        <v>5</v>
      </c>
      <c r="F440">
        <f>clean_sales!T440</f>
        <v>325000</v>
      </c>
    </row>
    <row r="441" spans="1:6" x14ac:dyDescent="0.35">
      <c r="A441" t="str">
        <v>TXN100439</v>
      </c>
      <c r="B441">
        <f>_xlfn.XLOOKUP(clean_sales!P441,Dim_Date!B:B,Dim_Date!A:A)</f>
        <v>20251231</v>
      </c>
      <c r="C441">
        <f>_xlfn.XLOOKUP(clean_sales!C441,Dim_Customer!B:B,Dim_Customer!A:A)</f>
        <v>349</v>
      </c>
      <c r="D441">
        <f>_xlfn.XLOOKUP(clean_sales!I441,Dim_Product!B:B,Dim_Product!A:A)</f>
        <v>6</v>
      </c>
      <c r="E441">
        <f>clean_sales!L441</f>
        <v>1</v>
      </c>
      <c r="F441">
        <f>clean_sales!T441</f>
        <v>72000</v>
      </c>
    </row>
    <row r="442" spans="1:6" x14ac:dyDescent="0.35">
      <c r="A442" t="str">
        <v>TXN100440</v>
      </c>
      <c r="B442">
        <f>_xlfn.XLOOKUP(clean_sales!P442,Dim_Date!B:B,Dim_Date!A:A)</f>
        <v>20251026</v>
      </c>
      <c r="C442">
        <f>_xlfn.XLOOKUP(clean_sales!C442,Dim_Customer!B:B,Dim_Customer!A:A)</f>
        <v>350</v>
      </c>
      <c r="D442">
        <f>_xlfn.XLOOKUP(clean_sales!I442,Dim_Product!B:B,Dim_Product!A:A)</f>
        <v>3</v>
      </c>
      <c r="E442">
        <f>clean_sales!L442</f>
        <v>5</v>
      </c>
      <c r="F442">
        <f>clean_sales!T442</f>
        <v>25000</v>
      </c>
    </row>
    <row r="443" spans="1:6" x14ac:dyDescent="0.35">
      <c r="A443" t="str">
        <v>TXN100441</v>
      </c>
      <c r="B443">
        <f>_xlfn.XLOOKUP(clean_sales!P443,Dim_Date!B:B,Dim_Date!A:A)</f>
        <v>20250601</v>
      </c>
      <c r="C443">
        <f>_xlfn.XLOOKUP(clean_sales!C443,Dim_Customer!B:B,Dim_Customer!A:A)</f>
        <v>351</v>
      </c>
      <c r="D443">
        <f>_xlfn.XLOOKUP(clean_sales!I443,Dim_Product!B:B,Dim_Product!A:A)</f>
        <v>7</v>
      </c>
      <c r="E443">
        <f>clean_sales!L443</f>
        <v>5</v>
      </c>
      <c r="F443">
        <f>clean_sales!T443</f>
        <v>290000</v>
      </c>
    </row>
    <row r="444" spans="1:6" x14ac:dyDescent="0.35">
      <c r="A444" t="str">
        <v>TXN100442</v>
      </c>
      <c r="B444">
        <f>_xlfn.XLOOKUP(clean_sales!P444,Dim_Date!B:B,Dim_Date!A:A)</f>
        <v>20250212</v>
      </c>
      <c r="C444">
        <f>_xlfn.XLOOKUP(clean_sales!C444,Dim_Customer!B:B,Dim_Customer!A:A)</f>
        <v>352</v>
      </c>
      <c r="D444">
        <f>_xlfn.XLOOKUP(clean_sales!I444,Dim_Product!B:B,Dim_Product!A:A)</f>
        <v>5</v>
      </c>
      <c r="E444">
        <f>clean_sales!L444</f>
        <v>1</v>
      </c>
      <c r="F444">
        <f>clean_sales!T444</f>
        <v>1800</v>
      </c>
    </row>
    <row r="445" spans="1:6" x14ac:dyDescent="0.35">
      <c r="A445" t="str">
        <v>TXN100443</v>
      </c>
      <c r="B445">
        <f>_xlfn.XLOOKUP(clean_sales!P445,Dim_Date!B:B,Dim_Date!A:A)</f>
        <v>20250527</v>
      </c>
      <c r="C445">
        <f>_xlfn.XLOOKUP(clean_sales!C445,Dim_Customer!B:B,Dim_Customer!A:A)</f>
        <v>353</v>
      </c>
      <c r="D445">
        <f>_xlfn.XLOOKUP(clean_sales!I445,Dim_Product!B:B,Dim_Product!A:A)</f>
        <v>7</v>
      </c>
      <c r="E445">
        <f>clean_sales!L445</f>
        <v>1</v>
      </c>
      <c r="F445">
        <f>clean_sales!T445</f>
        <v>58000</v>
      </c>
    </row>
    <row r="446" spans="1:6" x14ac:dyDescent="0.35">
      <c r="A446" t="str">
        <v>TXN100444</v>
      </c>
      <c r="B446">
        <f>_xlfn.XLOOKUP(clean_sales!P446,Dim_Date!B:B,Dim_Date!A:A)</f>
        <v>20250116</v>
      </c>
      <c r="C446">
        <f>_xlfn.XLOOKUP(clean_sales!C446,Dim_Customer!B:B,Dim_Customer!A:A)</f>
        <v>354</v>
      </c>
      <c r="D446">
        <f>_xlfn.XLOOKUP(clean_sales!I446,Dim_Product!B:B,Dim_Product!A:A)</f>
        <v>4</v>
      </c>
      <c r="E446">
        <f>clean_sales!L446</f>
        <v>1</v>
      </c>
      <c r="F446">
        <f>clean_sales!T446</f>
        <v>4500</v>
      </c>
    </row>
    <row r="447" spans="1:6" x14ac:dyDescent="0.35">
      <c r="A447" t="str">
        <v>TXN100445</v>
      </c>
      <c r="B447">
        <f>_xlfn.XLOOKUP(clean_sales!P447,Dim_Date!B:B,Dim_Date!A:A)</f>
        <v>20250731</v>
      </c>
      <c r="C447">
        <f>_xlfn.XLOOKUP(clean_sales!C447,Dim_Customer!B:B,Dim_Customer!A:A)</f>
        <v>355</v>
      </c>
      <c r="D447">
        <f>_xlfn.XLOOKUP(clean_sales!I447,Dim_Product!B:B,Dim_Product!A:A)</f>
        <v>6</v>
      </c>
      <c r="E447">
        <f>clean_sales!L447</f>
        <v>4</v>
      </c>
      <c r="F447">
        <f>clean_sales!T447</f>
        <v>288000</v>
      </c>
    </row>
    <row r="448" spans="1:6" x14ac:dyDescent="0.35">
      <c r="A448" t="str">
        <v>TXN100446</v>
      </c>
      <c r="B448">
        <f>_xlfn.XLOOKUP(clean_sales!P448,Dim_Date!B:B,Dim_Date!A:A)</f>
        <v>20250513</v>
      </c>
      <c r="C448">
        <f>_xlfn.XLOOKUP(clean_sales!C448,Dim_Customer!B:B,Dim_Customer!A:A)</f>
        <v>356</v>
      </c>
      <c r="D448">
        <f>_xlfn.XLOOKUP(clean_sales!I448,Dim_Product!B:B,Dim_Product!A:A)</f>
        <v>5</v>
      </c>
      <c r="E448">
        <f>clean_sales!L448</f>
        <v>3</v>
      </c>
      <c r="F448">
        <f>clean_sales!T448</f>
        <v>5400</v>
      </c>
    </row>
    <row r="449" spans="1:6" x14ac:dyDescent="0.35">
      <c r="A449" t="str">
        <v>TXN100447</v>
      </c>
      <c r="B449">
        <f>_xlfn.XLOOKUP(clean_sales!P449,Dim_Date!B:B,Dim_Date!A:A)</f>
        <v>20251129</v>
      </c>
      <c r="C449">
        <f>_xlfn.XLOOKUP(clean_sales!C449,Dim_Customer!B:B,Dim_Customer!A:A)</f>
        <v>357</v>
      </c>
      <c r="D449">
        <f>_xlfn.XLOOKUP(clean_sales!I449,Dim_Product!B:B,Dim_Product!A:A)</f>
        <v>6</v>
      </c>
      <c r="E449">
        <f>clean_sales!L449</f>
        <v>3</v>
      </c>
      <c r="F449">
        <f>clean_sales!T449</f>
        <v>216000</v>
      </c>
    </row>
    <row r="450" spans="1:6" x14ac:dyDescent="0.35">
      <c r="A450" t="str">
        <v>TXN100448</v>
      </c>
      <c r="B450">
        <f>_xlfn.XLOOKUP(clean_sales!P450,Dim_Date!B:B,Dim_Date!A:A)</f>
        <v>20251207</v>
      </c>
      <c r="C450">
        <f>_xlfn.XLOOKUP(clean_sales!C450,Dim_Customer!B:B,Dim_Customer!A:A)</f>
        <v>358</v>
      </c>
      <c r="D450">
        <f>_xlfn.XLOOKUP(clean_sales!I450,Dim_Product!B:B,Dim_Product!A:A)</f>
        <v>3</v>
      </c>
      <c r="E450">
        <f>clean_sales!L450</f>
        <v>2</v>
      </c>
      <c r="F450">
        <f>clean_sales!T450</f>
        <v>10000</v>
      </c>
    </row>
    <row r="451" spans="1:6" x14ac:dyDescent="0.35">
      <c r="A451" t="str">
        <v>TXN100449</v>
      </c>
      <c r="B451">
        <f>_xlfn.XLOOKUP(clean_sales!P451,Dim_Date!B:B,Dim_Date!A:A)</f>
        <v>20250723</v>
      </c>
      <c r="C451">
        <f>_xlfn.XLOOKUP(clean_sales!C451,Dim_Customer!B:B,Dim_Customer!A:A)</f>
        <v>359</v>
      </c>
      <c r="D451">
        <f>_xlfn.XLOOKUP(clean_sales!I451,Dim_Product!B:B,Dim_Product!A:A)</f>
        <v>6</v>
      </c>
      <c r="E451">
        <f>clean_sales!L451</f>
        <v>3</v>
      </c>
      <c r="F451">
        <f>clean_sales!T451</f>
        <v>216000</v>
      </c>
    </row>
    <row r="452" spans="1:6" x14ac:dyDescent="0.35">
      <c r="A452" t="str">
        <v>TXN100450</v>
      </c>
      <c r="B452">
        <f>_xlfn.XLOOKUP(clean_sales!P452,Dim_Date!B:B,Dim_Date!A:A)</f>
        <v>20250226</v>
      </c>
      <c r="C452">
        <f>_xlfn.XLOOKUP(clean_sales!C452,Dim_Customer!B:B,Dim_Customer!A:A)</f>
        <v>360</v>
      </c>
      <c r="D452">
        <f>_xlfn.XLOOKUP(clean_sales!I452,Dim_Product!B:B,Dim_Product!A:A)</f>
        <v>4</v>
      </c>
      <c r="E452">
        <f>clean_sales!L452</f>
        <v>1</v>
      </c>
      <c r="F452">
        <f>clean_sales!T452</f>
        <v>4500</v>
      </c>
    </row>
    <row r="453" spans="1:6" x14ac:dyDescent="0.35">
      <c r="A453" t="str">
        <v>TXN100451</v>
      </c>
      <c r="B453">
        <f>_xlfn.XLOOKUP(clean_sales!P453,Dim_Date!B:B,Dim_Date!A:A)</f>
        <v>20250509</v>
      </c>
      <c r="C453">
        <f>_xlfn.XLOOKUP(clean_sales!C453,Dim_Customer!B:B,Dim_Customer!A:A)</f>
        <v>1</v>
      </c>
      <c r="D453">
        <f>_xlfn.XLOOKUP(clean_sales!I453,Dim_Product!B:B,Dim_Product!A:A)</f>
        <v>5</v>
      </c>
      <c r="E453">
        <f>clean_sales!L453</f>
        <v>4</v>
      </c>
      <c r="F453">
        <f>clean_sales!T453</f>
        <v>7200</v>
      </c>
    </row>
    <row r="454" spans="1:6" x14ac:dyDescent="0.35">
      <c r="A454" t="str">
        <v>TXN100452</v>
      </c>
      <c r="B454">
        <f>_xlfn.XLOOKUP(clean_sales!P454,Dim_Date!B:B,Dim_Date!A:A)</f>
        <v>20250724</v>
      </c>
      <c r="C454">
        <f>_xlfn.XLOOKUP(clean_sales!C454,Dim_Customer!B:B,Dim_Customer!A:A)</f>
        <v>361</v>
      </c>
      <c r="D454">
        <f>_xlfn.XLOOKUP(clean_sales!I454,Dim_Product!B:B,Dim_Product!A:A)</f>
        <v>6</v>
      </c>
      <c r="E454">
        <f>clean_sales!L454</f>
        <v>5</v>
      </c>
      <c r="F454">
        <f>clean_sales!T454</f>
        <v>360000</v>
      </c>
    </row>
    <row r="455" spans="1:6" x14ac:dyDescent="0.35">
      <c r="A455" t="str">
        <v>TXN100453</v>
      </c>
      <c r="B455">
        <f>_xlfn.XLOOKUP(clean_sales!P455,Dim_Date!B:B,Dim_Date!A:A)</f>
        <v>20250916</v>
      </c>
      <c r="C455">
        <f>_xlfn.XLOOKUP(clean_sales!C455,Dim_Customer!B:B,Dim_Customer!A:A)</f>
        <v>285</v>
      </c>
      <c r="D455">
        <f>_xlfn.XLOOKUP(clean_sales!I455,Dim_Product!B:B,Dim_Product!A:A)</f>
        <v>6</v>
      </c>
      <c r="E455">
        <f>clean_sales!L455</f>
        <v>4</v>
      </c>
      <c r="F455">
        <f>clean_sales!T455</f>
        <v>288000</v>
      </c>
    </row>
    <row r="456" spans="1:6" x14ac:dyDescent="0.35">
      <c r="A456" t="str">
        <v>TXN100454</v>
      </c>
      <c r="B456">
        <f>_xlfn.XLOOKUP(clean_sales!P456,Dim_Date!B:B,Dim_Date!A:A)</f>
        <v>20250411</v>
      </c>
      <c r="C456">
        <f>_xlfn.XLOOKUP(clean_sales!C456,Dim_Customer!B:B,Dim_Customer!A:A)</f>
        <v>362</v>
      </c>
      <c r="D456">
        <f>_xlfn.XLOOKUP(clean_sales!I456,Dim_Product!B:B,Dim_Product!A:A)</f>
        <v>6</v>
      </c>
      <c r="E456">
        <f>clean_sales!L456</f>
        <v>3</v>
      </c>
      <c r="F456">
        <f>clean_sales!T456</f>
        <v>216000</v>
      </c>
    </row>
    <row r="457" spans="1:6" x14ac:dyDescent="0.35">
      <c r="A457" t="str">
        <v>TXN100455</v>
      </c>
      <c r="B457">
        <f>_xlfn.XLOOKUP(clean_sales!P457,Dim_Date!B:B,Dim_Date!A:A)</f>
        <v>20250524</v>
      </c>
      <c r="C457">
        <f>_xlfn.XLOOKUP(clean_sales!C457,Dim_Customer!B:B,Dim_Customer!A:A)</f>
        <v>184</v>
      </c>
      <c r="D457">
        <f>_xlfn.XLOOKUP(clean_sales!I457,Dim_Product!B:B,Dim_Product!A:A)</f>
        <v>5</v>
      </c>
      <c r="E457">
        <f>clean_sales!L457</f>
        <v>3</v>
      </c>
      <c r="F457">
        <f>clean_sales!T457</f>
        <v>5400</v>
      </c>
    </row>
    <row r="458" spans="1:6" x14ac:dyDescent="0.35">
      <c r="A458" t="str">
        <v>TXN100456</v>
      </c>
      <c r="B458">
        <f>_xlfn.XLOOKUP(clean_sales!P458,Dim_Date!B:B,Dim_Date!A:A)</f>
        <v>20251204</v>
      </c>
      <c r="C458">
        <f>_xlfn.XLOOKUP(clean_sales!C458,Dim_Customer!B:B,Dim_Customer!A:A)</f>
        <v>363</v>
      </c>
      <c r="D458">
        <f>_xlfn.XLOOKUP(clean_sales!I458,Dim_Product!B:B,Dim_Product!A:A)</f>
        <v>4</v>
      </c>
      <c r="E458">
        <f>clean_sales!L458</f>
        <v>2</v>
      </c>
      <c r="F458">
        <f>clean_sales!T458</f>
        <v>9000</v>
      </c>
    </row>
    <row r="459" spans="1:6" x14ac:dyDescent="0.35">
      <c r="A459" t="str">
        <v>TXN100457</v>
      </c>
      <c r="B459">
        <f>_xlfn.XLOOKUP(clean_sales!P459,Dim_Date!B:B,Dim_Date!A:A)</f>
        <v>20251220</v>
      </c>
      <c r="C459">
        <f>_xlfn.XLOOKUP(clean_sales!C459,Dim_Customer!B:B,Dim_Customer!A:A)</f>
        <v>296</v>
      </c>
      <c r="D459">
        <f>_xlfn.XLOOKUP(clean_sales!I459,Dim_Product!B:B,Dim_Product!A:A)</f>
        <v>2</v>
      </c>
      <c r="E459">
        <f>clean_sales!L459</f>
        <v>4</v>
      </c>
      <c r="F459">
        <f>clean_sales!T459</f>
        <v>260000</v>
      </c>
    </row>
    <row r="460" spans="1:6" x14ac:dyDescent="0.35">
      <c r="A460" t="str">
        <v>TXN100458</v>
      </c>
      <c r="B460">
        <f>_xlfn.XLOOKUP(clean_sales!P460,Dim_Date!B:B,Dim_Date!A:A)</f>
        <v>20250201</v>
      </c>
      <c r="C460">
        <f>_xlfn.XLOOKUP(clean_sales!C460,Dim_Customer!B:B,Dim_Customer!A:A)</f>
        <v>163</v>
      </c>
      <c r="D460">
        <f>_xlfn.XLOOKUP(clean_sales!I460,Dim_Product!B:B,Dim_Product!A:A)</f>
        <v>6</v>
      </c>
      <c r="E460">
        <f>clean_sales!L460</f>
        <v>5</v>
      </c>
      <c r="F460">
        <f>clean_sales!T460</f>
        <v>360000</v>
      </c>
    </row>
    <row r="461" spans="1:6" x14ac:dyDescent="0.35">
      <c r="A461" t="str">
        <v>TXN100459</v>
      </c>
      <c r="B461">
        <f>_xlfn.XLOOKUP(clean_sales!P461,Dim_Date!B:B,Dim_Date!A:A)</f>
        <v>20250521</v>
      </c>
      <c r="C461">
        <f>_xlfn.XLOOKUP(clean_sales!C461,Dim_Customer!B:B,Dim_Customer!A:A)</f>
        <v>315</v>
      </c>
      <c r="D461">
        <f>_xlfn.XLOOKUP(clean_sales!I461,Dim_Product!B:B,Dim_Product!A:A)</f>
        <v>7</v>
      </c>
      <c r="E461">
        <f>clean_sales!L461</f>
        <v>1</v>
      </c>
      <c r="F461">
        <f>clean_sales!T461</f>
        <v>58000</v>
      </c>
    </row>
    <row r="462" spans="1:6" x14ac:dyDescent="0.35">
      <c r="A462" t="str">
        <v>TXN100460</v>
      </c>
      <c r="B462">
        <f>_xlfn.XLOOKUP(clean_sales!P462,Dim_Date!B:B,Dim_Date!A:A)</f>
        <v>20251003</v>
      </c>
      <c r="C462">
        <f>_xlfn.XLOOKUP(clean_sales!C462,Dim_Customer!B:B,Dim_Customer!A:A)</f>
        <v>187</v>
      </c>
      <c r="D462">
        <f>_xlfn.XLOOKUP(clean_sales!I462,Dim_Product!B:B,Dim_Product!A:A)</f>
        <v>6</v>
      </c>
      <c r="E462">
        <f>clean_sales!L462</f>
        <v>5</v>
      </c>
      <c r="F462">
        <f>clean_sales!T462</f>
        <v>360000</v>
      </c>
    </row>
    <row r="463" spans="1:6" x14ac:dyDescent="0.35">
      <c r="A463" t="str">
        <v>TXN100461</v>
      </c>
      <c r="B463">
        <f>_xlfn.XLOOKUP(clean_sales!P463,Dim_Date!B:B,Dim_Date!A:A)</f>
        <v>20250802</v>
      </c>
      <c r="C463">
        <f>_xlfn.XLOOKUP(clean_sales!C463,Dim_Customer!B:B,Dim_Customer!A:A)</f>
        <v>364</v>
      </c>
      <c r="D463">
        <f>_xlfn.XLOOKUP(clean_sales!I463,Dim_Product!B:B,Dim_Product!A:A)</f>
        <v>3</v>
      </c>
      <c r="E463">
        <f>clean_sales!L463</f>
        <v>3</v>
      </c>
      <c r="F463">
        <f>clean_sales!T463</f>
        <v>15000</v>
      </c>
    </row>
    <row r="464" spans="1:6" x14ac:dyDescent="0.35">
      <c r="A464" t="str">
        <v>TXN100462</v>
      </c>
      <c r="B464">
        <f>_xlfn.XLOOKUP(clean_sales!P464,Dim_Date!B:B,Dim_Date!A:A)</f>
        <v>20250721</v>
      </c>
      <c r="C464">
        <f>_xlfn.XLOOKUP(clean_sales!C464,Dim_Customer!B:B,Dim_Customer!A:A)</f>
        <v>365</v>
      </c>
      <c r="D464">
        <f>_xlfn.XLOOKUP(clean_sales!I464,Dim_Product!B:B,Dim_Product!A:A)</f>
        <v>7</v>
      </c>
      <c r="E464">
        <f>clean_sales!L464</f>
        <v>1</v>
      </c>
      <c r="F464">
        <f>clean_sales!T464</f>
        <v>58000</v>
      </c>
    </row>
    <row r="465" spans="1:6" x14ac:dyDescent="0.35">
      <c r="A465" t="str">
        <v>TXN100463</v>
      </c>
      <c r="B465">
        <f>_xlfn.XLOOKUP(clean_sales!P465,Dim_Date!B:B,Dim_Date!A:A)</f>
        <v>20250720</v>
      </c>
      <c r="C465">
        <f>_xlfn.XLOOKUP(clean_sales!C465,Dim_Customer!B:B,Dim_Customer!A:A)</f>
        <v>366</v>
      </c>
      <c r="D465">
        <f>_xlfn.XLOOKUP(clean_sales!I465,Dim_Product!B:B,Dim_Product!A:A)</f>
        <v>1</v>
      </c>
      <c r="E465">
        <f>clean_sales!L465</f>
        <v>2</v>
      </c>
      <c r="F465">
        <f>clean_sales!T465</f>
        <v>24000</v>
      </c>
    </row>
    <row r="466" spans="1:6" x14ac:dyDescent="0.35">
      <c r="A466" t="str">
        <v>TXN100464</v>
      </c>
      <c r="B466">
        <f>_xlfn.XLOOKUP(clean_sales!P466,Dim_Date!B:B,Dim_Date!A:A)</f>
        <v>20250109</v>
      </c>
      <c r="C466">
        <f>_xlfn.XLOOKUP(clean_sales!C466,Dim_Customer!B:B,Dim_Customer!A:A)</f>
        <v>367</v>
      </c>
      <c r="D466">
        <f>_xlfn.XLOOKUP(clean_sales!I466,Dim_Product!B:B,Dim_Product!A:A)</f>
        <v>5</v>
      </c>
      <c r="E466">
        <f>clean_sales!L466</f>
        <v>3</v>
      </c>
      <c r="F466">
        <f>clean_sales!T466</f>
        <v>5400</v>
      </c>
    </row>
    <row r="467" spans="1:6" x14ac:dyDescent="0.35">
      <c r="A467" t="str">
        <v>TXN100465</v>
      </c>
      <c r="B467">
        <f>_xlfn.XLOOKUP(clean_sales!P467,Dim_Date!B:B,Dim_Date!A:A)</f>
        <v>20251215</v>
      </c>
      <c r="C467">
        <f>_xlfn.XLOOKUP(clean_sales!C467,Dim_Customer!B:B,Dim_Customer!A:A)</f>
        <v>368</v>
      </c>
      <c r="D467">
        <f>_xlfn.XLOOKUP(clean_sales!I467,Dim_Product!B:B,Dim_Product!A:A)</f>
        <v>7</v>
      </c>
      <c r="E467">
        <f>clean_sales!L467</f>
        <v>5</v>
      </c>
      <c r="F467">
        <f>clean_sales!T467</f>
        <v>290000</v>
      </c>
    </row>
    <row r="468" spans="1:6" x14ac:dyDescent="0.35">
      <c r="A468" t="str">
        <v>TXN100466</v>
      </c>
      <c r="B468">
        <f>_xlfn.XLOOKUP(clean_sales!P468,Dim_Date!B:B,Dim_Date!A:A)</f>
        <v>20251104</v>
      </c>
      <c r="C468">
        <f>_xlfn.XLOOKUP(clean_sales!C468,Dim_Customer!B:B,Dim_Customer!A:A)</f>
        <v>369</v>
      </c>
      <c r="D468">
        <f>_xlfn.XLOOKUP(clean_sales!I468,Dim_Product!B:B,Dim_Product!A:A)</f>
        <v>7</v>
      </c>
      <c r="E468">
        <f>clean_sales!L468</f>
        <v>5</v>
      </c>
      <c r="F468">
        <f>clean_sales!T468</f>
        <v>290000</v>
      </c>
    </row>
    <row r="469" spans="1:6" x14ac:dyDescent="0.35">
      <c r="A469" t="str">
        <v>TXN100467</v>
      </c>
      <c r="B469">
        <f>_xlfn.XLOOKUP(clean_sales!P469,Dim_Date!B:B,Dim_Date!A:A)</f>
        <v>20251017</v>
      </c>
      <c r="C469">
        <f>_xlfn.XLOOKUP(clean_sales!C469,Dim_Customer!B:B,Dim_Customer!A:A)</f>
        <v>370</v>
      </c>
      <c r="D469">
        <f>_xlfn.XLOOKUP(clean_sales!I469,Dim_Product!B:B,Dim_Product!A:A)</f>
        <v>3</v>
      </c>
      <c r="E469">
        <f>clean_sales!L469</f>
        <v>3</v>
      </c>
      <c r="F469">
        <f>clean_sales!T469</f>
        <v>15000</v>
      </c>
    </row>
    <row r="470" spans="1:6" x14ac:dyDescent="0.35">
      <c r="A470" t="str">
        <v>TXN100468</v>
      </c>
      <c r="B470">
        <f>_xlfn.XLOOKUP(clean_sales!P470,Dim_Date!B:B,Dim_Date!A:A)</f>
        <v>20250201</v>
      </c>
      <c r="C470">
        <f>_xlfn.XLOOKUP(clean_sales!C470,Dim_Customer!B:B,Dim_Customer!A:A)</f>
        <v>359</v>
      </c>
      <c r="D470">
        <f>_xlfn.XLOOKUP(clean_sales!I470,Dim_Product!B:B,Dim_Product!A:A)</f>
        <v>3</v>
      </c>
      <c r="E470">
        <f>clean_sales!L470</f>
        <v>4</v>
      </c>
      <c r="F470">
        <f>clean_sales!T470</f>
        <v>20000</v>
      </c>
    </row>
    <row r="471" spans="1:6" x14ac:dyDescent="0.35">
      <c r="A471" t="str">
        <v>TXN100469</v>
      </c>
      <c r="B471">
        <f>_xlfn.XLOOKUP(clean_sales!P471,Dim_Date!B:B,Dim_Date!A:A)</f>
        <v>20251013</v>
      </c>
      <c r="C471">
        <f>_xlfn.XLOOKUP(clean_sales!C471,Dim_Customer!B:B,Dim_Customer!A:A)</f>
        <v>287</v>
      </c>
      <c r="D471">
        <f>_xlfn.XLOOKUP(clean_sales!I471,Dim_Product!B:B,Dim_Product!A:A)</f>
        <v>7</v>
      </c>
      <c r="E471">
        <f>clean_sales!L471</f>
        <v>3</v>
      </c>
      <c r="F471">
        <f>clean_sales!T471</f>
        <v>174000</v>
      </c>
    </row>
    <row r="472" spans="1:6" x14ac:dyDescent="0.35">
      <c r="A472" t="str">
        <v>TXN100470</v>
      </c>
      <c r="B472">
        <f>_xlfn.XLOOKUP(clean_sales!P472,Dim_Date!B:B,Dim_Date!A:A)</f>
        <v>20250802</v>
      </c>
      <c r="C472">
        <f>_xlfn.XLOOKUP(clean_sales!C472,Dim_Customer!B:B,Dim_Customer!A:A)</f>
        <v>371</v>
      </c>
      <c r="D472">
        <f>_xlfn.XLOOKUP(clean_sales!I472,Dim_Product!B:B,Dim_Product!A:A)</f>
        <v>4</v>
      </c>
      <c r="E472">
        <f>clean_sales!L472</f>
        <v>5</v>
      </c>
      <c r="F472">
        <f>clean_sales!T472</f>
        <v>22500</v>
      </c>
    </row>
    <row r="473" spans="1:6" x14ac:dyDescent="0.35">
      <c r="A473" t="str">
        <v>TXN100471</v>
      </c>
      <c r="B473">
        <f>_xlfn.XLOOKUP(clean_sales!P473,Dim_Date!B:B,Dim_Date!A:A)</f>
        <v>20251104</v>
      </c>
      <c r="C473">
        <f>_xlfn.XLOOKUP(clean_sales!C473,Dim_Customer!B:B,Dim_Customer!A:A)</f>
        <v>372</v>
      </c>
      <c r="D473">
        <f>_xlfn.XLOOKUP(clean_sales!I473,Dim_Product!B:B,Dim_Product!A:A)</f>
        <v>6</v>
      </c>
      <c r="E473">
        <f>clean_sales!L473</f>
        <v>1</v>
      </c>
      <c r="F473">
        <f>clean_sales!T473</f>
        <v>72000</v>
      </c>
    </row>
    <row r="474" spans="1:6" x14ac:dyDescent="0.35">
      <c r="A474" t="str">
        <v>TXN100472</v>
      </c>
      <c r="B474">
        <f>_xlfn.XLOOKUP(clean_sales!P474,Dim_Date!B:B,Dim_Date!A:A)</f>
        <v>20251114</v>
      </c>
      <c r="C474">
        <f>_xlfn.XLOOKUP(clean_sales!C474,Dim_Customer!B:B,Dim_Customer!A:A)</f>
        <v>338</v>
      </c>
      <c r="D474">
        <f>_xlfn.XLOOKUP(clean_sales!I474,Dim_Product!B:B,Dim_Product!A:A)</f>
        <v>2</v>
      </c>
      <c r="E474">
        <f>clean_sales!L474</f>
        <v>3</v>
      </c>
      <c r="F474">
        <f>clean_sales!T474</f>
        <v>195000</v>
      </c>
    </row>
    <row r="475" spans="1:6" x14ac:dyDescent="0.35">
      <c r="A475" t="str">
        <v>TXN100473</v>
      </c>
      <c r="B475">
        <f>_xlfn.XLOOKUP(clean_sales!P475,Dim_Date!B:B,Dim_Date!A:A)</f>
        <v>20250723</v>
      </c>
      <c r="C475">
        <f>_xlfn.XLOOKUP(clean_sales!C475,Dim_Customer!B:B,Dim_Customer!A:A)</f>
        <v>373</v>
      </c>
      <c r="D475">
        <f>_xlfn.XLOOKUP(clean_sales!I475,Dim_Product!B:B,Dim_Product!A:A)</f>
        <v>6</v>
      </c>
      <c r="E475">
        <f>clean_sales!L475</f>
        <v>3</v>
      </c>
      <c r="F475">
        <f>clean_sales!T475</f>
        <v>216000</v>
      </c>
    </row>
    <row r="476" spans="1:6" x14ac:dyDescent="0.35">
      <c r="A476" t="str">
        <v>TXN100474</v>
      </c>
      <c r="B476">
        <f>_xlfn.XLOOKUP(clean_sales!P476,Dim_Date!B:B,Dim_Date!A:A)</f>
        <v>20251209</v>
      </c>
      <c r="C476">
        <f>_xlfn.XLOOKUP(clean_sales!C476,Dim_Customer!B:B,Dim_Customer!A:A)</f>
        <v>374</v>
      </c>
      <c r="D476">
        <f>_xlfn.XLOOKUP(clean_sales!I476,Dim_Product!B:B,Dim_Product!A:A)</f>
        <v>7</v>
      </c>
      <c r="E476">
        <f>clean_sales!L476</f>
        <v>5</v>
      </c>
      <c r="F476">
        <f>clean_sales!T476</f>
        <v>290000</v>
      </c>
    </row>
    <row r="477" spans="1:6" x14ac:dyDescent="0.35">
      <c r="A477" t="str">
        <v>TXN100475</v>
      </c>
      <c r="B477">
        <f>_xlfn.XLOOKUP(clean_sales!P477,Dim_Date!B:B,Dim_Date!A:A)</f>
        <v>20250126</v>
      </c>
      <c r="C477">
        <f>_xlfn.XLOOKUP(clean_sales!C477,Dim_Customer!B:B,Dim_Customer!A:A)</f>
        <v>375</v>
      </c>
      <c r="D477">
        <f>_xlfn.XLOOKUP(clean_sales!I477,Dim_Product!B:B,Dim_Product!A:A)</f>
        <v>7</v>
      </c>
      <c r="E477">
        <f>clean_sales!L477</f>
        <v>1</v>
      </c>
      <c r="F477">
        <f>clean_sales!T477</f>
        <v>58000</v>
      </c>
    </row>
    <row r="478" spans="1:6" x14ac:dyDescent="0.35">
      <c r="A478" t="str">
        <v>TXN100476</v>
      </c>
      <c r="B478">
        <f>_xlfn.XLOOKUP(clean_sales!P478,Dim_Date!B:B,Dim_Date!A:A)</f>
        <v>20250512</v>
      </c>
      <c r="C478">
        <f>_xlfn.XLOOKUP(clean_sales!C478,Dim_Customer!B:B,Dim_Customer!A:A)</f>
        <v>161</v>
      </c>
      <c r="D478">
        <f>_xlfn.XLOOKUP(clean_sales!I478,Dim_Product!B:B,Dim_Product!A:A)</f>
        <v>4</v>
      </c>
      <c r="E478">
        <f>clean_sales!L478</f>
        <v>5</v>
      </c>
      <c r="F478">
        <f>clean_sales!T478</f>
        <v>22500</v>
      </c>
    </row>
    <row r="479" spans="1:6" x14ac:dyDescent="0.35">
      <c r="A479" t="str">
        <v>TXN100477</v>
      </c>
      <c r="B479">
        <f>_xlfn.XLOOKUP(clean_sales!P479,Dim_Date!B:B,Dim_Date!A:A)</f>
        <v>20250304</v>
      </c>
      <c r="C479">
        <f>_xlfn.XLOOKUP(clean_sales!C479,Dim_Customer!B:B,Dim_Customer!A:A)</f>
        <v>165</v>
      </c>
      <c r="D479">
        <f>_xlfn.XLOOKUP(clean_sales!I479,Dim_Product!B:B,Dim_Product!A:A)</f>
        <v>6</v>
      </c>
      <c r="E479">
        <f>clean_sales!L479</f>
        <v>2</v>
      </c>
      <c r="F479">
        <f>clean_sales!T479</f>
        <v>144000</v>
      </c>
    </row>
    <row r="480" spans="1:6" x14ac:dyDescent="0.35">
      <c r="A480" t="str">
        <v>TXN100478</v>
      </c>
      <c r="B480">
        <f>_xlfn.XLOOKUP(clean_sales!P480,Dim_Date!B:B,Dim_Date!A:A)</f>
        <v>20250601</v>
      </c>
      <c r="C480">
        <f>_xlfn.XLOOKUP(clean_sales!C480,Dim_Customer!B:B,Dim_Customer!A:A)</f>
        <v>365</v>
      </c>
      <c r="D480">
        <f>_xlfn.XLOOKUP(clean_sales!I480,Dim_Product!B:B,Dim_Product!A:A)</f>
        <v>7</v>
      </c>
      <c r="E480">
        <f>clean_sales!L480</f>
        <v>3</v>
      </c>
      <c r="F480">
        <f>clean_sales!T480</f>
        <v>174000</v>
      </c>
    </row>
    <row r="481" spans="1:6" x14ac:dyDescent="0.35">
      <c r="A481" t="str">
        <v>TXN100479</v>
      </c>
      <c r="B481">
        <f>_xlfn.XLOOKUP(clean_sales!P481,Dim_Date!B:B,Dim_Date!A:A)</f>
        <v>20250905</v>
      </c>
      <c r="C481">
        <f>_xlfn.XLOOKUP(clean_sales!C481,Dim_Customer!B:B,Dim_Customer!A:A)</f>
        <v>290</v>
      </c>
      <c r="D481">
        <f>_xlfn.XLOOKUP(clean_sales!I481,Dim_Product!B:B,Dim_Product!A:A)</f>
        <v>4</v>
      </c>
      <c r="E481">
        <f>clean_sales!L481</f>
        <v>1</v>
      </c>
      <c r="F481">
        <f>clean_sales!T481</f>
        <v>4500</v>
      </c>
    </row>
    <row r="482" spans="1:6" x14ac:dyDescent="0.35">
      <c r="A482" t="str">
        <v>TXN100480</v>
      </c>
      <c r="B482">
        <f>_xlfn.XLOOKUP(clean_sales!P482,Dim_Date!B:B,Dim_Date!A:A)</f>
        <v>20250411</v>
      </c>
      <c r="C482">
        <f>_xlfn.XLOOKUP(clean_sales!C482,Dim_Customer!B:B,Dim_Customer!A:A)</f>
        <v>94</v>
      </c>
      <c r="D482">
        <f>_xlfn.XLOOKUP(clean_sales!I482,Dim_Product!B:B,Dim_Product!A:A)</f>
        <v>7</v>
      </c>
      <c r="E482">
        <f>clean_sales!L482</f>
        <v>5</v>
      </c>
      <c r="F482">
        <f>clean_sales!T482</f>
        <v>290000</v>
      </c>
    </row>
    <row r="483" spans="1:6" x14ac:dyDescent="0.35">
      <c r="A483" t="str">
        <v>TXN100481</v>
      </c>
      <c r="B483">
        <f>_xlfn.XLOOKUP(clean_sales!P483,Dim_Date!B:B,Dim_Date!A:A)</f>
        <v>20250910</v>
      </c>
      <c r="C483">
        <f>_xlfn.XLOOKUP(clean_sales!C483,Dim_Customer!B:B,Dim_Customer!A:A)</f>
        <v>376</v>
      </c>
      <c r="D483">
        <f>_xlfn.XLOOKUP(clean_sales!I483,Dim_Product!B:B,Dim_Product!A:A)</f>
        <v>5</v>
      </c>
      <c r="E483">
        <f>clean_sales!L483</f>
        <v>1</v>
      </c>
      <c r="F483">
        <f>clean_sales!T483</f>
        <v>1800</v>
      </c>
    </row>
    <row r="484" spans="1:6" x14ac:dyDescent="0.35">
      <c r="A484" t="str">
        <v>TXN100482</v>
      </c>
      <c r="B484">
        <f>_xlfn.XLOOKUP(clean_sales!P484,Dim_Date!B:B,Dim_Date!A:A)</f>
        <v>20250422</v>
      </c>
      <c r="C484">
        <f>_xlfn.XLOOKUP(clean_sales!C484,Dim_Customer!B:B,Dim_Customer!A:A)</f>
        <v>6</v>
      </c>
      <c r="D484">
        <f>_xlfn.XLOOKUP(clean_sales!I484,Dim_Product!B:B,Dim_Product!A:A)</f>
        <v>1</v>
      </c>
      <c r="E484">
        <f>clean_sales!L484</f>
        <v>1</v>
      </c>
      <c r="F484">
        <f>clean_sales!T484</f>
        <v>12000</v>
      </c>
    </row>
    <row r="485" spans="1:6" x14ac:dyDescent="0.35">
      <c r="A485" t="str">
        <v>TXN100483</v>
      </c>
      <c r="B485">
        <f>_xlfn.XLOOKUP(clean_sales!P485,Dim_Date!B:B,Dim_Date!A:A)</f>
        <v>20250622</v>
      </c>
      <c r="C485">
        <f>_xlfn.XLOOKUP(clean_sales!C485,Dim_Customer!B:B,Dim_Customer!A:A)</f>
        <v>377</v>
      </c>
      <c r="D485">
        <f>_xlfn.XLOOKUP(clean_sales!I485,Dim_Product!B:B,Dim_Product!A:A)</f>
        <v>3</v>
      </c>
      <c r="E485">
        <f>clean_sales!L485</f>
        <v>2</v>
      </c>
      <c r="F485">
        <f>clean_sales!T485</f>
        <v>10000</v>
      </c>
    </row>
    <row r="486" spans="1:6" x14ac:dyDescent="0.35">
      <c r="A486" t="str">
        <v>TXN100484</v>
      </c>
      <c r="B486">
        <f>_xlfn.XLOOKUP(clean_sales!P486,Dim_Date!B:B,Dim_Date!A:A)</f>
        <v>20250514</v>
      </c>
      <c r="C486">
        <f>_xlfn.XLOOKUP(clean_sales!C486,Dim_Customer!B:B,Dim_Customer!A:A)</f>
        <v>378</v>
      </c>
      <c r="D486">
        <f>_xlfn.XLOOKUP(clean_sales!I486,Dim_Product!B:B,Dim_Product!A:A)</f>
        <v>7</v>
      </c>
      <c r="E486">
        <f>clean_sales!L486</f>
        <v>4</v>
      </c>
      <c r="F486">
        <f>clean_sales!T486</f>
        <v>232000</v>
      </c>
    </row>
    <row r="487" spans="1:6" x14ac:dyDescent="0.35">
      <c r="A487" t="str">
        <v>TXN100485</v>
      </c>
      <c r="B487">
        <f>_xlfn.XLOOKUP(clean_sales!P487,Dim_Date!B:B,Dim_Date!A:A)</f>
        <v>20250219</v>
      </c>
      <c r="C487">
        <f>_xlfn.XLOOKUP(clean_sales!C487,Dim_Customer!B:B,Dim_Customer!A:A)</f>
        <v>379</v>
      </c>
      <c r="D487">
        <f>_xlfn.XLOOKUP(clean_sales!I487,Dim_Product!B:B,Dim_Product!A:A)</f>
        <v>7</v>
      </c>
      <c r="E487">
        <f>clean_sales!L487</f>
        <v>5</v>
      </c>
      <c r="F487">
        <f>clean_sales!T487</f>
        <v>290000</v>
      </c>
    </row>
    <row r="488" spans="1:6" x14ac:dyDescent="0.35">
      <c r="A488" t="str">
        <v>TXN100486</v>
      </c>
      <c r="B488">
        <f>_xlfn.XLOOKUP(clean_sales!P488,Dim_Date!B:B,Dim_Date!A:A)</f>
        <v>20250425</v>
      </c>
      <c r="C488">
        <f>_xlfn.XLOOKUP(clean_sales!C488,Dim_Customer!B:B,Dim_Customer!A:A)</f>
        <v>343</v>
      </c>
      <c r="D488">
        <f>_xlfn.XLOOKUP(clean_sales!I488,Dim_Product!B:B,Dim_Product!A:A)</f>
        <v>6</v>
      </c>
      <c r="E488">
        <f>clean_sales!L488</f>
        <v>3</v>
      </c>
      <c r="F488">
        <f>clean_sales!T488</f>
        <v>216000</v>
      </c>
    </row>
    <row r="489" spans="1:6" x14ac:dyDescent="0.35">
      <c r="A489" t="str">
        <v>TXN100487</v>
      </c>
      <c r="B489">
        <f>_xlfn.XLOOKUP(clean_sales!P489,Dim_Date!B:B,Dim_Date!A:A)</f>
        <v>20250628</v>
      </c>
      <c r="C489">
        <f>_xlfn.XLOOKUP(clean_sales!C489,Dim_Customer!B:B,Dim_Customer!A:A)</f>
        <v>380</v>
      </c>
      <c r="D489">
        <f>_xlfn.XLOOKUP(clean_sales!I489,Dim_Product!B:B,Dim_Product!A:A)</f>
        <v>2</v>
      </c>
      <c r="E489">
        <f>clean_sales!L489</f>
        <v>4</v>
      </c>
      <c r="F489">
        <f>clean_sales!T489</f>
        <v>260000</v>
      </c>
    </row>
    <row r="490" spans="1:6" x14ac:dyDescent="0.35">
      <c r="A490" t="str">
        <v>TXN100488</v>
      </c>
      <c r="B490">
        <f>_xlfn.XLOOKUP(clean_sales!P490,Dim_Date!B:B,Dim_Date!A:A)</f>
        <v>20250727</v>
      </c>
      <c r="C490">
        <f>_xlfn.XLOOKUP(clean_sales!C490,Dim_Customer!B:B,Dim_Customer!A:A)</f>
        <v>288</v>
      </c>
      <c r="D490">
        <f>_xlfn.XLOOKUP(clean_sales!I490,Dim_Product!B:B,Dim_Product!A:A)</f>
        <v>6</v>
      </c>
      <c r="E490">
        <f>clean_sales!L490</f>
        <v>3</v>
      </c>
      <c r="F490">
        <f>clean_sales!T490</f>
        <v>216000</v>
      </c>
    </row>
    <row r="491" spans="1:6" x14ac:dyDescent="0.35">
      <c r="A491" t="str">
        <v>TXN100489</v>
      </c>
      <c r="B491">
        <f>_xlfn.XLOOKUP(clean_sales!P491,Dim_Date!B:B,Dim_Date!A:A)</f>
        <v>20250108</v>
      </c>
      <c r="C491">
        <f>_xlfn.XLOOKUP(clean_sales!C491,Dim_Customer!B:B,Dim_Customer!A:A)</f>
        <v>254</v>
      </c>
      <c r="D491">
        <f>_xlfn.XLOOKUP(clean_sales!I491,Dim_Product!B:B,Dim_Product!A:A)</f>
        <v>2</v>
      </c>
      <c r="E491">
        <f>clean_sales!L491</f>
        <v>1</v>
      </c>
      <c r="F491">
        <f>clean_sales!T491</f>
        <v>65000</v>
      </c>
    </row>
    <row r="492" spans="1:6" x14ac:dyDescent="0.35">
      <c r="A492" t="str">
        <v>TXN100490</v>
      </c>
      <c r="B492">
        <f>_xlfn.XLOOKUP(clean_sales!P492,Dim_Date!B:B,Dim_Date!A:A)</f>
        <v>20250722</v>
      </c>
      <c r="C492">
        <f>_xlfn.XLOOKUP(clean_sales!C492,Dim_Customer!B:B,Dim_Customer!A:A)</f>
        <v>381</v>
      </c>
      <c r="D492">
        <f>_xlfn.XLOOKUP(clean_sales!I492,Dim_Product!B:B,Dim_Product!A:A)</f>
        <v>3</v>
      </c>
      <c r="E492">
        <f>clean_sales!L492</f>
        <v>4</v>
      </c>
      <c r="F492">
        <f>clean_sales!T492</f>
        <v>20000</v>
      </c>
    </row>
    <row r="493" spans="1:6" x14ac:dyDescent="0.35">
      <c r="A493" t="str">
        <v>TXN100491</v>
      </c>
      <c r="B493">
        <f>_xlfn.XLOOKUP(clean_sales!P493,Dim_Date!B:B,Dim_Date!A:A)</f>
        <v>20250113</v>
      </c>
      <c r="C493">
        <f>_xlfn.XLOOKUP(clean_sales!C493,Dim_Customer!B:B,Dim_Customer!A:A)</f>
        <v>170</v>
      </c>
      <c r="D493">
        <f>_xlfn.XLOOKUP(clean_sales!I493,Dim_Product!B:B,Dim_Product!A:A)</f>
        <v>6</v>
      </c>
      <c r="E493">
        <f>clean_sales!L493</f>
        <v>5</v>
      </c>
      <c r="F493">
        <f>clean_sales!T493</f>
        <v>360000</v>
      </c>
    </row>
    <row r="494" spans="1:6" x14ac:dyDescent="0.35">
      <c r="A494" t="str">
        <v>TXN100492</v>
      </c>
      <c r="B494">
        <f>_xlfn.XLOOKUP(clean_sales!P494,Dim_Date!B:B,Dim_Date!A:A)</f>
        <v>20250419</v>
      </c>
      <c r="C494">
        <f>_xlfn.XLOOKUP(clean_sales!C494,Dim_Customer!B:B,Dim_Customer!A:A)</f>
        <v>382</v>
      </c>
      <c r="D494">
        <f>_xlfn.XLOOKUP(clean_sales!I494,Dim_Product!B:B,Dim_Product!A:A)</f>
        <v>2</v>
      </c>
      <c r="E494">
        <f>clean_sales!L494</f>
        <v>1</v>
      </c>
      <c r="F494">
        <f>clean_sales!T494</f>
        <v>65000</v>
      </c>
    </row>
    <row r="495" spans="1:6" x14ac:dyDescent="0.35">
      <c r="A495" t="str">
        <v>TXN100493</v>
      </c>
      <c r="B495">
        <f>_xlfn.XLOOKUP(clean_sales!P495,Dim_Date!B:B,Dim_Date!A:A)</f>
        <v>20250912</v>
      </c>
      <c r="C495">
        <f>_xlfn.XLOOKUP(clean_sales!C495,Dim_Customer!B:B,Dim_Customer!A:A)</f>
        <v>256</v>
      </c>
      <c r="D495">
        <f>_xlfn.XLOOKUP(clean_sales!I495,Dim_Product!B:B,Dim_Product!A:A)</f>
        <v>6</v>
      </c>
      <c r="E495">
        <f>clean_sales!L495</f>
        <v>2</v>
      </c>
      <c r="F495">
        <f>clean_sales!T495</f>
        <v>144000</v>
      </c>
    </row>
    <row r="496" spans="1:6" x14ac:dyDescent="0.35">
      <c r="A496" t="str">
        <v>TXN100494</v>
      </c>
      <c r="B496">
        <f>_xlfn.XLOOKUP(clean_sales!P496,Dim_Date!B:B,Dim_Date!A:A)</f>
        <v>20250629</v>
      </c>
      <c r="C496">
        <f>_xlfn.XLOOKUP(clean_sales!C496,Dim_Customer!B:B,Dim_Customer!A:A)</f>
        <v>204</v>
      </c>
      <c r="D496">
        <f>_xlfn.XLOOKUP(clean_sales!I496,Dim_Product!B:B,Dim_Product!A:A)</f>
        <v>5</v>
      </c>
      <c r="E496">
        <f>clean_sales!L496</f>
        <v>1</v>
      </c>
      <c r="F496">
        <f>clean_sales!T496</f>
        <v>1800</v>
      </c>
    </row>
    <row r="497" spans="1:6" x14ac:dyDescent="0.35">
      <c r="A497" t="str">
        <v>TXN100495</v>
      </c>
      <c r="B497">
        <f>_xlfn.XLOOKUP(clean_sales!P497,Dim_Date!B:B,Dim_Date!A:A)</f>
        <v>20250717</v>
      </c>
      <c r="C497">
        <f>_xlfn.XLOOKUP(clean_sales!C497,Dim_Customer!B:B,Dim_Customer!A:A)</f>
        <v>383</v>
      </c>
      <c r="D497">
        <f>_xlfn.XLOOKUP(clean_sales!I497,Dim_Product!B:B,Dim_Product!A:A)</f>
        <v>1</v>
      </c>
      <c r="E497">
        <f>clean_sales!L497</f>
        <v>2</v>
      </c>
      <c r="F497">
        <f>clean_sales!T497</f>
        <v>24000</v>
      </c>
    </row>
    <row r="498" spans="1:6" x14ac:dyDescent="0.35">
      <c r="A498" t="str">
        <v>TXN100496</v>
      </c>
      <c r="B498">
        <f>_xlfn.XLOOKUP(clean_sales!P498,Dim_Date!B:B,Dim_Date!A:A)</f>
        <v>20250517</v>
      </c>
      <c r="C498">
        <f>_xlfn.XLOOKUP(clean_sales!C498,Dim_Customer!B:B,Dim_Customer!A:A)</f>
        <v>384</v>
      </c>
      <c r="D498">
        <f>_xlfn.XLOOKUP(clean_sales!I498,Dim_Product!B:B,Dim_Product!A:A)</f>
        <v>3</v>
      </c>
      <c r="E498">
        <f>clean_sales!L498</f>
        <v>3</v>
      </c>
      <c r="F498">
        <f>clean_sales!T498</f>
        <v>15000</v>
      </c>
    </row>
    <row r="499" spans="1:6" x14ac:dyDescent="0.35">
      <c r="A499" t="str">
        <v>TXN100497</v>
      </c>
      <c r="B499">
        <f>_xlfn.XLOOKUP(clean_sales!P499,Dim_Date!B:B,Dim_Date!A:A)</f>
        <v>20251224</v>
      </c>
      <c r="C499">
        <f>_xlfn.XLOOKUP(clean_sales!C499,Dim_Customer!B:B,Dim_Customer!A:A)</f>
        <v>167</v>
      </c>
      <c r="D499">
        <f>_xlfn.XLOOKUP(clean_sales!I499,Dim_Product!B:B,Dim_Product!A:A)</f>
        <v>7</v>
      </c>
      <c r="E499">
        <f>clean_sales!L499</f>
        <v>5</v>
      </c>
      <c r="F499">
        <f>clean_sales!T499</f>
        <v>290000</v>
      </c>
    </row>
    <row r="500" spans="1:6" x14ac:dyDescent="0.35">
      <c r="A500" t="str">
        <v>TXN100498</v>
      </c>
      <c r="B500">
        <f>_xlfn.XLOOKUP(clean_sales!P500,Dim_Date!B:B,Dim_Date!A:A)</f>
        <v>20250918</v>
      </c>
      <c r="C500">
        <f>_xlfn.XLOOKUP(clean_sales!C500,Dim_Customer!B:B,Dim_Customer!A:A)</f>
        <v>385</v>
      </c>
      <c r="D500">
        <f>_xlfn.XLOOKUP(clean_sales!I500,Dim_Product!B:B,Dim_Product!A:A)</f>
        <v>1</v>
      </c>
      <c r="E500">
        <f>clean_sales!L500</f>
        <v>5</v>
      </c>
      <c r="F500">
        <f>clean_sales!T500</f>
        <v>60000</v>
      </c>
    </row>
    <row r="501" spans="1:6" x14ac:dyDescent="0.35">
      <c r="A501" t="str">
        <v>TXN100499</v>
      </c>
      <c r="B501">
        <f>_xlfn.XLOOKUP(clean_sales!P501,Dim_Date!B:B,Dim_Date!A:A)</f>
        <v>20250622</v>
      </c>
      <c r="C501">
        <f>_xlfn.XLOOKUP(clean_sales!C501,Dim_Customer!B:B,Dim_Customer!A:A)</f>
        <v>386</v>
      </c>
      <c r="D501">
        <f>_xlfn.XLOOKUP(clean_sales!I501,Dim_Product!B:B,Dim_Product!A:A)</f>
        <v>3</v>
      </c>
      <c r="E501">
        <f>clean_sales!L501</f>
        <v>2</v>
      </c>
      <c r="F501">
        <f>clean_sales!T501</f>
        <v>10000</v>
      </c>
    </row>
    <row r="502" spans="1:6" x14ac:dyDescent="0.35">
      <c r="A502" t="str">
        <v>TXN100500</v>
      </c>
      <c r="B502">
        <f>_xlfn.XLOOKUP(clean_sales!P502,Dim_Date!B:B,Dim_Date!A:A)</f>
        <v>20250221</v>
      </c>
      <c r="C502">
        <f>_xlfn.XLOOKUP(clean_sales!C502,Dim_Customer!B:B,Dim_Customer!A:A)</f>
        <v>387</v>
      </c>
      <c r="D502">
        <f>_xlfn.XLOOKUP(clean_sales!I502,Dim_Product!B:B,Dim_Product!A:A)</f>
        <v>7</v>
      </c>
      <c r="E502">
        <f>clean_sales!L502</f>
        <v>4</v>
      </c>
      <c r="F502">
        <f>clean_sales!T502</f>
        <v>232000</v>
      </c>
    </row>
    <row r="503" spans="1:6" x14ac:dyDescent="0.35">
      <c r="A503" t="str">
        <v>TXN100501</v>
      </c>
      <c r="B503">
        <f>_xlfn.XLOOKUP(clean_sales!P503,Dim_Date!B:B,Dim_Date!A:A)</f>
        <v>20250914</v>
      </c>
      <c r="C503">
        <f>_xlfn.XLOOKUP(clean_sales!C503,Dim_Customer!B:B,Dim_Customer!A:A)</f>
        <v>388</v>
      </c>
      <c r="D503">
        <f>_xlfn.XLOOKUP(clean_sales!I503,Dim_Product!B:B,Dim_Product!A:A)</f>
        <v>6</v>
      </c>
      <c r="E503">
        <f>clean_sales!L503</f>
        <v>2</v>
      </c>
      <c r="F503">
        <f>clean_sales!T503</f>
        <v>144000</v>
      </c>
    </row>
    <row r="504" spans="1:6" x14ac:dyDescent="0.35">
      <c r="A504" t="str">
        <v>TXN100502</v>
      </c>
      <c r="B504">
        <f>_xlfn.XLOOKUP(clean_sales!P504,Dim_Date!B:B,Dim_Date!A:A)</f>
        <v>20250827</v>
      </c>
      <c r="C504">
        <f>_xlfn.XLOOKUP(clean_sales!C504,Dim_Customer!B:B,Dim_Customer!A:A)</f>
        <v>221</v>
      </c>
      <c r="D504">
        <f>_xlfn.XLOOKUP(clean_sales!I504,Dim_Product!B:B,Dim_Product!A:A)</f>
        <v>4</v>
      </c>
      <c r="E504">
        <f>clean_sales!L504</f>
        <v>4</v>
      </c>
      <c r="F504">
        <f>clean_sales!T504</f>
        <v>18000</v>
      </c>
    </row>
    <row r="505" spans="1:6" x14ac:dyDescent="0.35">
      <c r="A505" t="str">
        <v>TXN100503</v>
      </c>
      <c r="B505">
        <f>_xlfn.XLOOKUP(clean_sales!P505,Dim_Date!B:B,Dim_Date!A:A)</f>
        <v>20251205</v>
      </c>
      <c r="C505">
        <f>_xlfn.XLOOKUP(clean_sales!C505,Dim_Customer!B:B,Dim_Customer!A:A)</f>
        <v>389</v>
      </c>
      <c r="D505">
        <f>_xlfn.XLOOKUP(clean_sales!I505,Dim_Product!B:B,Dim_Product!A:A)</f>
        <v>6</v>
      </c>
      <c r="E505">
        <f>clean_sales!L505</f>
        <v>5</v>
      </c>
      <c r="F505">
        <f>clean_sales!T505</f>
        <v>360000</v>
      </c>
    </row>
    <row r="506" spans="1:6" x14ac:dyDescent="0.35">
      <c r="A506" t="str">
        <v>TXN100504</v>
      </c>
      <c r="B506">
        <f>_xlfn.XLOOKUP(clean_sales!P506,Dim_Date!B:B,Dim_Date!A:A)</f>
        <v>20250916</v>
      </c>
      <c r="C506">
        <f>_xlfn.XLOOKUP(clean_sales!C506,Dim_Customer!B:B,Dim_Customer!A:A)</f>
        <v>390</v>
      </c>
      <c r="D506">
        <f>_xlfn.XLOOKUP(clean_sales!I506,Dim_Product!B:B,Dim_Product!A:A)</f>
        <v>6</v>
      </c>
      <c r="E506">
        <f>clean_sales!L506</f>
        <v>2</v>
      </c>
      <c r="F506">
        <f>clean_sales!T506</f>
        <v>144000</v>
      </c>
    </row>
    <row r="507" spans="1:6" x14ac:dyDescent="0.35">
      <c r="A507" t="str">
        <v>TXN100505</v>
      </c>
      <c r="B507">
        <f>_xlfn.XLOOKUP(clean_sales!P507,Dim_Date!B:B,Dim_Date!A:A)</f>
        <v>20250818</v>
      </c>
      <c r="C507">
        <f>_xlfn.XLOOKUP(clean_sales!C507,Dim_Customer!B:B,Dim_Customer!A:A)</f>
        <v>125</v>
      </c>
      <c r="D507">
        <f>_xlfn.XLOOKUP(clean_sales!I507,Dim_Product!B:B,Dim_Product!A:A)</f>
        <v>5</v>
      </c>
      <c r="E507">
        <f>clean_sales!L507</f>
        <v>5</v>
      </c>
      <c r="F507">
        <f>clean_sales!T507</f>
        <v>9000</v>
      </c>
    </row>
    <row r="508" spans="1:6" x14ac:dyDescent="0.35">
      <c r="A508" t="str">
        <v>TXN100506</v>
      </c>
      <c r="B508">
        <f>_xlfn.XLOOKUP(clean_sales!P508,Dim_Date!B:B,Dim_Date!A:A)</f>
        <v>20250419</v>
      </c>
      <c r="C508">
        <f>_xlfn.XLOOKUP(clean_sales!C508,Dim_Customer!B:B,Dim_Customer!A:A)</f>
        <v>391</v>
      </c>
      <c r="D508">
        <f>_xlfn.XLOOKUP(clean_sales!I508,Dim_Product!B:B,Dim_Product!A:A)</f>
        <v>7</v>
      </c>
      <c r="E508">
        <f>clean_sales!L508</f>
        <v>1</v>
      </c>
      <c r="F508">
        <f>clean_sales!T508</f>
        <v>58000</v>
      </c>
    </row>
    <row r="509" spans="1:6" x14ac:dyDescent="0.35">
      <c r="A509" t="str">
        <v>TXN100507</v>
      </c>
      <c r="B509">
        <f>_xlfn.XLOOKUP(clean_sales!P509,Dim_Date!B:B,Dim_Date!A:A)</f>
        <v>20250717</v>
      </c>
      <c r="C509">
        <f>_xlfn.XLOOKUP(clean_sales!C509,Dim_Customer!B:B,Dim_Customer!A:A)</f>
        <v>392</v>
      </c>
      <c r="D509">
        <f>_xlfn.XLOOKUP(clean_sales!I509,Dim_Product!B:B,Dim_Product!A:A)</f>
        <v>7</v>
      </c>
      <c r="E509">
        <f>clean_sales!L509</f>
        <v>2</v>
      </c>
      <c r="F509">
        <f>clean_sales!T509</f>
        <v>116000</v>
      </c>
    </row>
    <row r="510" spans="1:6" x14ac:dyDescent="0.35">
      <c r="A510" t="str">
        <v>TXN100508</v>
      </c>
      <c r="B510">
        <f>_xlfn.XLOOKUP(clean_sales!P510,Dim_Date!B:B,Dim_Date!A:A)</f>
        <v>20250728</v>
      </c>
      <c r="C510">
        <f>_xlfn.XLOOKUP(clean_sales!C510,Dim_Customer!B:B,Dim_Customer!A:A)</f>
        <v>193</v>
      </c>
      <c r="D510">
        <f>_xlfn.XLOOKUP(clean_sales!I510,Dim_Product!B:B,Dim_Product!A:A)</f>
        <v>3</v>
      </c>
      <c r="E510">
        <f>clean_sales!L510</f>
        <v>1</v>
      </c>
      <c r="F510">
        <f>clean_sales!T510</f>
        <v>5000</v>
      </c>
    </row>
    <row r="511" spans="1:6" x14ac:dyDescent="0.35">
      <c r="A511" t="str">
        <v>TXN100509</v>
      </c>
      <c r="B511">
        <f>_xlfn.XLOOKUP(clean_sales!P511,Dim_Date!B:B,Dim_Date!A:A)</f>
        <v>20251210</v>
      </c>
      <c r="C511">
        <f>_xlfn.XLOOKUP(clean_sales!C511,Dim_Customer!B:B,Dim_Customer!A:A)</f>
        <v>327</v>
      </c>
      <c r="D511">
        <f>_xlfn.XLOOKUP(clean_sales!I511,Dim_Product!B:B,Dim_Product!A:A)</f>
        <v>4</v>
      </c>
      <c r="E511">
        <f>clean_sales!L511</f>
        <v>1</v>
      </c>
      <c r="F511">
        <f>clean_sales!T511</f>
        <v>4500</v>
      </c>
    </row>
    <row r="512" spans="1:6" x14ac:dyDescent="0.35">
      <c r="A512" t="str">
        <v>TXN100510</v>
      </c>
      <c r="B512">
        <f>_xlfn.XLOOKUP(clean_sales!P512,Dim_Date!B:B,Dim_Date!A:A)</f>
        <v>20250809</v>
      </c>
      <c r="C512">
        <f>_xlfn.XLOOKUP(clean_sales!C512,Dim_Customer!B:B,Dim_Customer!A:A)</f>
        <v>393</v>
      </c>
      <c r="D512">
        <f>_xlfn.XLOOKUP(clean_sales!I512,Dim_Product!B:B,Dim_Product!A:A)</f>
        <v>3</v>
      </c>
      <c r="E512">
        <f>clean_sales!L512</f>
        <v>1</v>
      </c>
      <c r="F512">
        <f>clean_sales!T512</f>
        <v>5000</v>
      </c>
    </row>
    <row r="513" spans="1:6" x14ac:dyDescent="0.35">
      <c r="A513" t="str">
        <v>TXN100511</v>
      </c>
      <c r="B513">
        <f>_xlfn.XLOOKUP(clean_sales!P513,Dim_Date!B:B,Dim_Date!A:A)</f>
        <v>20250112</v>
      </c>
      <c r="C513">
        <f>_xlfn.XLOOKUP(clean_sales!C513,Dim_Customer!B:B,Dim_Customer!A:A)</f>
        <v>109</v>
      </c>
      <c r="D513">
        <f>_xlfn.XLOOKUP(clean_sales!I513,Dim_Product!B:B,Dim_Product!A:A)</f>
        <v>3</v>
      </c>
      <c r="E513">
        <f>clean_sales!L513</f>
        <v>5</v>
      </c>
      <c r="F513">
        <f>clean_sales!T513</f>
        <v>25000</v>
      </c>
    </row>
    <row r="514" spans="1:6" x14ac:dyDescent="0.35">
      <c r="A514" t="str">
        <v>TXN100512</v>
      </c>
      <c r="B514">
        <f>_xlfn.XLOOKUP(clean_sales!P514,Dim_Date!B:B,Dim_Date!A:A)</f>
        <v>20250928</v>
      </c>
      <c r="C514">
        <f>_xlfn.XLOOKUP(clean_sales!C514,Dim_Customer!B:B,Dim_Customer!A:A)</f>
        <v>394</v>
      </c>
      <c r="D514">
        <f>_xlfn.XLOOKUP(clean_sales!I514,Dim_Product!B:B,Dim_Product!A:A)</f>
        <v>6</v>
      </c>
      <c r="E514">
        <f>clean_sales!L514</f>
        <v>5</v>
      </c>
      <c r="F514">
        <f>clean_sales!T514</f>
        <v>360000</v>
      </c>
    </row>
    <row r="515" spans="1:6" x14ac:dyDescent="0.35">
      <c r="A515" t="str">
        <v>TXN100513</v>
      </c>
      <c r="B515">
        <f>_xlfn.XLOOKUP(clean_sales!P515,Dim_Date!B:B,Dim_Date!A:A)</f>
        <v>20250315</v>
      </c>
      <c r="C515">
        <f>_xlfn.XLOOKUP(clean_sales!C515,Dim_Customer!B:B,Dim_Customer!A:A)</f>
        <v>395</v>
      </c>
      <c r="D515">
        <f>_xlfn.XLOOKUP(clean_sales!I515,Dim_Product!B:B,Dim_Product!A:A)</f>
        <v>4</v>
      </c>
      <c r="E515">
        <f>clean_sales!L515</f>
        <v>2</v>
      </c>
      <c r="F515">
        <f>clean_sales!T515</f>
        <v>9000</v>
      </c>
    </row>
    <row r="516" spans="1:6" x14ac:dyDescent="0.35">
      <c r="A516" t="str">
        <v>TXN100514</v>
      </c>
      <c r="B516">
        <f>_xlfn.XLOOKUP(clean_sales!P516,Dim_Date!B:B,Dim_Date!A:A)</f>
        <v>20251219</v>
      </c>
      <c r="C516">
        <f>_xlfn.XLOOKUP(clean_sales!C516,Dim_Customer!B:B,Dim_Customer!A:A)</f>
        <v>396</v>
      </c>
      <c r="D516">
        <f>_xlfn.XLOOKUP(clean_sales!I516,Dim_Product!B:B,Dim_Product!A:A)</f>
        <v>2</v>
      </c>
      <c r="E516">
        <f>clean_sales!L516</f>
        <v>5</v>
      </c>
      <c r="F516">
        <f>clean_sales!T516</f>
        <v>325000</v>
      </c>
    </row>
    <row r="517" spans="1:6" x14ac:dyDescent="0.35">
      <c r="A517" t="str">
        <v>TXN100515</v>
      </c>
      <c r="B517">
        <f>_xlfn.XLOOKUP(clean_sales!P517,Dim_Date!B:B,Dim_Date!A:A)</f>
        <v>20250716</v>
      </c>
      <c r="C517">
        <f>_xlfn.XLOOKUP(clean_sales!C517,Dim_Customer!B:B,Dim_Customer!A:A)</f>
        <v>397</v>
      </c>
      <c r="D517">
        <f>_xlfn.XLOOKUP(clean_sales!I517,Dim_Product!B:B,Dim_Product!A:A)</f>
        <v>6</v>
      </c>
      <c r="E517">
        <f>clean_sales!L517</f>
        <v>4</v>
      </c>
      <c r="F517">
        <f>clean_sales!T517</f>
        <v>288000</v>
      </c>
    </row>
    <row r="518" spans="1:6" x14ac:dyDescent="0.35">
      <c r="A518" t="str">
        <v>TXN100516</v>
      </c>
      <c r="B518">
        <f>_xlfn.XLOOKUP(clean_sales!P518,Dim_Date!B:B,Dim_Date!A:A)</f>
        <v>20251115</v>
      </c>
      <c r="C518">
        <f>_xlfn.XLOOKUP(clean_sales!C518,Dim_Customer!B:B,Dim_Customer!A:A)</f>
        <v>398</v>
      </c>
      <c r="D518">
        <f>_xlfn.XLOOKUP(clean_sales!I518,Dim_Product!B:B,Dim_Product!A:A)</f>
        <v>6</v>
      </c>
      <c r="E518">
        <f>clean_sales!L518</f>
        <v>5</v>
      </c>
      <c r="F518">
        <f>clean_sales!T518</f>
        <v>360000</v>
      </c>
    </row>
    <row r="519" spans="1:6" x14ac:dyDescent="0.35">
      <c r="A519" t="str">
        <v>TXN100517</v>
      </c>
      <c r="B519">
        <f>_xlfn.XLOOKUP(clean_sales!P519,Dim_Date!B:B,Dim_Date!A:A)</f>
        <v>20250407</v>
      </c>
      <c r="C519">
        <f>_xlfn.XLOOKUP(clean_sales!C519,Dim_Customer!B:B,Dim_Customer!A:A)</f>
        <v>399</v>
      </c>
      <c r="D519">
        <f>_xlfn.XLOOKUP(clean_sales!I519,Dim_Product!B:B,Dim_Product!A:A)</f>
        <v>3</v>
      </c>
      <c r="E519">
        <f>clean_sales!L519</f>
        <v>5</v>
      </c>
      <c r="F519">
        <f>clean_sales!T519</f>
        <v>25000</v>
      </c>
    </row>
    <row r="520" spans="1:6" x14ac:dyDescent="0.35">
      <c r="A520" t="str">
        <v>TXN100518</v>
      </c>
      <c r="B520">
        <f>_xlfn.XLOOKUP(clean_sales!P520,Dim_Date!B:B,Dim_Date!A:A)</f>
        <v>20250130</v>
      </c>
      <c r="C520">
        <f>_xlfn.XLOOKUP(clean_sales!C520,Dim_Customer!B:B,Dim_Customer!A:A)</f>
        <v>78</v>
      </c>
      <c r="D520">
        <f>_xlfn.XLOOKUP(clean_sales!I520,Dim_Product!B:B,Dim_Product!A:A)</f>
        <v>4</v>
      </c>
      <c r="E520">
        <f>clean_sales!L520</f>
        <v>2</v>
      </c>
      <c r="F520">
        <f>clean_sales!T520</f>
        <v>9000</v>
      </c>
    </row>
    <row r="521" spans="1:6" x14ac:dyDescent="0.35">
      <c r="A521" t="str">
        <v>TXN100519</v>
      </c>
      <c r="B521">
        <f>_xlfn.XLOOKUP(clean_sales!P521,Dim_Date!B:B,Dim_Date!A:A)</f>
        <v>20250217</v>
      </c>
      <c r="C521">
        <f>_xlfn.XLOOKUP(clean_sales!C521,Dim_Customer!B:B,Dim_Customer!A:A)</f>
        <v>400</v>
      </c>
      <c r="D521">
        <f>_xlfn.XLOOKUP(clean_sales!I521,Dim_Product!B:B,Dim_Product!A:A)</f>
        <v>3</v>
      </c>
      <c r="E521">
        <f>clean_sales!L521</f>
        <v>2</v>
      </c>
      <c r="F521">
        <f>clean_sales!T521</f>
        <v>10000</v>
      </c>
    </row>
    <row r="522" spans="1:6" x14ac:dyDescent="0.35">
      <c r="A522" t="str">
        <v>TXN100520</v>
      </c>
      <c r="B522">
        <f>_xlfn.XLOOKUP(clean_sales!P522,Dim_Date!B:B,Dim_Date!A:A)</f>
        <v>20250325</v>
      </c>
      <c r="C522">
        <f>_xlfn.XLOOKUP(clean_sales!C522,Dim_Customer!B:B,Dim_Customer!A:A)</f>
        <v>401</v>
      </c>
      <c r="D522">
        <f>_xlfn.XLOOKUP(clean_sales!I522,Dim_Product!B:B,Dim_Product!A:A)</f>
        <v>4</v>
      </c>
      <c r="E522">
        <f>clean_sales!L522</f>
        <v>2</v>
      </c>
      <c r="F522">
        <f>clean_sales!T522</f>
        <v>9000</v>
      </c>
    </row>
    <row r="523" spans="1:6" x14ac:dyDescent="0.35">
      <c r="A523" t="str">
        <v>TXN100521</v>
      </c>
      <c r="B523">
        <f>_xlfn.XLOOKUP(clean_sales!P523,Dim_Date!B:B,Dim_Date!A:A)</f>
        <v>20250925</v>
      </c>
      <c r="C523">
        <f>_xlfn.XLOOKUP(clean_sales!C523,Dim_Customer!B:B,Dim_Customer!A:A)</f>
        <v>400</v>
      </c>
      <c r="D523">
        <f>_xlfn.XLOOKUP(clean_sales!I523,Dim_Product!B:B,Dim_Product!A:A)</f>
        <v>4</v>
      </c>
      <c r="E523">
        <f>clean_sales!L523</f>
        <v>1</v>
      </c>
      <c r="F523">
        <f>clean_sales!T523</f>
        <v>4500</v>
      </c>
    </row>
    <row r="524" spans="1:6" x14ac:dyDescent="0.35">
      <c r="A524" t="str">
        <v>TXN100522</v>
      </c>
      <c r="B524">
        <f>_xlfn.XLOOKUP(clean_sales!P524,Dim_Date!B:B,Dim_Date!A:A)</f>
        <v>20250323</v>
      </c>
      <c r="C524">
        <f>_xlfn.XLOOKUP(clean_sales!C524,Dim_Customer!B:B,Dim_Customer!A:A)</f>
        <v>216</v>
      </c>
      <c r="D524">
        <f>_xlfn.XLOOKUP(clean_sales!I524,Dim_Product!B:B,Dim_Product!A:A)</f>
        <v>7</v>
      </c>
      <c r="E524">
        <f>clean_sales!L524</f>
        <v>5</v>
      </c>
      <c r="F524">
        <f>clean_sales!T524</f>
        <v>290000</v>
      </c>
    </row>
    <row r="525" spans="1:6" x14ac:dyDescent="0.35">
      <c r="A525" t="str">
        <v>TXN100523</v>
      </c>
      <c r="B525">
        <f>_xlfn.XLOOKUP(clean_sales!P525,Dim_Date!B:B,Dim_Date!A:A)</f>
        <v>20251207</v>
      </c>
      <c r="C525">
        <f>_xlfn.XLOOKUP(clean_sales!C525,Dim_Customer!B:B,Dim_Customer!A:A)</f>
        <v>402</v>
      </c>
      <c r="D525">
        <f>_xlfn.XLOOKUP(clean_sales!I525,Dim_Product!B:B,Dim_Product!A:A)</f>
        <v>6</v>
      </c>
      <c r="E525">
        <f>clean_sales!L525</f>
        <v>1</v>
      </c>
      <c r="F525">
        <f>clean_sales!T525</f>
        <v>72000</v>
      </c>
    </row>
    <row r="526" spans="1:6" x14ac:dyDescent="0.35">
      <c r="A526" t="str">
        <v>TXN100524</v>
      </c>
      <c r="B526">
        <f>_xlfn.XLOOKUP(clean_sales!P526,Dim_Date!B:B,Dim_Date!A:A)</f>
        <v>20250822</v>
      </c>
      <c r="C526">
        <f>_xlfn.XLOOKUP(clean_sales!C526,Dim_Customer!B:B,Dim_Customer!A:A)</f>
        <v>403</v>
      </c>
      <c r="D526">
        <f>_xlfn.XLOOKUP(clean_sales!I526,Dim_Product!B:B,Dim_Product!A:A)</f>
        <v>5</v>
      </c>
      <c r="E526">
        <f>clean_sales!L526</f>
        <v>4</v>
      </c>
      <c r="F526">
        <f>clean_sales!T526</f>
        <v>7200</v>
      </c>
    </row>
    <row r="527" spans="1:6" x14ac:dyDescent="0.35">
      <c r="A527" t="str">
        <v>TXN100525</v>
      </c>
      <c r="B527">
        <f>_xlfn.XLOOKUP(clean_sales!P527,Dim_Date!B:B,Dim_Date!A:A)</f>
        <v>20250720</v>
      </c>
      <c r="C527">
        <f>_xlfn.XLOOKUP(clean_sales!C527,Dim_Customer!B:B,Dim_Customer!A:A)</f>
        <v>404</v>
      </c>
      <c r="D527">
        <f>_xlfn.XLOOKUP(clean_sales!I527,Dim_Product!B:B,Dim_Product!A:A)</f>
        <v>3</v>
      </c>
      <c r="E527">
        <f>clean_sales!L527</f>
        <v>4</v>
      </c>
      <c r="F527">
        <f>clean_sales!T527</f>
        <v>20000</v>
      </c>
    </row>
    <row r="528" spans="1:6" x14ac:dyDescent="0.35">
      <c r="A528" t="str">
        <v>TXN100526</v>
      </c>
      <c r="B528">
        <f>_xlfn.XLOOKUP(clean_sales!P528,Dim_Date!B:B,Dim_Date!A:A)</f>
        <v>20250419</v>
      </c>
      <c r="C528">
        <f>_xlfn.XLOOKUP(clean_sales!C528,Dim_Customer!B:B,Dim_Customer!A:A)</f>
        <v>375</v>
      </c>
      <c r="D528">
        <f>_xlfn.XLOOKUP(clean_sales!I528,Dim_Product!B:B,Dim_Product!A:A)</f>
        <v>6</v>
      </c>
      <c r="E528">
        <f>clean_sales!L528</f>
        <v>2</v>
      </c>
      <c r="F528">
        <f>clean_sales!T528</f>
        <v>144000</v>
      </c>
    </row>
    <row r="529" spans="1:6" x14ac:dyDescent="0.35">
      <c r="A529" t="str">
        <v>TXN100527</v>
      </c>
      <c r="B529">
        <f>_xlfn.XLOOKUP(clean_sales!P529,Dim_Date!B:B,Dim_Date!A:A)</f>
        <v>20251215</v>
      </c>
      <c r="C529">
        <f>_xlfn.XLOOKUP(clean_sales!C529,Dim_Customer!B:B,Dim_Customer!A:A)</f>
        <v>405</v>
      </c>
      <c r="D529">
        <f>_xlfn.XLOOKUP(clean_sales!I529,Dim_Product!B:B,Dim_Product!A:A)</f>
        <v>6</v>
      </c>
      <c r="E529">
        <f>clean_sales!L529</f>
        <v>3</v>
      </c>
      <c r="F529">
        <f>clean_sales!T529</f>
        <v>216000</v>
      </c>
    </row>
    <row r="530" spans="1:6" x14ac:dyDescent="0.35">
      <c r="A530" t="str">
        <v>TXN100528</v>
      </c>
      <c r="B530">
        <f>_xlfn.XLOOKUP(clean_sales!P530,Dim_Date!B:B,Dim_Date!A:A)</f>
        <v>20250621</v>
      </c>
      <c r="C530">
        <f>_xlfn.XLOOKUP(clean_sales!C530,Dim_Customer!B:B,Dim_Customer!A:A)</f>
        <v>406</v>
      </c>
      <c r="D530">
        <f>_xlfn.XLOOKUP(clean_sales!I530,Dim_Product!B:B,Dim_Product!A:A)</f>
        <v>6</v>
      </c>
      <c r="E530">
        <f>clean_sales!L530</f>
        <v>2</v>
      </c>
      <c r="F530">
        <f>clean_sales!T530</f>
        <v>144000</v>
      </c>
    </row>
    <row r="531" spans="1:6" x14ac:dyDescent="0.35">
      <c r="A531" t="str">
        <v>TXN100529</v>
      </c>
      <c r="B531">
        <f>_xlfn.XLOOKUP(clean_sales!P531,Dim_Date!B:B,Dim_Date!A:A)</f>
        <v>20250225</v>
      </c>
      <c r="C531">
        <f>_xlfn.XLOOKUP(clean_sales!C531,Dim_Customer!B:B,Dim_Customer!A:A)</f>
        <v>96</v>
      </c>
      <c r="D531">
        <f>_xlfn.XLOOKUP(clean_sales!I531,Dim_Product!B:B,Dim_Product!A:A)</f>
        <v>7</v>
      </c>
      <c r="E531">
        <f>clean_sales!L531</f>
        <v>4</v>
      </c>
      <c r="F531">
        <f>clean_sales!T531</f>
        <v>232000</v>
      </c>
    </row>
    <row r="532" spans="1:6" x14ac:dyDescent="0.35">
      <c r="A532" t="str">
        <v>TXN100530</v>
      </c>
      <c r="B532">
        <f>_xlfn.XLOOKUP(clean_sales!P532,Dim_Date!B:B,Dim_Date!A:A)</f>
        <v>20250226</v>
      </c>
      <c r="C532">
        <f>_xlfn.XLOOKUP(clean_sales!C532,Dim_Customer!B:B,Dim_Customer!A:A)</f>
        <v>407</v>
      </c>
      <c r="D532">
        <f>_xlfn.XLOOKUP(clean_sales!I532,Dim_Product!B:B,Dim_Product!A:A)</f>
        <v>1</v>
      </c>
      <c r="E532">
        <f>clean_sales!L532</f>
        <v>4</v>
      </c>
      <c r="F532">
        <f>clean_sales!T532</f>
        <v>48000</v>
      </c>
    </row>
    <row r="533" spans="1:6" x14ac:dyDescent="0.35">
      <c r="A533" t="str">
        <v>TXN100531</v>
      </c>
      <c r="B533">
        <f>_xlfn.XLOOKUP(clean_sales!P533,Dim_Date!B:B,Dim_Date!A:A)</f>
        <v>20250105</v>
      </c>
      <c r="C533">
        <f>_xlfn.XLOOKUP(clean_sales!C533,Dim_Customer!B:B,Dim_Customer!A:A)</f>
        <v>137</v>
      </c>
      <c r="D533">
        <f>_xlfn.XLOOKUP(clean_sales!I533,Dim_Product!B:B,Dim_Product!A:A)</f>
        <v>6</v>
      </c>
      <c r="E533">
        <f>clean_sales!L533</f>
        <v>2</v>
      </c>
      <c r="F533">
        <f>clean_sales!T533</f>
        <v>144000</v>
      </c>
    </row>
    <row r="534" spans="1:6" x14ac:dyDescent="0.35">
      <c r="A534" t="str">
        <v>TXN100532</v>
      </c>
      <c r="B534">
        <f>_xlfn.XLOOKUP(clean_sales!P534,Dim_Date!B:B,Dim_Date!A:A)</f>
        <v>20250611</v>
      </c>
      <c r="C534">
        <f>_xlfn.XLOOKUP(clean_sales!C534,Dim_Customer!B:B,Dim_Customer!A:A)</f>
        <v>408</v>
      </c>
      <c r="D534">
        <f>_xlfn.XLOOKUP(clean_sales!I534,Dim_Product!B:B,Dim_Product!A:A)</f>
        <v>5</v>
      </c>
      <c r="E534">
        <f>clean_sales!L534</f>
        <v>5</v>
      </c>
      <c r="F534">
        <f>clean_sales!T534</f>
        <v>9000</v>
      </c>
    </row>
    <row r="535" spans="1:6" x14ac:dyDescent="0.35">
      <c r="A535" t="str">
        <v>TXN100533</v>
      </c>
      <c r="B535">
        <f>_xlfn.XLOOKUP(clean_sales!P535,Dim_Date!B:B,Dim_Date!A:A)</f>
        <v>20251223</v>
      </c>
      <c r="C535">
        <f>_xlfn.XLOOKUP(clean_sales!C535,Dim_Customer!B:B,Dim_Customer!A:A)</f>
        <v>409</v>
      </c>
      <c r="D535">
        <f>_xlfn.XLOOKUP(clean_sales!I535,Dim_Product!B:B,Dim_Product!A:A)</f>
        <v>1</v>
      </c>
      <c r="E535">
        <f>clean_sales!L535</f>
        <v>2</v>
      </c>
      <c r="F535">
        <f>clean_sales!T535</f>
        <v>24000</v>
      </c>
    </row>
    <row r="536" spans="1:6" x14ac:dyDescent="0.35">
      <c r="A536" t="str">
        <v>TXN100534</v>
      </c>
      <c r="B536">
        <f>_xlfn.XLOOKUP(clean_sales!P536,Dim_Date!B:B,Dim_Date!A:A)</f>
        <v>20250426</v>
      </c>
      <c r="C536">
        <f>_xlfn.XLOOKUP(clean_sales!C536,Dim_Customer!B:B,Dim_Customer!A:A)</f>
        <v>410</v>
      </c>
      <c r="D536">
        <f>_xlfn.XLOOKUP(clean_sales!I536,Dim_Product!B:B,Dim_Product!A:A)</f>
        <v>4</v>
      </c>
      <c r="E536">
        <f>clean_sales!L536</f>
        <v>2</v>
      </c>
      <c r="F536">
        <f>clean_sales!T536</f>
        <v>9000</v>
      </c>
    </row>
    <row r="537" spans="1:6" x14ac:dyDescent="0.35">
      <c r="A537" t="str">
        <v>TXN100535</v>
      </c>
      <c r="B537">
        <f>_xlfn.XLOOKUP(clean_sales!P537,Dim_Date!B:B,Dim_Date!A:A)</f>
        <v>20251124</v>
      </c>
      <c r="C537">
        <f>_xlfn.XLOOKUP(clean_sales!C537,Dim_Customer!B:B,Dim_Customer!A:A)</f>
        <v>411</v>
      </c>
      <c r="D537">
        <f>_xlfn.XLOOKUP(clean_sales!I537,Dim_Product!B:B,Dim_Product!A:A)</f>
        <v>3</v>
      </c>
      <c r="E537">
        <f>clean_sales!L537</f>
        <v>3</v>
      </c>
      <c r="F537">
        <f>clean_sales!T537</f>
        <v>15000</v>
      </c>
    </row>
    <row r="538" spans="1:6" x14ac:dyDescent="0.35">
      <c r="A538" t="str">
        <v>TXN100536</v>
      </c>
      <c r="B538">
        <f>_xlfn.XLOOKUP(clean_sales!P538,Dim_Date!B:B,Dim_Date!A:A)</f>
        <v>20250916</v>
      </c>
      <c r="C538">
        <f>_xlfn.XLOOKUP(clean_sales!C538,Dim_Customer!B:B,Dim_Customer!A:A)</f>
        <v>392</v>
      </c>
      <c r="D538">
        <f>_xlfn.XLOOKUP(clean_sales!I538,Dim_Product!B:B,Dim_Product!A:A)</f>
        <v>5</v>
      </c>
      <c r="E538">
        <f>clean_sales!L538</f>
        <v>3</v>
      </c>
      <c r="F538">
        <f>clean_sales!T538</f>
        <v>5400</v>
      </c>
    </row>
    <row r="539" spans="1:6" x14ac:dyDescent="0.35">
      <c r="A539" t="str">
        <v>TXN100537</v>
      </c>
      <c r="B539">
        <f>_xlfn.XLOOKUP(clean_sales!P539,Dim_Date!B:B,Dim_Date!A:A)</f>
        <v>20250330</v>
      </c>
      <c r="C539">
        <f>_xlfn.XLOOKUP(clean_sales!C539,Dim_Customer!B:B,Dim_Customer!A:A)</f>
        <v>304</v>
      </c>
      <c r="D539">
        <f>_xlfn.XLOOKUP(clean_sales!I539,Dim_Product!B:B,Dim_Product!A:A)</f>
        <v>6</v>
      </c>
      <c r="E539">
        <f>clean_sales!L539</f>
        <v>2</v>
      </c>
      <c r="F539">
        <f>clean_sales!T539</f>
        <v>144000</v>
      </c>
    </row>
    <row r="540" spans="1:6" x14ac:dyDescent="0.35">
      <c r="A540" t="str">
        <v>TXN100538</v>
      </c>
      <c r="B540">
        <f>_xlfn.XLOOKUP(clean_sales!P540,Dim_Date!B:B,Dim_Date!A:A)</f>
        <v>20260102</v>
      </c>
      <c r="C540">
        <f>_xlfn.XLOOKUP(clean_sales!C540,Dim_Customer!B:B,Dim_Customer!A:A)</f>
        <v>412</v>
      </c>
      <c r="D540">
        <f>_xlfn.XLOOKUP(clean_sales!I540,Dim_Product!B:B,Dim_Product!A:A)</f>
        <v>1</v>
      </c>
      <c r="E540">
        <f>clean_sales!L540</f>
        <v>1</v>
      </c>
      <c r="F540">
        <f>clean_sales!T540</f>
        <v>12000</v>
      </c>
    </row>
    <row r="541" spans="1:6" x14ac:dyDescent="0.35">
      <c r="A541" t="str">
        <v>TXN100539</v>
      </c>
      <c r="B541">
        <f>_xlfn.XLOOKUP(clean_sales!P541,Dim_Date!B:B,Dim_Date!A:A)</f>
        <v>20251122</v>
      </c>
      <c r="C541">
        <f>_xlfn.XLOOKUP(clean_sales!C541,Dim_Customer!B:B,Dim_Customer!A:A)</f>
        <v>139</v>
      </c>
      <c r="D541">
        <f>_xlfn.XLOOKUP(clean_sales!I541,Dim_Product!B:B,Dim_Product!A:A)</f>
        <v>1</v>
      </c>
      <c r="E541">
        <f>clean_sales!L541</f>
        <v>2</v>
      </c>
      <c r="F541">
        <f>clean_sales!T541</f>
        <v>24000</v>
      </c>
    </row>
    <row r="542" spans="1:6" x14ac:dyDescent="0.35">
      <c r="A542" t="str">
        <v>TXN100540</v>
      </c>
      <c r="B542">
        <f>_xlfn.XLOOKUP(clean_sales!P542,Dim_Date!B:B,Dim_Date!A:A)</f>
        <v>20251112</v>
      </c>
      <c r="C542">
        <f>_xlfn.XLOOKUP(clean_sales!C542,Dim_Customer!B:B,Dim_Customer!A:A)</f>
        <v>18</v>
      </c>
      <c r="D542">
        <f>_xlfn.XLOOKUP(clean_sales!I542,Dim_Product!B:B,Dim_Product!A:A)</f>
        <v>1</v>
      </c>
      <c r="E542">
        <f>clean_sales!L542</f>
        <v>5</v>
      </c>
      <c r="F542">
        <f>clean_sales!T542</f>
        <v>60000</v>
      </c>
    </row>
    <row r="543" spans="1:6" x14ac:dyDescent="0.35">
      <c r="A543" t="str">
        <v>TXN100541</v>
      </c>
      <c r="B543">
        <f>_xlfn.XLOOKUP(clean_sales!P543,Dim_Date!B:B,Dim_Date!A:A)</f>
        <v>20250704</v>
      </c>
      <c r="C543">
        <f>_xlfn.XLOOKUP(clean_sales!C543,Dim_Customer!B:B,Dim_Customer!A:A)</f>
        <v>413</v>
      </c>
      <c r="D543">
        <f>_xlfn.XLOOKUP(clean_sales!I543,Dim_Product!B:B,Dim_Product!A:A)</f>
        <v>3</v>
      </c>
      <c r="E543">
        <f>clean_sales!L543</f>
        <v>5</v>
      </c>
      <c r="F543">
        <f>clean_sales!T543</f>
        <v>25000</v>
      </c>
    </row>
    <row r="544" spans="1:6" x14ac:dyDescent="0.35">
      <c r="A544" t="str">
        <v>TXN100542</v>
      </c>
      <c r="B544">
        <f>_xlfn.XLOOKUP(clean_sales!P544,Dim_Date!B:B,Dim_Date!A:A)</f>
        <v>20251005</v>
      </c>
      <c r="C544">
        <f>_xlfn.XLOOKUP(clean_sales!C544,Dim_Customer!B:B,Dim_Customer!A:A)</f>
        <v>414</v>
      </c>
      <c r="D544">
        <f>_xlfn.XLOOKUP(clean_sales!I544,Dim_Product!B:B,Dim_Product!A:A)</f>
        <v>6</v>
      </c>
      <c r="E544">
        <f>clean_sales!L544</f>
        <v>4</v>
      </c>
      <c r="F544">
        <f>clean_sales!T544</f>
        <v>288000</v>
      </c>
    </row>
    <row r="545" spans="1:6" x14ac:dyDescent="0.35">
      <c r="A545" t="str">
        <v>TXN100543</v>
      </c>
      <c r="B545">
        <f>_xlfn.XLOOKUP(clean_sales!P545,Dim_Date!B:B,Dim_Date!A:A)</f>
        <v>20250305</v>
      </c>
      <c r="C545">
        <f>_xlfn.XLOOKUP(clean_sales!C545,Dim_Customer!B:B,Dim_Customer!A:A)</f>
        <v>415</v>
      </c>
      <c r="D545">
        <f>_xlfn.XLOOKUP(clean_sales!I545,Dim_Product!B:B,Dim_Product!A:A)</f>
        <v>4</v>
      </c>
      <c r="E545">
        <f>clean_sales!L545</f>
        <v>1</v>
      </c>
      <c r="F545">
        <f>clean_sales!T545</f>
        <v>4500</v>
      </c>
    </row>
    <row r="546" spans="1:6" x14ac:dyDescent="0.35">
      <c r="A546" t="str">
        <v>TXN100544</v>
      </c>
      <c r="B546">
        <f>_xlfn.XLOOKUP(clean_sales!P546,Dim_Date!B:B,Dim_Date!A:A)</f>
        <v>20250323</v>
      </c>
      <c r="C546">
        <f>_xlfn.XLOOKUP(clean_sales!C546,Dim_Customer!B:B,Dim_Customer!A:A)</f>
        <v>416</v>
      </c>
      <c r="D546">
        <f>_xlfn.XLOOKUP(clean_sales!I546,Dim_Product!B:B,Dim_Product!A:A)</f>
        <v>4</v>
      </c>
      <c r="E546">
        <f>clean_sales!L546</f>
        <v>4</v>
      </c>
      <c r="F546">
        <f>clean_sales!T546</f>
        <v>18000</v>
      </c>
    </row>
    <row r="547" spans="1:6" x14ac:dyDescent="0.35">
      <c r="A547" t="str">
        <v>TXN100545</v>
      </c>
      <c r="B547">
        <f>_xlfn.XLOOKUP(clean_sales!P547,Dim_Date!B:B,Dim_Date!A:A)</f>
        <v>20251113</v>
      </c>
      <c r="C547">
        <f>_xlfn.XLOOKUP(clean_sales!C547,Dim_Customer!B:B,Dim_Customer!A:A)</f>
        <v>417</v>
      </c>
      <c r="D547">
        <f>_xlfn.XLOOKUP(clean_sales!I547,Dim_Product!B:B,Dim_Product!A:A)</f>
        <v>2</v>
      </c>
      <c r="E547">
        <f>clean_sales!L547</f>
        <v>4</v>
      </c>
      <c r="F547">
        <f>clean_sales!T547</f>
        <v>260000</v>
      </c>
    </row>
    <row r="548" spans="1:6" x14ac:dyDescent="0.35">
      <c r="A548" t="str">
        <v>TXN100546</v>
      </c>
      <c r="B548">
        <f>_xlfn.XLOOKUP(clean_sales!P548,Dim_Date!B:B,Dim_Date!A:A)</f>
        <v>20250113</v>
      </c>
      <c r="C548">
        <f>_xlfn.XLOOKUP(clean_sales!C548,Dim_Customer!B:B,Dim_Customer!A:A)</f>
        <v>315</v>
      </c>
      <c r="D548">
        <f>_xlfn.XLOOKUP(clean_sales!I548,Dim_Product!B:B,Dim_Product!A:A)</f>
        <v>5</v>
      </c>
      <c r="E548">
        <f>clean_sales!L548</f>
        <v>5</v>
      </c>
      <c r="F548">
        <f>clean_sales!T548</f>
        <v>9000</v>
      </c>
    </row>
    <row r="549" spans="1:6" x14ac:dyDescent="0.35">
      <c r="A549" t="str">
        <v>TXN100547</v>
      </c>
      <c r="B549">
        <f>_xlfn.XLOOKUP(clean_sales!P549,Dim_Date!B:B,Dim_Date!A:A)</f>
        <v>20250822</v>
      </c>
      <c r="C549">
        <f>_xlfn.XLOOKUP(clean_sales!C549,Dim_Customer!B:B,Dim_Customer!A:A)</f>
        <v>280</v>
      </c>
      <c r="D549">
        <f>_xlfn.XLOOKUP(clean_sales!I549,Dim_Product!B:B,Dim_Product!A:A)</f>
        <v>4</v>
      </c>
      <c r="E549">
        <f>clean_sales!L549</f>
        <v>4</v>
      </c>
      <c r="F549">
        <f>clean_sales!T549</f>
        <v>18000</v>
      </c>
    </row>
    <row r="550" spans="1:6" x14ac:dyDescent="0.35">
      <c r="A550" t="str">
        <v>TXN100548</v>
      </c>
      <c r="B550">
        <f>_xlfn.XLOOKUP(clean_sales!P550,Dim_Date!B:B,Dim_Date!A:A)</f>
        <v>20250317</v>
      </c>
      <c r="C550">
        <f>_xlfn.XLOOKUP(clean_sales!C550,Dim_Customer!B:B,Dim_Customer!A:A)</f>
        <v>418</v>
      </c>
      <c r="D550">
        <f>_xlfn.XLOOKUP(clean_sales!I550,Dim_Product!B:B,Dim_Product!A:A)</f>
        <v>5</v>
      </c>
      <c r="E550">
        <f>clean_sales!L550</f>
        <v>2</v>
      </c>
      <c r="F550">
        <f>clean_sales!T550</f>
        <v>3600</v>
      </c>
    </row>
    <row r="551" spans="1:6" x14ac:dyDescent="0.35">
      <c r="A551" t="str">
        <v>TXN100549</v>
      </c>
      <c r="B551">
        <f>_xlfn.XLOOKUP(clean_sales!P551,Dim_Date!B:B,Dim_Date!A:A)</f>
        <v>20251008</v>
      </c>
      <c r="C551">
        <f>_xlfn.XLOOKUP(clean_sales!C551,Dim_Customer!B:B,Dim_Customer!A:A)</f>
        <v>419</v>
      </c>
      <c r="D551">
        <f>_xlfn.XLOOKUP(clean_sales!I551,Dim_Product!B:B,Dim_Product!A:A)</f>
        <v>3</v>
      </c>
      <c r="E551">
        <f>clean_sales!L551</f>
        <v>5</v>
      </c>
      <c r="F551">
        <f>clean_sales!T551</f>
        <v>25000</v>
      </c>
    </row>
    <row r="552" spans="1:6" x14ac:dyDescent="0.35">
      <c r="A552" t="str">
        <v>TXN100550</v>
      </c>
      <c r="B552">
        <f>_xlfn.XLOOKUP(clean_sales!P552,Dim_Date!B:B,Dim_Date!A:A)</f>
        <v>20250715</v>
      </c>
      <c r="C552">
        <f>_xlfn.XLOOKUP(clean_sales!C552,Dim_Customer!B:B,Dim_Customer!A:A)</f>
        <v>420</v>
      </c>
      <c r="D552">
        <f>_xlfn.XLOOKUP(clean_sales!I552,Dim_Product!B:B,Dim_Product!A:A)</f>
        <v>4</v>
      </c>
      <c r="E552">
        <f>clean_sales!L552</f>
        <v>5</v>
      </c>
      <c r="F552">
        <f>clean_sales!T552</f>
        <v>22500</v>
      </c>
    </row>
    <row r="553" spans="1:6" x14ac:dyDescent="0.35">
      <c r="A553" t="str">
        <v>TXN100551</v>
      </c>
      <c r="B553">
        <f>_xlfn.XLOOKUP(clean_sales!P553,Dim_Date!B:B,Dim_Date!A:A)</f>
        <v>20250527</v>
      </c>
      <c r="C553">
        <f>_xlfn.XLOOKUP(clean_sales!C553,Dim_Customer!B:B,Dim_Customer!A:A)</f>
        <v>175</v>
      </c>
      <c r="D553">
        <f>_xlfn.XLOOKUP(clean_sales!I553,Dim_Product!B:B,Dim_Product!A:A)</f>
        <v>5</v>
      </c>
      <c r="E553">
        <f>clean_sales!L553</f>
        <v>4</v>
      </c>
      <c r="F553">
        <f>clean_sales!T553</f>
        <v>7200</v>
      </c>
    </row>
    <row r="554" spans="1:6" x14ac:dyDescent="0.35">
      <c r="A554" t="str">
        <v>TXN100552</v>
      </c>
      <c r="B554">
        <f>_xlfn.XLOOKUP(clean_sales!P554,Dim_Date!B:B,Dim_Date!A:A)</f>
        <v>20251204</v>
      </c>
      <c r="C554">
        <f>_xlfn.XLOOKUP(clean_sales!C554,Dim_Customer!B:B,Dim_Customer!A:A)</f>
        <v>421</v>
      </c>
      <c r="D554">
        <f>_xlfn.XLOOKUP(clean_sales!I554,Dim_Product!B:B,Dim_Product!A:A)</f>
        <v>6</v>
      </c>
      <c r="E554">
        <f>clean_sales!L554</f>
        <v>5</v>
      </c>
      <c r="F554">
        <f>clean_sales!T554</f>
        <v>360000</v>
      </c>
    </row>
    <row r="555" spans="1:6" x14ac:dyDescent="0.35">
      <c r="A555" t="str">
        <v>TXN100553</v>
      </c>
      <c r="B555">
        <f>_xlfn.XLOOKUP(clean_sales!P555,Dim_Date!B:B,Dim_Date!A:A)</f>
        <v>20251107</v>
      </c>
      <c r="C555">
        <f>_xlfn.XLOOKUP(clean_sales!C555,Dim_Customer!B:B,Dim_Customer!A:A)</f>
        <v>422</v>
      </c>
      <c r="D555">
        <f>_xlfn.XLOOKUP(clean_sales!I555,Dim_Product!B:B,Dim_Product!A:A)</f>
        <v>5</v>
      </c>
      <c r="E555">
        <f>clean_sales!L555</f>
        <v>2</v>
      </c>
      <c r="F555">
        <f>clean_sales!T555</f>
        <v>3600</v>
      </c>
    </row>
    <row r="556" spans="1:6" x14ac:dyDescent="0.35">
      <c r="A556" t="str">
        <v>TXN100554</v>
      </c>
      <c r="B556">
        <f>_xlfn.XLOOKUP(clean_sales!P556,Dim_Date!B:B,Dim_Date!A:A)</f>
        <v>20250217</v>
      </c>
      <c r="C556">
        <f>_xlfn.XLOOKUP(clean_sales!C556,Dim_Customer!B:B,Dim_Customer!A:A)</f>
        <v>423</v>
      </c>
      <c r="D556">
        <f>_xlfn.XLOOKUP(clean_sales!I556,Dim_Product!B:B,Dim_Product!A:A)</f>
        <v>7</v>
      </c>
      <c r="E556">
        <f>clean_sales!L556</f>
        <v>5</v>
      </c>
      <c r="F556">
        <f>clean_sales!T556</f>
        <v>290000</v>
      </c>
    </row>
    <row r="557" spans="1:6" x14ac:dyDescent="0.35">
      <c r="A557" t="str">
        <v>TXN100555</v>
      </c>
      <c r="B557">
        <f>_xlfn.XLOOKUP(clean_sales!P557,Dim_Date!B:B,Dim_Date!A:A)</f>
        <v>20250515</v>
      </c>
      <c r="C557">
        <f>_xlfn.XLOOKUP(clean_sales!C557,Dim_Customer!B:B,Dim_Customer!A:A)</f>
        <v>424</v>
      </c>
      <c r="D557">
        <f>_xlfn.XLOOKUP(clean_sales!I557,Dim_Product!B:B,Dim_Product!A:A)</f>
        <v>4</v>
      </c>
      <c r="E557">
        <f>clean_sales!L557</f>
        <v>1</v>
      </c>
      <c r="F557">
        <f>clean_sales!T557</f>
        <v>4500</v>
      </c>
    </row>
    <row r="558" spans="1:6" x14ac:dyDescent="0.35">
      <c r="A558" t="str">
        <v>TXN100556</v>
      </c>
      <c r="B558">
        <f>_xlfn.XLOOKUP(clean_sales!P558,Dim_Date!B:B,Dim_Date!A:A)</f>
        <v>20250911</v>
      </c>
      <c r="C558">
        <f>_xlfn.XLOOKUP(clean_sales!C558,Dim_Customer!B:B,Dim_Customer!A:A)</f>
        <v>425</v>
      </c>
      <c r="D558">
        <f>_xlfn.XLOOKUP(clean_sales!I558,Dim_Product!B:B,Dim_Product!A:A)</f>
        <v>2</v>
      </c>
      <c r="E558">
        <f>clean_sales!L558</f>
        <v>3</v>
      </c>
      <c r="F558">
        <f>clean_sales!T558</f>
        <v>195000</v>
      </c>
    </row>
    <row r="559" spans="1:6" x14ac:dyDescent="0.35">
      <c r="A559" t="str">
        <v>TXN100557</v>
      </c>
      <c r="B559">
        <f>_xlfn.XLOOKUP(clean_sales!P559,Dim_Date!B:B,Dim_Date!A:A)</f>
        <v>20250904</v>
      </c>
      <c r="C559">
        <f>_xlfn.XLOOKUP(clean_sales!C559,Dim_Customer!B:B,Dim_Customer!A:A)</f>
        <v>426</v>
      </c>
      <c r="D559">
        <f>_xlfn.XLOOKUP(clean_sales!I559,Dim_Product!B:B,Dim_Product!A:A)</f>
        <v>5</v>
      </c>
      <c r="E559">
        <f>clean_sales!L559</f>
        <v>2</v>
      </c>
      <c r="F559">
        <f>clean_sales!T559</f>
        <v>3600</v>
      </c>
    </row>
    <row r="560" spans="1:6" x14ac:dyDescent="0.35">
      <c r="A560" t="str">
        <v>TXN100558</v>
      </c>
      <c r="B560">
        <f>_xlfn.XLOOKUP(clean_sales!P560,Dim_Date!B:B,Dim_Date!A:A)</f>
        <v>20250506</v>
      </c>
      <c r="C560">
        <f>_xlfn.XLOOKUP(clean_sales!C560,Dim_Customer!B:B,Dim_Customer!A:A)</f>
        <v>152</v>
      </c>
      <c r="D560">
        <f>_xlfn.XLOOKUP(clean_sales!I560,Dim_Product!B:B,Dim_Product!A:A)</f>
        <v>4</v>
      </c>
      <c r="E560">
        <f>clean_sales!L560</f>
        <v>2</v>
      </c>
      <c r="F560">
        <f>clean_sales!T560</f>
        <v>9000</v>
      </c>
    </row>
    <row r="561" spans="1:6" x14ac:dyDescent="0.35">
      <c r="A561" t="str">
        <v>TXN100559</v>
      </c>
      <c r="B561">
        <f>_xlfn.XLOOKUP(clean_sales!P561,Dim_Date!B:B,Dim_Date!A:A)</f>
        <v>20250526</v>
      </c>
      <c r="C561">
        <f>_xlfn.XLOOKUP(clean_sales!C561,Dim_Customer!B:B,Dim_Customer!A:A)</f>
        <v>26</v>
      </c>
      <c r="D561">
        <f>_xlfn.XLOOKUP(clean_sales!I561,Dim_Product!B:B,Dim_Product!A:A)</f>
        <v>4</v>
      </c>
      <c r="E561">
        <f>clean_sales!L561</f>
        <v>2</v>
      </c>
      <c r="F561">
        <f>clean_sales!T561</f>
        <v>9000</v>
      </c>
    </row>
    <row r="562" spans="1:6" x14ac:dyDescent="0.35">
      <c r="A562" t="str">
        <v>TXN100560</v>
      </c>
      <c r="B562">
        <f>_xlfn.XLOOKUP(clean_sales!P562,Dim_Date!B:B,Dim_Date!A:A)</f>
        <v>20260104</v>
      </c>
      <c r="C562">
        <f>_xlfn.XLOOKUP(clean_sales!C562,Dim_Customer!B:B,Dim_Customer!A:A)</f>
        <v>427</v>
      </c>
      <c r="D562">
        <f>_xlfn.XLOOKUP(clean_sales!I562,Dim_Product!B:B,Dim_Product!A:A)</f>
        <v>5</v>
      </c>
      <c r="E562">
        <f>clean_sales!L562</f>
        <v>3</v>
      </c>
      <c r="F562">
        <f>clean_sales!T562</f>
        <v>5400</v>
      </c>
    </row>
    <row r="563" spans="1:6" x14ac:dyDescent="0.35">
      <c r="A563" t="str">
        <v>TXN100561</v>
      </c>
      <c r="B563">
        <f>_xlfn.XLOOKUP(clean_sales!P563,Dim_Date!B:B,Dim_Date!A:A)</f>
        <v>20250401</v>
      </c>
      <c r="C563">
        <f>_xlfn.XLOOKUP(clean_sales!C563,Dim_Customer!B:B,Dim_Customer!A:A)</f>
        <v>428</v>
      </c>
      <c r="D563">
        <f>_xlfn.XLOOKUP(clean_sales!I563,Dim_Product!B:B,Dim_Product!A:A)</f>
        <v>2</v>
      </c>
      <c r="E563">
        <f>clean_sales!L563</f>
        <v>5</v>
      </c>
      <c r="F563">
        <f>clean_sales!T563</f>
        <v>325000</v>
      </c>
    </row>
    <row r="564" spans="1:6" x14ac:dyDescent="0.35">
      <c r="A564" t="str">
        <v>TXN100562</v>
      </c>
      <c r="B564">
        <f>_xlfn.XLOOKUP(clean_sales!P564,Dim_Date!B:B,Dim_Date!A:A)</f>
        <v>20250213</v>
      </c>
      <c r="C564">
        <f>_xlfn.XLOOKUP(clean_sales!C564,Dim_Customer!B:B,Dim_Customer!A:A)</f>
        <v>429</v>
      </c>
      <c r="D564">
        <f>_xlfn.XLOOKUP(clean_sales!I564,Dim_Product!B:B,Dim_Product!A:A)</f>
        <v>2</v>
      </c>
      <c r="E564">
        <f>clean_sales!L564</f>
        <v>3</v>
      </c>
      <c r="F564">
        <f>clean_sales!T564</f>
        <v>195000</v>
      </c>
    </row>
    <row r="565" spans="1:6" x14ac:dyDescent="0.35">
      <c r="A565" t="str">
        <v>TXN100563</v>
      </c>
      <c r="B565">
        <f>_xlfn.XLOOKUP(clean_sales!P565,Dim_Date!B:B,Dim_Date!A:A)</f>
        <v>20250323</v>
      </c>
      <c r="C565">
        <f>_xlfn.XLOOKUP(clean_sales!C565,Dim_Customer!B:B,Dim_Customer!A:A)</f>
        <v>51</v>
      </c>
      <c r="D565">
        <f>_xlfn.XLOOKUP(clean_sales!I565,Dim_Product!B:B,Dim_Product!A:A)</f>
        <v>2</v>
      </c>
      <c r="E565">
        <f>clean_sales!L565</f>
        <v>5</v>
      </c>
      <c r="F565">
        <f>clean_sales!T565</f>
        <v>325000</v>
      </c>
    </row>
    <row r="566" spans="1:6" x14ac:dyDescent="0.35">
      <c r="A566" t="str">
        <v>TXN100564</v>
      </c>
      <c r="B566">
        <f>_xlfn.XLOOKUP(clean_sales!P566,Dim_Date!B:B,Dim_Date!A:A)</f>
        <v>20250928</v>
      </c>
      <c r="C566">
        <f>_xlfn.XLOOKUP(clean_sales!C566,Dim_Customer!B:B,Dim_Customer!A:A)</f>
        <v>134</v>
      </c>
      <c r="D566">
        <f>_xlfn.XLOOKUP(clean_sales!I566,Dim_Product!B:B,Dim_Product!A:A)</f>
        <v>2</v>
      </c>
      <c r="E566">
        <f>clean_sales!L566</f>
        <v>2</v>
      </c>
      <c r="F566">
        <f>clean_sales!T566</f>
        <v>130000</v>
      </c>
    </row>
    <row r="567" spans="1:6" x14ac:dyDescent="0.35">
      <c r="A567" t="str">
        <v>TXN100565</v>
      </c>
      <c r="B567">
        <f>_xlfn.XLOOKUP(clean_sales!P567,Dim_Date!B:B,Dim_Date!A:A)</f>
        <v>20250420</v>
      </c>
      <c r="C567">
        <f>_xlfn.XLOOKUP(clean_sales!C567,Dim_Customer!B:B,Dim_Customer!A:A)</f>
        <v>430</v>
      </c>
      <c r="D567">
        <f>_xlfn.XLOOKUP(clean_sales!I567,Dim_Product!B:B,Dim_Product!A:A)</f>
        <v>3</v>
      </c>
      <c r="E567">
        <f>clean_sales!L567</f>
        <v>4</v>
      </c>
      <c r="F567">
        <f>clean_sales!T567</f>
        <v>20000</v>
      </c>
    </row>
    <row r="568" spans="1:6" x14ac:dyDescent="0.35">
      <c r="A568" t="str">
        <v>TXN100566</v>
      </c>
      <c r="B568">
        <f>_xlfn.XLOOKUP(clean_sales!P568,Dim_Date!B:B,Dim_Date!A:A)</f>
        <v>20260104</v>
      </c>
      <c r="C568">
        <f>_xlfn.XLOOKUP(clean_sales!C568,Dim_Customer!B:B,Dim_Customer!A:A)</f>
        <v>159</v>
      </c>
      <c r="D568">
        <f>_xlfn.XLOOKUP(clean_sales!I568,Dim_Product!B:B,Dim_Product!A:A)</f>
        <v>6</v>
      </c>
      <c r="E568">
        <f>clean_sales!L568</f>
        <v>1</v>
      </c>
      <c r="F568">
        <f>clean_sales!T568</f>
        <v>72000</v>
      </c>
    </row>
    <row r="569" spans="1:6" x14ac:dyDescent="0.35">
      <c r="A569" t="str">
        <v>TXN100567</v>
      </c>
      <c r="B569">
        <f>_xlfn.XLOOKUP(clean_sales!P569,Dim_Date!B:B,Dim_Date!A:A)</f>
        <v>20250309</v>
      </c>
      <c r="C569">
        <f>_xlfn.XLOOKUP(clean_sales!C569,Dim_Customer!B:B,Dim_Customer!A:A)</f>
        <v>431</v>
      </c>
      <c r="D569">
        <f>_xlfn.XLOOKUP(clean_sales!I569,Dim_Product!B:B,Dim_Product!A:A)</f>
        <v>4</v>
      </c>
      <c r="E569">
        <f>clean_sales!L569</f>
        <v>2</v>
      </c>
      <c r="F569">
        <f>clean_sales!T569</f>
        <v>9000</v>
      </c>
    </row>
    <row r="570" spans="1:6" x14ac:dyDescent="0.35">
      <c r="A570" t="str">
        <v>TXN100568</v>
      </c>
      <c r="B570">
        <f>_xlfn.XLOOKUP(clean_sales!P570,Dim_Date!B:B,Dim_Date!A:A)</f>
        <v>20251002</v>
      </c>
      <c r="C570">
        <f>_xlfn.XLOOKUP(clean_sales!C570,Dim_Customer!B:B,Dim_Customer!A:A)</f>
        <v>24</v>
      </c>
      <c r="D570">
        <f>_xlfn.XLOOKUP(clean_sales!I570,Dim_Product!B:B,Dim_Product!A:A)</f>
        <v>7</v>
      </c>
      <c r="E570">
        <f>clean_sales!L570</f>
        <v>5</v>
      </c>
      <c r="F570">
        <f>clean_sales!T570</f>
        <v>290000</v>
      </c>
    </row>
    <row r="571" spans="1:6" x14ac:dyDescent="0.35">
      <c r="A571" t="str">
        <v>TXN100569</v>
      </c>
      <c r="B571">
        <f>_xlfn.XLOOKUP(clean_sales!P571,Dim_Date!B:B,Dim_Date!A:A)</f>
        <v>20250523</v>
      </c>
      <c r="C571">
        <f>_xlfn.XLOOKUP(clean_sales!C571,Dim_Customer!B:B,Dim_Customer!A:A)</f>
        <v>432</v>
      </c>
      <c r="D571">
        <f>_xlfn.XLOOKUP(clean_sales!I571,Dim_Product!B:B,Dim_Product!A:A)</f>
        <v>7</v>
      </c>
      <c r="E571">
        <f>clean_sales!L571</f>
        <v>5</v>
      </c>
      <c r="F571">
        <f>clean_sales!T571</f>
        <v>290000</v>
      </c>
    </row>
    <row r="572" spans="1:6" x14ac:dyDescent="0.35">
      <c r="A572" t="str">
        <v>TXN100570</v>
      </c>
      <c r="B572">
        <f>_xlfn.XLOOKUP(clean_sales!P572,Dim_Date!B:B,Dim_Date!A:A)</f>
        <v>20250308</v>
      </c>
      <c r="C572">
        <f>_xlfn.XLOOKUP(clean_sales!C572,Dim_Customer!B:B,Dim_Customer!A:A)</f>
        <v>345</v>
      </c>
      <c r="D572">
        <f>_xlfn.XLOOKUP(clean_sales!I572,Dim_Product!B:B,Dim_Product!A:A)</f>
        <v>7</v>
      </c>
      <c r="E572">
        <f>clean_sales!L572</f>
        <v>1</v>
      </c>
      <c r="F572">
        <f>clean_sales!T572</f>
        <v>58000</v>
      </c>
    </row>
    <row r="573" spans="1:6" x14ac:dyDescent="0.35">
      <c r="A573" t="str">
        <v>TXN100571</v>
      </c>
      <c r="B573">
        <f>_xlfn.XLOOKUP(clean_sales!P573,Dim_Date!B:B,Dim_Date!A:A)</f>
        <v>20251017</v>
      </c>
      <c r="C573">
        <f>_xlfn.XLOOKUP(clean_sales!C573,Dim_Customer!B:B,Dim_Customer!A:A)</f>
        <v>433</v>
      </c>
      <c r="D573">
        <f>_xlfn.XLOOKUP(clean_sales!I573,Dim_Product!B:B,Dim_Product!A:A)</f>
        <v>1</v>
      </c>
      <c r="E573">
        <f>clean_sales!L573</f>
        <v>4</v>
      </c>
      <c r="F573">
        <f>clean_sales!T573</f>
        <v>48000</v>
      </c>
    </row>
    <row r="574" spans="1:6" x14ac:dyDescent="0.35">
      <c r="A574" t="str">
        <v>TXN100572</v>
      </c>
      <c r="B574">
        <f>_xlfn.XLOOKUP(clean_sales!P574,Dim_Date!B:B,Dim_Date!A:A)</f>
        <v>20251125</v>
      </c>
      <c r="C574">
        <f>_xlfn.XLOOKUP(clean_sales!C574,Dim_Customer!B:B,Dim_Customer!A:A)</f>
        <v>26</v>
      </c>
      <c r="D574">
        <f>_xlfn.XLOOKUP(clean_sales!I574,Dim_Product!B:B,Dim_Product!A:A)</f>
        <v>2</v>
      </c>
      <c r="E574">
        <f>clean_sales!L574</f>
        <v>5</v>
      </c>
      <c r="F574">
        <f>clean_sales!T574</f>
        <v>325000</v>
      </c>
    </row>
    <row r="575" spans="1:6" x14ac:dyDescent="0.35">
      <c r="A575" t="str">
        <v>TXN100573</v>
      </c>
      <c r="B575">
        <f>_xlfn.XLOOKUP(clean_sales!P575,Dim_Date!B:B,Dim_Date!A:A)</f>
        <v>20251118</v>
      </c>
      <c r="C575">
        <f>_xlfn.XLOOKUP(clean_sales!C575,Dim_Customer!B:B,Dim_Customer!A:A)</f>
        <v>434</v>
      </c>
      <c r="D575">
        <f>_xlfn.XLOOKUP(clean_sales!I575,Dim_Product!B:B,Dim_Product!A:A)</f>
        <v>5</v>
      </c>
      <c r="E575">
        <f>clean_sales!L575</f>
        <v>5</v>
      </c>
      <c r="F575">
        <f>clean_sales!T575</f>
        <v>9000</v>
      </c>
    </row>
    <row r="576" spans="1:6" x14ac:dyDescent="0.35">
      <c r="A576" t="str">
        <v>TXN100574</v>
      </c>
      <c r="B576">
        <f>_xlfn.XLOOKUP(clean_sales!P576,Dim_Date!B:B,Dim_Date!A:A)</f>
        <v>20250710</v>
      </c>
      <c r="C576">
        <f>_xlfn.XLOOKUP(clean_sales!C576,Dim_Customer!B:B,Dim_Customer!A:A)</f>
        <v>88</v>
      </c>
      <c r="D576">
        <f>_xlfn.XLOOKUP(clean_sales!I576,Dim_Product!B:B,Dim_Product!A:A)</f>
        <v>2</v>
      </c>
      <c r="E576">
        <f>clean_sales!L576</f>
        <v>1</v>
      </c>
      <c r="F576">
        <f>clean_sales!T576</f>
        <v>65000</v>
      </c>
    </row>
    <row r="577" spans="1:6" x14ac:dyDescent="0.35">
      <c r="A577" t="str">
        <v>TXN100575</v>
      </c>
      <c r="B577">
        <f>_xlfn.XLOOKUP(clean_sales!P577,Dim_Date!B:B,Dim_Date!A:A)</f>
        <v>20250410</v>
      </c>
      <c r="C577">
        <f>_xlfn.XLOOKUP(clean_sales!C577,Dim_Customer!B:B,Dim_Customer!A:A)</f>
        <v>435</v>
      </c>
      <c r="D577">
        <f>_xlfn.XLOOKUP(clean_sales!I577,Dim_Product!B:B,Dim_Product!A:A)</f>
        <v>1</v>
      </c>
      <c r="E577">
        <f>clean_sales!L577</f>
        <v>3</v>
      </c>
      <c r="F577">
        <f>clean_sales!T577</f>
        <v>36000</v>
      </c>
    </row>
    <row r="578" spans="1:6" x14ac:dyDescent="0.35">
      <c r="A578" t="str">
        <v>TXN100576</v>
      </c>
      <c r="B578">
        <f>_xlfn.XLOOKUP(clean_sales!P578,Dim_Date!B:B,Dim_Date!A:A)</f>
        <v>20251128</v>
      </c>
      <c r="C578">
        <f>_xlfn.XLOOKUP(clean_sales!C578,Dim_Customer!B:B,Dim_Customer!A:A)</f>
        <v>436</v>
      </c>
      <c r="D578">
        <f>_xlfn.XLOOKUP(clean_sales!I578,Dim_Product!B:B,Dim_Product!A:A)</f>
        <v>3</v>
      </c>
      <c r="E578">
        <f>clean_sales!L578</f>
        <v>3</v>
      </c>
      <c r="F578">
        <f>clean_sales!T578</f>
        <v>15000</v>
      </c>
    </row>
    <row r="579" spans="1:6" x14ac:dyDescent="0.35">
      <c r="A579" t="str">
        <v>TXN100577</v>
      </c>
      <c r="B579">
        <f>_xlfn.XLOOKUP(clean_sales!P579,Dim_Date!B:B,Dim_Date!A:A)</f>
        <v>20250420</v>
      </c>
      <c r="C579">
        <f>_xlfn.XLOOKUP(clean_sales!C579,Dim_Customer!B:B,Dim_Customer!A:A)</f>
        <v>12</v>
      </c>
      <c r="D579">
        <f>_xlfn.XLOOKUP(clean_sales!I579,Dim_Product!B:B,Dim_Product!A:A)</f>
        <v>4</v>
      </c>
      <c r="E579">
        <f>clean_sales!L579</f>
        <v>5</v>
      </c>
      <c r="F579">
        <f>clean_sales!T579</f>
        <v>22500</v>
      </c>
    </row>
    <row r="580" spans="1:6" x14ac:dyDescent="0.35">
      <c r="A580" t="str">
        <v>TXN100578</v>
      </c>
      <c r="B580">
        <f>_xlfn.XLOOKUP(clean_sales!P580,Dim_Date!B:B,Dim_Date!A:A)</f>
        <v>20250719</v>
      </c>
      <c r="C580">
        <f>_xlfn.XLOOKUP(clean_sales!C580,Dim_Customer!B:B,Dim_Customer!A:A)</f>
        <v>437</v>
      </c>
      <c r="D580">
        <f>_xlfn.XLOOKUP(clean_sales!I580,Dim_Product!B:B,Dim_Product!A:A)</f>
        <v>4</v>
      </c>
      <c r="E580">
        <f>clean_sales!L580</f>
        <v>2</v>
      </c>
      <c r="F580">
        <f>clean_sales!T580</f>
        <v>9000</v>
      </c>
    </row>
    <row r="581" spans="1:6" x14ac:dyDescent="0.35">
      <c r="A581" t="str">
        <v>TXN100579</v>
      </c>
      <c r="B581">
        <f>_xlfn.XLOOKUP(clean_sales!P581,Dim_Date!B:B,Dim_Date!A:A)</f>
        <v>20250804</v>
      </c>
      <c r="C581">
        <f>_xlfn.XLOOKUP(clean_sales!C581,Dim_Customer!B:B,Dim_Customer!A:A)</f>
        <v>438</v>
      </c>
      <c r="D581">
        <f>_xlfn.XLOOKUP(clean_sales!I581,Dim_Product!B:B,Dim_Product!A:A)</f>
        <v>2</v>
      </c>
      <c r="E581">
        <f>clean_sales!L581</f>
        <v>3</v>
      </c>
      <c r="F581">
        <f>clean_sales!T581</f>
        <v>195000</v>
      </c>
    </row>
    <row r="582" spans="1:6" x14ac:dyDescent="0.35">
      <c r="A582" t="str">
        <v>TXN100580</v>
      </c>
      <c r="B582">
        <f>_xlfn.XLOOKUP(clean_sales!P582,Dim_Date!B:B,Dim_Date!A:A)</f>
        <v>20251223</v>
      </c>
      <c r="C582">
        <f>_xlfn.XLOOKUP(clean_sales!C582,Dim_Customer!B:B,Dim_Customer!A:A)</f>
        <v>310</v>
      </c>
      <c r="D582">
        <f>_xlfn.XLOOKUP(clean_sales!I582,Dim_Product!B:B,Dim_Product!A:A)</f>
        <v>5</v>
      </c>
      <c r="E582">
        <f>clean_sales!L582</f>
        <v>4</v>
      </c>
      <c r="F582">
        <f>clean_sales!T582</f>
        <v>7200</v>
      </c>
    </row>
    <row r="583" spans="1:6" x14ac:dyDescent="0.35">
      <c r="A583" t="str">
        <v>TXN100581</v>
      </c>
      <c r="B583">
        <f>_xlfn.XLOOKUP(clean_sales!P583,Dim_Date!B:B,Dim_Date!A:A)</f>
        <v>20251023</v>
      </c>
      <c r="C583">
        <f>_xlfn.XLOOKUP(clean_sales!C583,Dim_Customer!B:B,Dim_Customer!A:A)</f>
        <v>439</v>
      </c>
      <c r="D583">
        <f>_xlfn.XLOOKUP(clean_sales!I583,Dim_Product!B:B,Dim_Product!A:A)</f>
        <v>1</v>
      </c>
      <c r="E583">
        <f>clean_sales!L583</f>
        <v>4</v>
      </c>
      <c r="F583">
        <f>clean_sales!T583</f>
        <v>48000</v>
      </c>
    </row>
    <row r="584" spans="1:6" x14ac:dyDescent="0.35">
      <c r="A584" t="str">
        <v>TXN100582</v>
      </c>
      <c r="B584">
        <f>_xlfn.XLOOKUP(clean_sales!P584,Dim_Date!B:B,Dim_Date!A:A)</f>
        <v>20251017</v>
      </c>
      <c r="C584">
        <f>_xlfn.XLOOKUP(clean_sales!C584,Dim_Customer!B:B,Dim_Customer!A:A)</f>
        <v>440</v>
      </c>
      <c r="D584">
        <f>_xlfn.XLOOKUP(clean_sales!I584,Dim_Product!B:B,Dim_Product!A:A)</f>
        <v>1</v>
      </c>
      <c r="E584">
        <f>clean_sales!L584</f>
        <v>5</v>
      </c>
      <c r="F584">
        <f>clean_sales!T584</f>
        <v>60000</v>
      </c>
    </row>
    <row r="585" spans="1:6" x14ac:dyDescent="0.35">
      <c r="A585" t="str">
        <v>TXN100583</v>
      </c>
      <c r="B585">
        <f>_xlfn.XLOOKUP(clean_sales!P585,Dim_Date!B:B,Dim_Date!A:A)</f>
        <v>20250116</v>
      </c>
      <c r="C585">
        <f>_xlfn.XLOOKUP(clean_sales!C585,Dim_Customer!B:B,Dim_Customer!A:A)</f>
        <v>394</v>
      </c>
      <c r="D585">
        <f>_xlfn.XLOOKUP(clean_sales!I585,Dim_Product!B:B,Dim_Product!A:A)</f>
        <v>3</v>
      </c>
      <c r="E585">
        <f>clean_sales!L585</f>
        <v>1</v>
      </c>
      <c r="F585">
        <f>clean_sales!T585</f>
        <v>5000</v>
      </c>
    </row>
    <row r="586" spans="1:6" x14ac:dyDescent="0.35">
      <c r="A586" t="str">
        <v>TXN100584</v>
      </c>
      <c r="B586">
        <f>_xlfn.XLOOKUP(clean_sales!P586,Dim_Date!B:B,Dim_Date!A:A)</f>
        <v>20250315</v>
      </c>
      <c r="C586">
        <f>_xlfn.XLOOKUP(clean_sales!C586,Dim_Customer!B:B,Dim_Customer!A:A)</f>
        <v>441</v>
      </c>
      <c r="D586">
        <f>_xlfn.XLOOKUP(clean_sales!I586,Dim_Product!B:B,Dim_Product!A:A)</f>
        <v>1</v>
      </c>
      <c r="E586">
        <f>clean_sales!L586</f>
        <v>4</v>
      </c>
      <c r="F586">
        <f>clean_sales!T586</f>
        <v>48000</v>
      </c>
    </row>
    <row r="587" spans="1:6" x14ac:dyDescent="0.35">
      <c r="A587" t="str">
        <v>TXN100585</v>
      </c>
      <c r="B587">
        <f>_xlfn.XLOOKUP(clean_sales!P587,Dim_Date!B:B,Dim_Date!A:A)</f>
        <v>20251209</v>
      </c>
      <c r="C587">
        <f>_xlfn.XLOOKUP(clean_sales!C587,Dim_Customer!B:B,Dim_Customer!A:A)</f>
        <v>442</v>
      </c>
      <c r="D587">
        <f>_xlfn.XLOOKUP(clean_sales!I587,Dim_Product!B:B,Dim_Product!A:A)</f>
        <v>6</v>
      </c>
      <c r="E587">
        <f>clean_sales!L587</f>
        <v>4</v>
      </c>
      <c r="F587">
        <f>clean_sales!T587</f>
        <v>288000</v>
      </c>
    </row>
    <row r="588" spans="1:6" x14ac:dyDescent="0.35">
      <c r="A588" t="str">
        <v>TXN100586</v>
      </c>
      <c r="B588">
        <f>_xlfn.XLOOKUP(clean_sales!P588,Dim_Date!B:B,Dim_Date!A:A)</f>
        <v>20260102</v>
      </c>
      <c r="C588">
        <f>_xlfn.XLOOKUP(clean_sales!C588,Dim_Customer!B:B,Dim_Customer!A:A)</f>
        <v>430</v>
      </c>
      <c r="D588">
        <f>_xlfn.XLOOKUP(clean_sales!I588,Dim_Product!B:B,Dim_Product!A:A)</f>
        <v>1</v>
      </c>
      <c r="E588">
        <f>clean_sales!L588</f>
        <v>4</v>
      </c>
      <c r="F588">
        <f>clean_sales!T588</f>
        <v>48000</v>
      </c>
    </row>
    <row r="589" spans="1:6" x14ac:dyDescent="0.35">
      <c r="A589" t="str">
        <v>TXN100587</v>
      </c>
      <c r="B589">
        <f>_xlfn.XLOOKUP(clean_sales!P589,Dim_Date!B:B,Dim_Date!A:A)</f>
        <v>20250213</v>
      </c>
      <c r="C589">
        <f>_xlfn.XLOOKUP(clean_sales!C589,Dim_Customer!B:B,Dim_Customer!A:A)</f>
        <v>443</v>
      </c>
      <c r="D589">
        <f>_xlfn.XLOOKUP(clean_sales!I589,Dim_Product!B:B,Dim_Product!A:A)</f>
        <v>2</v>
      </c>
      <c r="E589">
        <f>clean_sales!L589</f>
        <v>2</v>
      </c>
      <c r="F589">
        <f>clean_sales!T589</f>
        <v>130000</v>
      </c>
    </row>
    <row r="590" spans="1:6" x14ac:dyDescent="0.35">
      <c r="A590" t="str">
        <v>TXN100588</v>
      </c>
      <c r="B590">
        <f>_xlfn.XLOOKUP(clean_sales!P590,Dim_Date!B:B,Dim_Date!A:A)</f>
        <v>20250409</v>
      </c>
      <c r="C590">
        <f>_xlfn.XLOOKUP(clean_sales!C590,Dim_Customer!B:B,Dim_Customer!A:A)</f>
        <v>444</v>
      </c>
      <c r="D590">
        <f>_xlfn.XLOOKUP(clean_sales!I590,Dim_Product!B:B,Dim_Product!A:A)</f>
        <v>3</v>
      </c>
      <c r="E590">
        <f>clean_sales!L590</f>
        <v>5</v>
      </c>
      <c r="F590">
        <f>clean_sales!T590</f>
        <v>25000</v>
      </c>
    </row>
    <row r="591" spans="1:6" x14ac:dyDescent="0.35">
      <c r="A591" t="str">
        <v>TXN100589</v>
      </c>
      <c r="B591">
        <f>_xlfn.XLOOKUP(clean_sales!P591,Dim_Date!B:B,Dim_Date!A:A)</f>
        <v>20250624</v>
      </c>
      <c r="C591">
        <f>_xlfn.XLOOKUP(clean_sales!C591,Dim_Customer!B:B,Dim_Customer!A:A)</f>
        <v>445</v>
      </c>
      <c r="D591">
        <f>_xlfn.XLOOKUP(clean_sales!I591,Dim_Product!B:B,Dim_Product!A:A)</f>
        <v>4</v>
      </c>
      <c r="E591">
        <f>clean_sales!L591</f>
        <v>3</v>
      </c>
      <c r="F591">
        <f>clean_sales!T591</f>
        <v>13500</v>
      </c>
    </row>
    <row r="592" spans="1:6" x14ac:dyDescent="0.35">
      <c r="A592" t="str">
        <v>TXN100590</v>
      </c>
      <c r="B592">
        <f>_xlfn.XLOOKUP(clean_sales!P592,Dim_Date!B:B,Dim_Date!A:A)</f>
        <v>20251115</v>
      </c>
      <c r="C592">
        <f>_xlfn.XLOOKUP(clean_sales!C592,Dim_Customer!B:B,Dim_Customer!A:A)</f>
        <v>279</v>
      </c>
      <c r="D592">
        <f>_xlfn.XLOOKUP(clean_sales!I592,Dim_Product!B:B,Dim_Product!A:A)</f>
        <v>3</v>
      </c>
      <c r="E592">
        <f>clean_sales!L592</f>
        <v>2</v>
      </c>
      <c r="F592">
        <f>clean_sales!T592</f>
        <v>10000</v>
      </c>
    </row>
    <row r="593" spans="1:6" x14ac:dyDescent="0.35">
      <c r="A593" t="str">
        <v>TXN100591</v>
      </c>
      <c r="B593">
        <f>_xlfn.XLOOKUP(clean_sales!P593,Dim_Date!B:B,Dim_Date!A:A)</f>
        <v>20250329</v>
      </c>
      <c r="C593">
        <f>_xlfn.XLOOKUP(clean_sales!C593,Dim_Customer!B:B,Dim_Customer!A:A)</f>
        <v>52</v>
      </c>
      <c r="D593">
        <f>_xlfn.XLOOKUP(clean_sales!I593,Dim_Product!B:B,Dim_Product!A:A)</f>
        <v>6</v>
      </c>
      <c r="E593">
        <f>clean_sales!L593</f>
        <v>4</v>
      </c>
      <c r="F593">
        <f>clean_sales!T593</f>
        <v>288000</v>
      </c>
    </row>
    <row r="594" spans="1:6" x14ac:dyDescent="0.35">
      <c r="A594" t="str">
        <v>TXN100592</v>
      </c>
      <c r="B594">
        <f>_xlfn.XLOOKUP(clean_sales!P594,Dim_Date!B:B,Dim_Date!A:A)</f>
        <v>20250715</v>
      </c>
      <c r="C594">
        <f>_xlfn.XLOOKUP(clean_sales!C594,Dim_Customer!B:B,Dim_Customer!A:A)</f>
        <v>446</v>
      </c>
      <c r="D594">
        <f>_xlfn.XLOOKUP(clean_sales!I594,Dim_Product!B:B,Dim_Product!A:A)</f>
        <v>1</v>
      </c>
      <c r="E594">
        <f>clean_sales!L594</f>
        <v>2</v>
      </c>
      <c r="F594">
        <f>clean_sales!T594</f>
        <v>24000</v>
      </c>
    </row>
    <row r="595" spans="1:6" x14ac:dyDescent="0.35">
      <c r="A595" t="str">
        <v>TXN100593</v>
      </c>
      <c r="B595">
        <f>_xlfn.XLOOKUP(clean_sales!P595,Dim_Date!B:B,Dim_Date!A:A)</f>
        <v>20250504</v>
      </c>
      <c r="C595">
        <f>_xlfn.XLOOKUP(clean_sales!C595,Dim_Customer!B:B,Dim_Customer!A:A)</f>
        <v>438</v>
      </c>
      <c r="D595">
        <f>_xlfn.XLOOKUP(clean_sales!I595,Dim_Product!B:B,Dim_Product!A:A)</f>
        <v>5</v>
      </c>
      <c r="E595">
        <f>clean_sales!L595</f>
        <v>3</v>
      </c>
      <c r="F595">
        <f>clean_sales!T595</f>
        <v>5400</v>
      </c>
    </row>
    <row r="596" spans="1:6" x14ac:dyDescent="0.35">
      <c r="A596" t="str">
        <v>TXN100594</v>
      </c>
      <c r="B596">
        <f>_xlfn.XLOOKUP(clean_sales!P596,Dim_Date!B:B,Dim_Date!A:A)</f>
        <v>20250126</v>
      </c>
      <c r="C596">
        <f>_xlfn.XLOOKUP(clean_sales!C596,Dim_Customer!B:B,Dim_Customer!A:A)</f>
        <v>447</v>
      </c>
      <c r="D596">
        <f>_xlfn.XLOOKUP(clean_sales!I596,Dim_Product!B:B,Dim_Product!A:A)</f>
        <v>2</v>
      </c>
      <c r="E596">
        <f>clean_sales!L596</f>
        <v>2</v>
      </c>
      <c r="F596">
        <f>clean_sales!T596</f>
        <v>130000</v>
      </c>
    </row>
    <row r="597" spans="1:6" x14ac:dyDescent="0.35">
      <c r="A597" t="str">
        <v>TXN100595</v>
      </c>
      <c r="B597">
        <f>_xlfn.XLOOKUP(clean_sales!P597,Dim_Date!B:B,Dim_Date!A:A)</f>
        <v>20251111</v>
      </c>
      <c r="C597">
        <f>_xlfn.XLOOKUP(clean_sales!C597,Dim_Customer!B:B,Dim_Customer!A:A)</f>
        <v>197</v>
      </c>
      <c r="D597">
        <f>_xlfn.XLOOKUP(clean_sales!I597,Dim_Product!B:B,Dim_Product!A:A)</f>
        <v>6</v>
      </c>
      <c r="E597">
        <f>clean_sales!L597</f>
        <v>5</v>
      </c>
      <c r="F597">
        <f>clean_sales!T597</f>
        <v>360000</v>
      </c>
    </row>
    <row r="598" spans="1:6" x14ac:dyDescent="0.35">
      <c r="A598" t="str">
        <v>TXN100596</v>
      </c>
      <c r="B598">
        <f>_xlfn.XLOOKUP(clean_sales!P598,Dim_Date!B:B,Dim_Date!A:A)</f>
        <v>20251009</v>
      </c>
      <c r="C598">
        <f>_xlfn.XLOOKUP(clean_sales!C598,Dim_Customer!B:B,Dim_Customer!A:A)</f>
        <v>388</v>
      </c>
      <c r="D598">
        <f>_xlfn.XLOOKUP(clean_sales!I598,Dim_Product!B:B,Dim_Product!A:A)</f>
        <v>1</v>
      </c>
      <c r="E598">
        <f>clean_sales!L598</f>
        <v>1</v>
      </c>
      <c r="F598">
        <f>clean_sales!T598</f>
        <v>12000</v>
      </c>
    </row>
    <row r="599" spans="1:6" x14ac:dyDescent="0.35">
      <c r="A599" t="str">
        <v>TXN100597</v>
      </c>
      <c r="B599">
        <f>_xlfn.XLOOKUP(clean_sales!P599,Dim_Date!B:B,Dim_Date!A:A)</f>
        <v>20250424</v>
      </c>
      <c r="C599">
        <f>_xlfn.XLOOKUP(clean_sales!C599,Dim_Customer!B:B,Dim_Customer!A:A)</f>
        <v>448</v>
      </c>
      <c r="D599">
        <f>_xlfn.XLOOKUP(clean_sales!I599,Dim_Product!B:B,Dim_Product!A:A)</f>
        <v>2</v>
      </c>
      <c r="E599">
        <f>clean_sales!L599</f>
        <v>3</v>
      </c>
      <c r="F599">
        <f>clean_sales!T599</f>
        <v>195000</v>
      </c>
    </row>
    <row r="600" spans="1:6" x14ac:dyDescent="0.35">
      <c r="A600" t="str">
        <v>TXN100598</v>
      </c>
      <c r="B600">
        <f>_xlfn.XLOOKUP(clean_sales!P600,Dim_Date!B:B,Dim_Date!A:A)</f>
        <v>20251101</v>
      </c>
      <c r="C600">
        <f>_xlfn.XLOOKUP(clean_sales!C600,Dim_Customer!B:B,Dim_Customer!A:A)</f>
        <v>449</v>
      </c>
      <c r="D600">
        <f>_xlfn.XLOOKUP(clean_sales!I600,Dim_Product!B:B,Dim_Product!A:A)</f>
        <v>6</v>
      </c>
      <c r="E600">
        <f>clean_sales!L600</f>
        <v>1</v>
      </c>
      <c r="F600">
        <f>clean_sales!T600</f>
        <v>72000</v>
      </c>
    </row>
    <row r="601" spans="1:6" x14ac:dyDescent="0.35">
      <c r="A601" t="str">
        <v>TXN100599</v>
      </c>
      <c r="B601">
        <f>_xlfn.XLOOKUP(clean_sales!P601,Dim_Date!B:B,Dim_Date!A:A)</f>
        <v>20250716</v>
      </c>
      <c r="C601">
        <f>_xlfn.XLOOKUP(clean_sales!C601,Dim_Customer!B:B,Dim_Customer!A:A)</f>
        <v>450</v>
      </c>
      <c r="D601">
        <f>_xlfn.XLOOKUP(clean_sales!I601,Dim_Product!B:B,Dim_Product!A:A)</f>
        <v>1</v>
      </c>
      <c r="E601">
        <f>clean_sales!L601</f>
        <v>5</v>
      </c>
      <c r="F601">
        <f>clean_sales!T601</f>
        <v>60000</v>
      </c>
    </row>
    <row r="602" spans="1:6" x14ac:dyDescent="0.35">
      <c r="A602" t="str">
        <v>TXN100600</v>
      </c>
      <c r="B602">
        <f>_xlfn.XLOOKUP(clean_sales!P602,Dim_Date!B:B,Dim_Date!A:A)</f>
        <v>20250108</v>
      </c>
      <c r="C602">
        <f>_xlfn.XLOOKUP(clean_sales!C602,Dim_Customer!B:B,Dim_Customer!A:A)</f>
        <v>451</v>
      </c>
      <c r="D602">
        <f>_xlfn.XLOOKUP(clean_sales!I602,Dim_Product!B:B,Dim_Product!A:A)</f>
        <v>7</v>
      </c>
      <c r="E602">
        <f>clean_sales!L602</f>
        <v>5</v>
      </c>
      <c r="F602">
        <f>clean_sales!T602</f>
        <v>290000</v>
      </c>
    </row>
    <row r="603" spans="1:6" x14ac:dyDescent="0.35">
      <c r="A603" t="str">
        <v>TXN100601</v>
      </c>
      <c r="B603">
        <f>_xlfn.XLOOKUP(clean_sales!P603,Dim_Date!B:B,Dim_Date!A:A)</f>
        <v>20251104</v>
      </c>
      <c r="C603">
        <f>_xlfn.XLOOKUP(clean_sales!C603,Dim_Customer!B:B,Dim_Customer!A:A)</f>
        <v>452</v>
      </c>
      <c r="D603">
        <f>_xlfn.XLOOKUP(clean_sales!I603,Dim_Product!B:B,Dim_Product!A:A)</f>
        <v>5</v>
      </c>
      <c r="E603">
        <f>clean_sales!L603</f>
        <v>1</v>
      </c>
      <c r="F603">
        <f>clean_sales!T603</f>
        <v>1800</v>
      </c>
    </row>
    <row r="604" spans="1:6" x14ac:dyDescent="0.35">
      <c r="A604" t="str">
        <v>TXN100602</v>
      </c>
      <c r="B604">
        <f>_xlfn.XLOOKUP(clean_sales!P604,Dim_Date!B:B,Dim_Date!A:A)</f>
        <v>20250710</v>
      </c>
      <c r="C604">
        <f>_xlfn.XLOOKUP(clean_sales!C604,Dim_Customer!B:B,Dim_Customer!A:A)</f>
        <v>453</v>
      </c>
      <c r="D604">
        <f>_xlfn.XLOOKUP(clean_sales!I604,Dim_Product!B:B,Dim_Product!A:A)</f>
        <v>6</v>
      </c>
      <c r="E604">
        <f>clean_sales!L604</f>
        <v>1</v>
      </c>
      <c r="F604">
        <f>clean_sales!T604</f>
        <v>72000</v>
      </c>
    </row>
    <row r="605" spans="1:6" x14ac:dyDescent="0.35">
      <c r="A605" t="str">
        <v>TXN100603</v>
      </c>
      <c r="B605">
        <f>_xlfn.XLOOKUP(clean_sales!P605,Dim_Date!B:B,Dim_Date!A:A)</f>
        <v>20250929</v>
      </c>
      <c r="C605">
        <f>_xlfn.XLOOKUP(clean_sales!C605,Dim_Customer!B:B,Dim_Customer!A:A)</f>
        <v>160</v>
      </c>
      <c r="D605">
        <f>_xlfn.XLOOKUP(clean_sales!I605,Dim_Product!B:B,Dim_Product!A:A)</f>
        <v>3</v>
      </c>
      <c r="E605">
        <f>clean_sales!L605</f>
        <v>1</v>
      </c>
      <c r="F605">
        <f>clean_sales!T605</f>
        <v>5000</v>
      </c>
    </row>
    <row r="606" spans="1:6" x14ac:dyDescent="0.35">
      <c r="A606" t="str">
        <v>TXN100604</v>
      </c>
      <c r="B606">
        <f>_xlfn.XLOOKUP(clean_sales!P606,Dim_Date!B:B,Dim_Date!A:A)</f>
        <v>20250504</v>
      </c>
      <c r="C606">
        <f>_xlfn.XLOOKUP(clean_sales!C606,Dim_Customer!B:B,Dim_Customer!A:A)</f>
        <v>308</v>
      </c>
      <c r="D606">
        <f>_xlfn.XLOOKUP(clean_sales!I606,Dim_Product!B:B,Dim_Product!A:A)</f>
        <v>4</v>
      </c>
      <c r="E606">
        <f>clean_sales!L606</f>
        <v>3</v>
      </c>
      <c r="F606">
        <f>clean_sales!T606</f>
        <v>13500</v>
      </c>
    </row>
    <row r="607" spans="1:6" x14ac:dyDescent="0.35">
      <c r="A607" t="str">
        <v>TXN100605</v>
      </c>
      <c r="B607">
        <f>_xlfn.XLOOKUP(clean_sales!P607,Dim_Date!B:B,Dim_Date!A:A)</f>
        <v>20251213</v>
      </c>
      <c r="C607">
        <f>_xlfn.XLOOKUP(clean_sales!C607,Dim_Customer!B:B,Dim_Customer!A:A)</f>
        <v>454</v>
      </c>
      <c r="D607">
        <f>_xlfn.XLOOKUP(clean_sales!I607,Dim_Product!B:B,Dim_Product!A:A)</f>
        <v>7</v>
      </c>
      <c r="E607">
        <f>clean_sales!L607</f>
        <v>1</v>
      </c>
      <c r="F607">
        <f>clean_sales!T607</f>
        <v>58000</v>
      </c>
    </row>
    <row r="608" spans="1:6" x14ac:dyDescent="0.35">
      <c r="A608" t="str">
        <v>TXN100606</v>
      </c>
      <c r="B608">
        <f>_xlfn.XLOOKUP(clean_sales!P608,Dim_Date!B:B,Dim_Date!A:A)</f>
        <v>20250918</v>
      </c>
      <c r="C608">
        <f>_xlfn.XLOOKUP(clean_sales!C608,Dim_Customer!B:B,Dim_Customer!A:A)</f>
        <v>455</v>
      </c>
      <c r="D608">
        <f>_xlfn.XLOOKUP(clean_sales!I608,Dim_Product!B:B,Dim_Product!A:A)</f>
        <v>1</v>
      </c>
      <c r="E608">
        <f>clean_sales!L608</f>
        <v>3</v>
      </c>
      <c r="F608">
        <f>clean_sales!T608</f>
        <v>36000</v>
      </c>
    </row>
    <row r="609" spans="1:6" x14ac:dyDescent="0.35">
      <c r="A609" t="str">
        <v>TXN100607</v>
      </c>
      <c r="B609">
        <f>_xlfn.XLOOKUP(clean_sales!P609,Dim_Date!B:B,Dim_Date!A:A)</f>
        <v>20250922</v>
      </c>
      <c r="C609">
        <f>_xlfn.XLOOKUP(clean_sales!C609,Dim_Customer!B:B,Dim_Customer!A:A)</f>
        <v>456</v>
      </c>
      <c r="D609">
        <f>_xlfn.XLOOKUP(clean_sales!I609,Dim_Product!B:B,Dim_Product!A:A)</f>
        <v>5</v>
      </c>
      <c r="E609">
        <f>clean_sales!L609</f>
        <v>1</v>
      </c>
      <c r="F609">
        <f>clean_sales!T609</f>
        <v>1800</v>
      </c>
    </row>
    <row r="610" spans="1:6" x14ac:dyDescent="0.35">
      <c r="A610" t="str">
        <v>TXN100608</v>
      </c>
      <c r="B610">
        <f>_xlfn.XLOOKUP(clean_sales!P610,Dim_Date!B:B,Dim_Date!A:A)</f>
        <v>20250830</v>
      </c>
      <c r="C610">
        <f>_xlfn.XLOOKUP(clean_sales!C610,Dim_Customer!B:B,Dim_Customer!A:A)</f>
        <v>457</v>
      </c>
      <c r="D610">
        <f>_xlfn.XLOOKUP(clean_sales!I610,Dim_Product!B:B,Dim_Product!A:A)</f>
        <v>2</v>
      </c>
      <c r="E610">
        <f>clean_sales!L610</f>
        <v>5</v>
      </c>
      <c r="F610">
        <f>clean_sales!T610</f>
        <v>325000</v>
      </c>
    </row>
    <row r="611" spans="1:6" x14ac:dyDescent="0.35">
      <c r="A611" t="str">
        <v>TXN100609</v>
      </c>
      <c r="B611">
        <f>_xlfn.XLOOKUP(clean_sales!P611,Dim_Date!B:B,Dim_Date!A:A)</f>
        <v>20251115</v>
      </c>
      <c r="C611">
        <f>_xlfn.XLOOKUP(clean_sales!C611,Dim_Customer!B:B,Dim_Customer!A:A)</f>
        <v>458</v>
      </c>
      <c r="D611">
        <f>_xlfn.XLOOKUP(clean_sales!I611,Dim_Product!B:B,Dim_Product!A:A)</f>
        <v>7</v>
      </c>
      <c r="E611">
        <f>clean_sales!L611</f>
        <v>1</v>
      </c>
      <c r="F611">
        <f>clean_sales!T611</f>
        <v>58000</v>
      </c>
    </row>
    <row r="612" spans="1:6" x14ac:dyDescent="0.35">
      <c r="A612" t="str">
        <v>TXN100610</v>
      </c>
      <c r="B612">
        <f>_xlfn.XLOOKUP(clean_sales!P612,Dim_Date!B:B,Dim_Date!A:A)</f>
        <v>20250107</v>
      </c>
      <c r="C612">
        <f>_xlfn.XLOOKUP(clean_sales!C612,Dim_Customer!B:B,Dim_Customer!A:A)</f>
        <v>459</v>
      </c>
      <c r="D612">
        <f>_xlfn.XLOOKUP(clean_sales!I612,Dim_Product!B:B,Dim_Product!A:A)</f>
        <v>3</v>
      </c>
      <c r="E612">
        <f>clean_sales!L612</f>
        <v>2</v>
      </c>
      <c r="F612">
        <f>clean_sales!T612</f>
        <v>10000</v>
      </c>
    </row>
    <row r="613" spans="1:6" x14ac:dyDescent="0.35">
      <c r="A613" t="str">
        <v>TXN100611</v>
      </c>
      <c r="B613">
        <f>_xlfn.XLOOKUP(clean_sales!P613,Dim_Date!B:B,Dim_Date!A:A)</f>
        <v>20250419</v>
      </c>
      <c r="C613">
        <f>_xlfn.XLOOKUP(clean_sales!C613,Dim_Customer!B:B,Dim_Customer!A:A)</f>
        <v>460</v>
      </c>
      <c r="D613">
        <f>_xlfn.XLOOKUP(clean_sales!I613,Dim_Product!B:B,Dim_Product!A:A)</f>
        <v>3</v>
      </c>
      <c r="E613">
        <f>clean_sales!L613</f>
        <v>2</v>
      </c>
      <c r="F613">
        <f>clean_sales!T613</f>
        <v>10000</v>
      </c>
    </row>
    <row r="614" spans="1:6" x14ac:dyDescent="0.35">
      <c r="A614" t="str">
        <v>TXN100612</v>
      </c>
      <c r="B614">
        <f>_xlfn.XLOOKUP(clean_sales!P614,Dim_Date!B:B,Dim_Date!A:A)</f>
        <v>20250325</v>
      </c>
      <c r="C614">
        <f>_xlfn.XLOOKUP(clean_sales!C614,Dim_Customer!B:B,Dim_Customer!A:A)</f>
        <v>285</v>
      </c>
      <c r="D614">
        <f>_xlfn.XLOOKUP(clean_sales!I614,Dim_Product!B:B,Dim_Product!A:A)</f>
        <v>2</v>
      </c>
      <c r="E614">
        <f>clean_sales!L614</f>
        <v>3</v>
      </c>
      <c r="F614">
        <f>clean_sales!T614</f>
        <v>195000</v>
      </c>
    </row>
    <row r="615" spans="1:6" x14ac:dyDescent="0.35">
      <c r="A615" t="str">
        <v>TXN100613</v>
      </c>
      <c r="B615">
        <f>_xlfn.XLOOKUP(clean_sales!P615,Dim_Date!B:B,Dim_Date!A:A)</f>
        <v>20251002</v>
      </c>
      <c r="C615">
        <f>_xlfn.XLOOKUP(clean_sales!C615,Dim_Customer!B:B,Dim_Customer!A:A)</f>
        <v>461</v>
      </c>
      <c r="D615">
        <f>_xlfn.XLOOKUP(clean_sales!I615,Dim_Product!B:B,Dim_Product!A:A)</f>
        <v>5</v>
      </c>
      <c r="E615">
        <f>clean_sales!L615</f>
        <v>2</v>
      </c>
      <c r="F615">
        <f>clean_sales!T615</f>
        <v>3600</v>
      </c>
    </row>
    <row r="616" spans="1:6" x14ac:dyDescent="0.35">
      <c r="A616" t="str">
        <v>TXN100614</v>
      </c>
      <c r="B616">
        <f>_xlfn.XLOOKUP(clean_sales!P616,Dim_Date!B:B,Dim_Date!A:A)</f>
        <v>20251227</v>
      </c>
      <c r="C616">
        <f>_xlfn.XLOOKUP(clean_sales!C616,Dim_Customer!B:B,Dim_Customer!A:A)</f>
        <v>462</v>
      </c>
      <c r="D616">
        <f>_xlfn.XLOOKUP(clean_sales!I616,Dim_Product!B:B,Dim_Product!A:A)</f>
        <v>6</v>
      </c>
      <c r="E616">
        <f>clean_sales!L616</f>
        <v>3</v>
      </c>
      <c r="F616">
        <f>clean_sales!T616</f>
        <v>216000</v>
      </c>
    </row>
    <row r="617" spans="1:6" x14ac:dyDescent="0.35">
      <c r="A617" t="str">
        <v>TXN100615</v>
      </c>
      <c r="B617">
        <f>_xlfn.XLOOKUP(clean_sales!P617,Dim_Date!B:B,Dim_Date!A:A)</f>
        <v>20250526</v>
      </c>
      <c r="C617">
        <f>_xlfn.XLOOKUP(clean_sales!C617,Dim_Customer!B:B,Dim_Customer!A:A)</f>
        <v>463</v>
      </c>
      <c r="D617">
        <f>_xlfn.XLOOKUP(clean_sales!I617,Dim_Product!B:B,Dim_Product!A:A)</f>
        <v>1</v>
      </c>
      <c r="E617">
        <f>clean_sales!L617</f>
        <v>5</v>
      </c>
      <c r="F617">
        <f>clean_sales!T617</f>
        <v>60000</v>
      </c>
    </row>
    <row r="618" spans="1:6" x14ac:dyDescent="0.35">
      <c r="A618" t="str">
        <v>TXN100616</v>
      </c>
      <c r="B618">
        <f>_xlfn.XLOOKUP(clean_sales!P618,Dim_Date!B:B,Dim_Date!A:A)</f>
        <v>20250316</v>
      </c>
      <c r="C618">
        <f>_xlfn.XLOOKUP(clean_sales!C618,Dim_Customer!B:B,Dim_Customer!A:A)</f>
        <v>464</v>
      </c>
      <c r="D618">
        <f>_xlfn.XLOOKUP(clean_sales!I618,Dim_Product!B:B,Dim_Product!A:A)</f>
        <v>7</v>
      </c>
      <c r="E618">
        <f>clean_sales!L618</f>
        <v>3</v>
      </c>
      <c r="F618">
        <f>clean_sales!T618</f>
        <v>174000</v>
      </c>
    </row>
    <row r="619" spans="1:6" x14ac:dyDescent="0.35">
      <c r="A619" t="str">
        <v>TXN100617</v>
      </c>
      <c r="B619">
        <f>_xlfn.XLOOKUP(clean_sales!P619,Dim_Date!B:B,Dim_Date!A:A)</f>
        <v>20250903</v>
      </c>
      <c r="C619">
        <f>_xlfn.XLOOKUP(clean_sales!C619,Dim_Customer!B:B,Dim_Customer!A:A)</f>
        <v>397</v>
      </c>
      <c r="D619">
        <f>_xlfn.XLOOKUP(clean_sales!I619,Dim_Product!B:B,Dim_Product!A:A)</f>
        <v>5</v>
      </c>
      <c r="E619">
        <f>clean_sales!L619</f>
        <v>2</v>
      </c>
      <c r="F619">
        <f>clean_sales!T619</f>
        <v>3600</v>
      </c>
    </row>
    <row r="620" spans="1:6" x14ac:dyDescent="0.35">
      <c r="A620" t="str">
        <v>TXN100618</v>
      </c>
      <c r="B620">
        <f>_xlfn.XLOOKUP(clean_sales!P620,Dim_Date!B:B,Dim_Date!A:A)</f>
        <v>20251030</v>
      </c>
      <c r="C620">
        <f>_xlfn.XLOOKUP(clean_sales!C620,Dim_Customer!B:B,Dim_Customer!A:A)</f>
        <v>465</v>
      </c>
      <c r="D620">
        <f>_xlfn.XLOOKUP(clean_sales!I620,Dim_Product!B:B,Dim_Product!A:A)</f>
        <v>6</v>
      </c>
      <c r="E620">
        <f>clean_sales!L620</f>
        <v>3</v>
      </c>
      <c r="F620">
        <f>clean_sales!T620</f>
        <v>216000</v>
      </c>
    </row>
    <row r="621" spans="1:6" x14ac:dyDescent="0.35">
      <c r="A621" t="str">
        <v>TXN100619</v>
      </c>
      <c r="B621">
        <f>_xlfn.XLOOKUP(clean_sales!P621,Dim_Date!B:B,Dim_Date!A:A)</f>
        <v>20251122</v>
      </c>
      <c r="C621">
        <f>_xlfn.XLOOKUP(clean_sales!C621,Dim_Customer!B:B,Dim_Customer!A:A)</f>
        <v>466</v>
      </c>
      <c r="D621">
        <f>_xlfn.XLOOKUP(clean_sales!I621,Dim_Product!B:B,Dim_Product!A:A)</f>
        <v>7</v>
      </c>
      <c r="E621">
        <f>clean_sales!L621</f>
        <v>3</v>
      </c>
      <c r="F621">
        <f>clean_sales!T621</f>
        <v>174000</v>
      </c>
    </row>
    <row r="622" spans="1:6" x14ac:dyDescent="0.35">
      <c r="A622" t="str">
        <v>TXN100620</v>
      </c>
      <c r="B622">
        <f>_xlfn.XLOOKUP(clean_sales!P622,Dim_Date!B:B,Dim_Date!A:A)</f>
        <v>20250121</v>
      </c>
      <c r="C622">
        <f>_xlfn.XLOOKUP(clean_sales!C622,Dim_Customer!B:B,Dim_Customer!A:A)</f>
        <v>467</v>
      </c>
      <c r="D622">
        <f>_xlfn.XLOOKUP(clean_sales!I622,Dim_Product!B:B,Dim_Product!A:A)</f>
        <v>6</v>
      </c>
      <c r="E622">
        <f>clean_sales!L622</f>
        <v>5</v>
      </c>
      <c r="F622">
        <f>clean_sales!T622</f>
        <v>360000</v>
      </c>
    </row>
    <row r="623" spans="1:6" x14ac:dyDescent="0.35">
      <c r="A623" t="str">
        <v>TXN100621</v>
      </c>
      <c r="B623">
        <f>_xlfn.XLOOKUP(clean_sales!P623,Dim_Date!B:B,Dim_Date!A:A)</f>
        <v>20250430</v>
      </c>
      <c r="C623">
        <f>_xlfn.XLOOKUP(clean_sales!C623,Dim_Customer!B:B,Dim_Customer!A:A)</f>
        <v>468</v>
      </c>
      <c r="D623">
        <f>_xlfn.XLOOKUP(clean_sales!I623,Dim_Product!B:B,Dim_Product!A:A)</f>
        <v>7</v>
      </c>
      <c r="E623">
        <f>clean_sales!L623</f>
        <v>5</v>
      </c>
      <c r="F623">
        <f>clean_sales!T623</f>
        <v>290000</v>
      </c>
    </row>
    <row r="624" spans="1:6" x14ac:dyDescent="0.35">
      <c r="A624" t="str">
        <v>TXN100622</v>
      </c>
      <c r="B624">
        <f>_xlfn.XLOOKUP(clean_sales!P624,Dim_Date!B:B,Dim_Date!A:A)</f>
        <v>20250324</v>
      </c>
      <c r="C624">
        <f>_xlfn.XLOOKUP(clean_sales!C624,Dim_Customer!B:B,Dim_Customer!A:A)</f>
        <v>469</v>
      </c>
      <c r="D624">
        <f>_xlfn.XLOOKUP(clean_sales!I624,Dim_Product!B:B,Dim_Product!A:A)</f>
        <v>6</v>
      </c>
      <c r="E624">
        <f>clean_sales!L624</f>
        <v>4</v>
      </c>
      <c r="F624">
        <f>clean_sales!T624</f>
        <v>288000</v>
      </c>
    </row>
    <row r="625" spans="1:6" x14ac:dyDescent="0.35">
      <c r="A625" t="str">
        <v>TXN100623</v>
      </c>
      <c r="B625">
        <f>_xlfn.XLOOKUP(clean_sales!P625,Dim_Date!B:B,Dim_Date!A:A)</f>
        <v>20250819</v>
      </c>
      <c r="C625">
        <f>_xlfn.XLOOKUP(clean_sales!C625,Dim_Customer!B:B,Dim_Customer!A:A)</f>
        <v>434</v>
      </c>
      <c r="D625">
        <f>_xlfn.XLOOKUP(clean_sales!I625,Dim_Product!B:B,Dim_Product!A:A)</f>
        <v>5</v>
      </c>
      <c r="E625">
        <f>clean_sales!L625</f>
        <v>4</v>
      </c>
      <c r="F625">
        <f>clean_sales!T625</f>
        <v>7200</v>
      </c>
    </row>
    <row r="626" spans="1:6" x14ac:dyDescent="0.35">
      <c r="A626" t="str">
        <v>TXN100624</v>
      </c>
      <c r="B626">
        <f>_xlfn.XLOOKUP(clean_sales!P626,Dim_Date!B:B,Dim_Date!A:A)</f>
        <v>20250523</v>
      </c>
      <c r="C626">
        <f>_xlfn.XLOOKUP(clean_sales!C626,Dim_Customer!B:B,Dim_Customer!A:A)</f>
        <v>470</v>
      </c>
      <c r="D626">
        <f>_xlfn.XLOOKUP(clean_sales!I626,Dim_Product!B:B,Dim_Product!A:A)</f>
        <v>4</v>
      </c>
      <c r="E626">
        <f>clean_sales!L626</f>
        <v>2</v>
      </c>
      <c r="F626">
        <f>clean_sales!T626</f>
        <v>9000</v>
      </c>
    </row>
    <row r="627" spans="1:6" x14ac:dyDescent="0.35">
      <c r="A627" t="str">
        <v>TXN100625</v>
      </c>
      <c r="B627">
        <f>_xlfn.XLOOKUP(clean_sales!P627,Dim_Date!B:B,Dim_Date!A:A)</f>
        <v>20250111</v>
      </c>
      <c r="C627">
        <f>_xlfn.XLOOKUP(clean_sales!C627,Dim_Customer!B:B,Dim_Customer!A:A)</f>
        <v>33</v>
      </c>
      <c r="D627">
        <f>_xlfn.XLOOKUP(clean_sales!I627,Dim_Product!B:B,Dim_Product!A:A)</f>
        <v>5</v>
      </c>
      <c r="E627">
        <f>clean_sales!L627</f>
        <v>5</v>
      </c>
      <c r="F627">
        <f>clean_sales!T627</f>
        <v>9000</v>
      </c>
    </row>
    <row r="628" spans="1:6" x14ac:dyDescent="0.35">
      <c r="A628" t="str">
        <v>TXN100626</v>
      </c>
      <c r="B628">
        <f>_xlfn.XLOOKUP(clean_sales!P628,Dim_Date!B:B,Dim_Date!A:A)</f>
        <v>20250224</v>
      </c>
      <c r="C628">
        <f>_xlfn.XLOOKUP(clean_sales!C628,Dim_Customer!B:B,Dim_Customer!A:A)</f>
        <v>47</v>
      </c>
      <c r="D628">
        <f>_xlfn.XLOOKUP(clean_sales!I628,Dim_Product!B:B,Dim_Product!A:A)</f>
        <v>6</v>
      </c>
      <c r="E628">
        <f>clean_sales!L628</f>
        <v>4</v>
      </c>
      <c r="F628">
        <f>clean_sales!T628</f>
        <v>288000</v>
      </c>
    </row>
    <row r="629" spans="1:6" x14ac:dyDescent="0.35">
      <c r="A629" t="str">
        <v>TXN100627</v>
      </c>
      <c r="B629">
        <f>_xlfn.XLOOKUP(clean_sales!P629,Dim_Date!B:B,Dim_Date!A:A)</f>
        <v>20250202</v>
      </c>
      <c r="C629">
        <f>_xlfn.XLOOKUP(clean_sales!C629,Dim_Customer!B:B,Dim_Customer!A:A)</f>
        <v>116</v>
      </c>
      <c r="D629">
        <f>_xlfn.XLOOKUP(clean_sales!I629,Dim_Product!B:B,Dim_Product!A:A)</f>
        <v>2</v>
      </c>
      <c r="E629">
        <f>clean_sales!L629</f>
        <v>2</v>
      </c>
      <c r="F629">
        <f>clean_sales!T629</f>
        <v>130000</v>
      </c>
    </row>
    <row r="630" spans="1:6" x14ac:dyDescent="0.35">
      <c r="A630" t="str">
        <v>TXN100628</v>
      </c>
      <c r="B630">
        <f>_xlfn.XLOOKUP(clean_sales!P630,Dim_Date!B:B,Dim_Date!A:A)</f>
        <v>20250702</v>
      </c>
      <c r="C630">
        <f>_xlfn.XLOOKUP(clean_sales!C630,Dim_Customer!B:B,Dim_Customer!A:A)</f>
        <v>471</v>
      </c>
      <c r="D630">
        <f>_xlfn.XLOOKUP(clean_sales!I630,Dim_Product!B:B,Dim_Product!A:A)</f>
        <v>5</v>
      </c>
      <c r="E630">
        <f>clean_sales!L630</f>
        <v>4</v>
      </c>
      <c r="F630">
        <f>clean_sales!T630</f>
        <v>7200</v>
      </c>
    </row>
    <row r="631" spans="1:6" x14ac:dyDescent="0.35">
      <c r="A631" t="str">
        <v>TXN100629</v>
      </c>
      <c r="B631">
        <f>_xlfn.XLOOKUP(clean_sales!P631,Dim_Date!B:B,Dim_Date!A:A)</f>
        <v>20250730</v>
      </c>
      <c r="C631">
        <f>_xlfn.XLOOKUP(clean_sales!C631,Dim_Customer!B:B,Dim_Customer!A:A)</f>
        <v>189</v>
      </c>
      <c r="D631">
        <f>_xlfn.XLOOKUP(clean_sales!I631,Dim_Product!B:B,Dim_Product!A:A)</f>
        <v>5</v>
      </c>
      <c r="E631">
        <f>clean_sales!L631</f>
        <v>3</v>
      </c>
      <c r="F631">
        <f>clean_sales!T631</f>
        <v>5400</v>
      </c>
    </row>
    <row r="632" spans="1:6" x14ac:dyDescent="0.35">
      <c r="A632" t="str">
        <v>TXN100630</v>
      </c>
      <c r="B632">
        <f>_xlfn.XLOOKUP(clean_sales!P632,Dim_Date!B:B,Dim_Date!A:A)</f>
        <v>20251129</v>
      </c>
      <c r="C632">
        <f>_xlfn.XLOOKUP(clean_sales!C632,Dim_Customer!B:B,Dim_Customer!A:A)</f>
        <v>472</v>
      </c>
      <c r="D632">
        <f>_xlfn.XLOOKUP(clean_sales!I632,Dim_Product!B:B,Dim_Product!A:A)</f>
        <v>2</v>
      </c>
      <c r="E632">
        <f>clean_sales!L632</f>
        <v>4</v>
      </c>
      <c r="F632">
        <f>clean_sales!T632</f>
        <v>260000</v>
      </c>
    </row>
    <row r="633" spans="1:6" x14ac:dyDescent="0.35">
      <c r="A633" t="str">
        <v>TXN100631</v>
      </c>
      <c r="B633">
        <f>_xlfn.XLOOKUP(clean_sales!P633,Dim_Date!B:B,Dim_Date!A:A)</f>
        <v>20250611</v>
      </c>
      <c r="C633">
        <f>_xlfn.XLOOKUP(clean_sales!C633,Dim_Customer!B:B,Dim_Customer!A:A)</f>
        <v>473</v>
      </c>
      <c r="D633">
        <f>_xlfn.XLOOKUP(clean_sales!I633,Dim_Product!B:B,Dim_Product!A:A)</f>
        <v>2</v>
      </c>
      <c r="E633">
        <f>clean_sales!L633</f>
        <v>1</v>
      </c>
      <c r="F633">
        <f>clean_sales!T633</f>
        <v>65000</v>
      </c>
    </row>
    <row r="634" spans="1:6" x14ac:dyDescent="0.35">
      <c r="A634" t="str">
        <v>TXN100632</v>
      </c>
      <c r="B634">
        <f>_xlfn.XLOOKUP(clean_sales!P634,Dim_Date!B:B,Dim_Date!A:A)</f>
        <v>20250116</v>
      </c>
      <c r="C634">
        <f>_xlfn.XLOOKUP(clean_sales!C634,Dim_Customer!B:B,Dim_Customer!A:A)</f>
        <v>474</v>
      </c>
      <c r="D634">
        <f>_xlfn.XLOOKUP(clean_sales!I634,Dim_Product!B:B,Dim_Product!A:A)</f>
        <v>1</v>
      </c>
      <c r="E634">
        <f>clean_sales!L634</f>
        <v>1</v>
      </c>
      <c r="F634">
        <f>clean_sales!T634</f>
        <v>12000</v>
      </c>
    </row>
    <row r="635" spans="1:6" x14ac:dyDescent="0.35">
      <c r="A635" t="str">
        <v>TXN100633</v>
      </c>
      <c r="B635">
        <f>_xlfn.XLOOKUP(clean_sales!P635,Dim_Date!B:B,Dim_Date!A:A)</f>
        <v>20250410</v>
      </c>
      <c r="C635">
        <f>_xlfn.XLOOKUP(clean_sales!C635,Dim_Customer!B:B,Dim_Customer!A:A)</f>
        <v>122</v>
      </c>
      <c r="D635">
        <f>_xlfn.XLOOKUP(clean_sales!I635,Dim_Product!B:B,Dim_Product!A:A)</f>
        <v>1</v>
      </c>
      <c r="E635">
        <f>clean_sales!L635</f>
        <v>2</v>
      </c>
      <c r="F635">
        <f>clean_sales!T635</f>
        <v>24000</v>
      </c>
    </row>
    <row r="636" spans="1:6" x14ac:dyDescent="0.35">
      <c r="A636" t="str">
        <v>TXN100634</v>
      </c>
      <c r="B636">
        <f>_xlfn.XLOOKUP(clean_sales!P636,Dim_Date!B:B,Dim_Date!A:A)</f>
        <v>20251127</v>
      </c>
      <c r="C636">
        <f>_xlfn.XLOOKUP(clean_sales!C636,Dim_Customer!B:B,Dim_Customer!A:A)</f>
        <v>475</v>
      </c>
      <c r="D636">
        <f>_xlfn.XLOOKUP(clean_sales!I636,Dim_Product!B:B,Dim_Product!A:A)</f>
        <v>1</v>
      </c>
      <c r="E636">
        <f>clean_sales!L636</f>
        <v>1</v>
      </c>
      <c r="F636">
        <f>clean_sales!T636</f>
        <v>12000</v>
      </c>
    </row>
    <row r="637" spans="1:6" x14ac:dyDescent="0.35">
      <c r="A637" t="str">
        <v>TXN100635</v>
      </c>
      <c r="B637">
        <f>_xlfn.XLOOKUP(clean_sales!P637,Dim_Date!B:B,Dim_Date!A:A)</f>
        <v>20250306</v>
      </c>
      <c r="C637">
        <f>_xlfn.XLOOKUP(clean_sales!C637,Dim_Customer!B:B,Dim_Customer!A:A)</f>
        <v>476</v>
      </c>
      <c r="D637">
        <f>_xlfn.XLOOKUP(clean_sales!I637,Dim_Product!B:B,Dim_Product!A:A)</f>
        <v>1</v>
      </c>
      <c r="E637">
        <f>clean_sales!L637</f>
        <v>5</v>
      </c>
      <c r="F637">
        <f>clean_sales!T637</f>
        <v>60000</v>
      </c>
    </row>
    <row r="638" spans="1:6" x14ac:dyDescent="0.35">
      <c r="A638" t="str">
        <v>TXN100636</v>
      </c>
      <c r="B638">
        <f>_xlfn.XLOOKUP(clean_sales!P638,Dim_Date!B:B,Dim_Date!A:A)</f>
        <v>20250912</v>
      </c>
      <c r="C638">
        <f>_xlfn.XLOOKUP(clean_sales!C638,Dim_Customer!B:B,Dim_Customer!A:A)</f>
        <v>435</v>
      </c>
      <c r="D638">
        <f>_xlfn.XLOOKUP(clean_sales!I638,Dim_Product!B:B,Dim_Product!A:A)</f>
        <v>1</v>
      </c>
      <c r="E638">
        <f>clean_sales!L638</f>
        <v>5</v>
      </c>
      <c r="F638">
        <f>clean_sales!T638</f>
        <v>60000</v>
      </c>
    </row>
    <row r="639" spans="1:6" x14ac:dyDescent="0.35">
      <c r="A639" t="str">
        <v>TXN100637</v>
      </c>
      <c r="B639">
        <f>_xlfn.XLOOKUP(clean_sales!P639,Dim_Date!B:B,Dim_Date!A:A)</f>
        <v>20250423</v>
      </c>
      <c r="C639">
        <f>_xlfn.XLOOKUP(clean_sales!C639,Dim_Customer!B:B,Dim_Customer!A:A)</f>
        <v>477</v>
      </c>
      <c r="D639">
        <f>_xlfn.XLOOKUP(clean_sales!I639,Dim_Product!B:B,Dim_Product!A:A)</f>
        <v>1</v>
      </c>
      <c r="E639">
        <f>clean_sales!L639</f>
        <v>1</v>
      </c>
      <c r="F639">
        <f>clean_sales!T639</f>
        <v>12000</v>
      </c>
    </row>
    <row r="640" spans="1:6" x14ac:dyDescent="0.35">
      <c r="A640" t="str">
        <v>TXN100638</v>
      </c>
      <c r="B640">
        <f>_xlfn.XLOOKUP(clean_sales!P640,Dim_Date!B:B,Dim_Date!A:A)</f>
        <v>20250526</v>
      </c>
      <c r="C640">
        <f>_xlfn.XLOOKUP(clean_sales!C640,Dim_Customer!B:B,Dim_Customer!A:A)</f>
        <v>478</v>
      </c>
      <c r="D640">
        <f>_xlfn.XLOOKUP(clean_sales!I640,Dim_Product!B:B,Dim_Product!A:A)</f>
        <v>4</v>
      </c>
      <c r="E640">
        <f>clean_sales!L640</f>
        <v>1</v>
      </c>
      <c r="F640">
        <f>clean_sales!T640</f>
        <v>4500</v>
      </c>
    </row>
    <row r="641" spans="1:6" x14ac:dyDescent="0.35">
      <c r="A641" t="str">
        <v>TXN100639</v>
      </c>
      <c r="B641">
        <f>_xlfn.XLOOKUP(clean_sales!P641,Dim_Date!B:B,Dim_Date!A:A)</f>
        <v>20250828</v>
      </c>
      <c r="C641">
        <f>_xlfn.XLOOKUP(clean_sales!C641,Dim_Customer!B:B,Dim_Customer!A:A)</f>
        <v>479</v>
      </c>
      <c r="D641">
        <f>_xlfn.XLOOKUP(clean_sales!I641,Dim_Product!B:B,Dim_Product!A:A)</f>
        <v>6</v>
      </c>
      <c r="E641">
        <f>clean_sales!L641</f>
        <v>5</v>
      </c>
      <c r="F641">
        <f>clean_sales!T641</f>
        <v>360000</v>
      </c>
    </row>
    <row r="642" spans="1:6" x14ac:dyDescent="0.35">
      <c r="A642" t="str">
        <v>TXN100640</v>
      </c>
      <c r="B642">
        <f>_xlfn.XLOOKUP(clean_sales!P642,Dim_Date!B:B,Dim_Date!A:A)</f>
        <v>20250804</v>
      </c>
      <c r="C642">
        <f>_xlfn.XLOOKUP(clean_sales!C642,Dim_Customer!B:B,Dim_Customer!A:A)</f>
        <v>337</v>
      </c>
      <c r="D642">
        <f>_xlfn.XLOOKUP(clean_sales!I642,Dim_Product!B:B,Dim_Product!A:A)</f>
        <v>3</v>
      </c>
      <c r="E642">
        <f>clean_sales!L642</f>
        <v>4</v>
      </c>
      <c r="F642">
        <f>clean_sales!T642</f>
        <v>20000</v>
      </c>
    </row>
    <row r="643" spans="1:6" x14ac:dyDescent="0.35">
      <c r="A643" t="str">
        <v>TXN100641</v>
      </c>
      <c r="B643">
        <f>_xlfn.XLOOKUP(clean_sales!P643,Dim_Date!B:B,Dim_Date!A:A)</f>
        <v>20250503</v>
      </c>
      <c r="C643">
        <f>_xlfn.XLOOKUP(clean_sales!C643,Dim_Customer!B:B,Dim_Customer!A:A)</f>
        <v>480</v>
      </c>
      <c r="D643">
        <f>_xlfn.XLOOKUP(clean_sales!I643,Dim_Product!B:B,Dim_Product!A:A)</f>
        <v>6</v>
      </c>
      <c r="E643">
        <f>clean_sales!L643</f>
        <v>5</v>
      </c>
      <c r="F643">
        <f>clean_sales!T643</f>
        <v>360000</v>
      </c>
    </row>
    <row r="644" spans="1:6" x14ac:dyDescent="0.35">
      <c r="A644" t="str">
        <v>TXN100642</v>
      </c>
      <c r="B644">
        <f>_xlfn.XLOOKUP(clean_sales!P644,Dim_Date!B:B,Dim_Date!A:A)</f>
        <v>20250710</v>
      </c>
      <c r="C644">
        <f>_xlfn.XLOOKUP(clean_sales!C644,Dim_Customer!B:B,Dim_Customer!A:A)</f>
        <v>481</v>
      </c>
      <c r="D644">
        <f>_xlfn.XLOOKUP(clean_sales!I644,Dim_Product!B:B,Dim_Product!A:A)</f>
        <v>6</v>
      </c>
      <c r="E644">
        <f>clean_sales!L644</f>
        <v>2</v>
      </c>
      <c r="F644">
        <f>clean_sales!T644</f>
        <v>144000</v>
      </c>
    </row>
    <row r="645" spans="1:6" x14ac:dyDescent="0.35">
      <c r="A645" t="str">
        <v>TXN100643</v>
      </c>
      <c r="B645">
        <f>_xlfn.XLOOKUP(clean_sales!P645,Dim_Date!B:B,Dim_Date!A:A)</f>
        <v>20250127</v>
      </c>
      <c r="C645">
        <f>_xlfn.XLOOKUP(clean_sales!C645,Dim_Customer!B:B,Dim_Customer!A:A)</f>
        <v>482</v>
      </c>
      <c r="D645">
        <f>_xlfn.XLOOKUP(clean_sales!I645,Dim_Product!B:B,Dim_Product!A:A)</f>
        <v>2</v>
      </c>
      <c r="E645">
        <f>clean_sales!L645</f>
        <v>2</v>
      </c>
      <c r="F645">
        <f>clean_sales!T645</f>
        <v>130000</v>
      </c>
    </row>
    <row r="646" spans="1:6" x14ac:dyDescent="0.35">
      <c r="A646" t="str">
        <v>TXN100644</v>
      </c>
      <c r="B646">
        <f>_xlfn.XLOOKUP(clean_sales!P646,Dim_Date!B:B,Dim_Date!A:A)</f>
        <v>20250317</v>
      </c>
      <c r="C646">
        <f>_xlfn.XLOOKUP(clean_sales!C646,Dim_Customer!B:B,Dim_Customer!A:A)</f>
        <v>483</v>
      </c>
      <c r="D646">
        <f>_xlfn.XLOOKUP(clean_sales!I646,Dim_Product!B:B,Dim_Product!A:A)</f>
        <v>5</v>
      </c>
      <c r="E646">
        <f>clean_sales!L646</f>
        <v>5</v>
      </c>
      <c r="F646">
        <f>clean_sales!T646</f>
        <v>9000</v>
      </c>
    </row>
    <row r="647" spans="1:6" x14ac:dyDescent="0.35">
      <c r="A647" t="str">
        <v>TXN100645</v>
      </c>
      <c r="B647">
        <f>_xlfn.XLOOKUP(clean_sales!P647,Dim_Date!B:B,Dim_Date!A:A)</f>
        <v>20250824</v>
      </c>
      <c r="C647">
        <f>_xlfn.XLOOKUP(clean_sales!C647,Dim_Customer!B:B,Dim_Customer!A:A)</f>
        <v>484</v>
      </c>
      <c r="D647">
        <f>_xlfn.XLOOKUP(clean_sales!I647,Dim_Product!B:B,Dim_Product!A:A)</f>
        <v>4</v>
      </c>
      <c r="E647">
        <f>clean_sales!L647</f>
        <v>4</v>
      </c>
      <c r="F647">
        <f>clean_sales!T647</f>
        <v>18000</v>
      </c>
    </row>
    <row r="648" spans="1:6" x14ac:dyDescent="0.35">
      <c r="A648" t="str">
        <v>TXN100646</v>
      </c>
      <c r="B648">
        <f>_xlfn.XLOOKUP(clean_sales!P648,Dim_Date!B:B,Dim_Date!A:A)</f>
        <v>20250510</v>
      </c>
      <c r="C648">
        <f>_xlfn.XLOOKUP(clean_sales!C648,Dim_Customer!B:B,Dim_Customer!A:A)</f>
        <v>423</v>
      </c>
      <c r="D648">
        <f>_xlfn.XLOOKUP(clean_sales!I648,Dim_Product!B:B,Dim_Product!A:A)</f>
        <v>7</v>
      </c>
      <c r="E648">
        <f>clean_sales!L648</f>
        <v>2</v>
      </c>
      <c r="F648">
        <f>clean_sales!T648</f>
        <v>116000</v>
      </c>
    </row>
    <row r="649" spans="1:6" x14ac:dyDescent="0.35">
      <c r="A649" t="str">
        <v>TXN100647</v>
      </c>
      <c r="B649">
        <f>_xlfn.XLOOKUP(clean_sales!P649,Dim_Date!B:B,Dim_Date!A:A)</f>
        <v>20250902</v>
      </c>
      <c r="C649">
        <f>_xlfn.XLOOKUP(clean_sales!C649,Dim_Customer!B:B,Dim_Customer!A:A)</f>
        <v>353</v>
      </c>
      <c r="D649">
        <f>_xlfn.XLOOKUP(clean_sales!I649,Dim_Product!B:B,Dim_Product!A:A)</f>
        <v>7</v>
      </c>
      <c r="E649">
        <f>clean_sales!L649</f>
        <v>3</v>
      </c>
      <c r="F649">
        <f>clean_sales!T649</f>
        <v>174000</v>
      </c>
    </row>
    <row r="650" spans="1:6" x14ac:dyDescent="0.35">
      <c r="A650" t="str">
        <v>TXN100648</v>
      </c>
      <c r="B650">
        <f>_xlfn.XLOOKUP(clean_sales!P650,Dim_Date!B:B,Dim_Date!A:A)</f>
        <v>20250314</v>
      </c>
      <c r="C650">
        <f>_xlfn.XLOOKUP(clean_sales!C650,Dim_Customer!B:B,Dim_Customer!A:A)</f>
        <v>485</v>
      </c>
      <c r="D650">
        <f>_xlfn.XLOOKUP(clean_sales!I650,Dim_Product!B:B,Dim_Product!A:A)</f>
        <v>7</v>
      </c>
      <c r="E650">
        <f>clean_sales!L650</f>
        <v>3</v>
      </c>
      <c r="F650">
        <f>clean_sales!T650</f>
        <v>174000</v>
      </c>
    </row>
    <row r="651" spans="1:6" x14ac:dyDescent="0.35">
      <c r="A651" t="str">
        <v>TXN100649</v>
      </c>
      <c r="B651">
        <f>_xlfn.XLOOKUP(clean_sales!P651,Dim_Date!B:B,Dim_Date!A:A)</f>
        <v>20251025</v>
      </c>
      <c r="C651">
        <f>_xlfn.XLOOKUP(clean_sales!C651,Dim_Customer!B:B,Dim_Customer!A:A)</f>
        <v>486</v>
      </c>
      <c r="D651">
        <f>_xlfn.XLOOKUP(clean_sales!I651,Dim_Product!B:B,Dim_Product!A:A)</f>
        <v>1</v>
      </c>
      <c r="E651">
        <f>clean_sales!L651</f>
        <v>1</v>
      </c>
      <c r="F651">
        <f>clean_sales!T651</f>
        <v>12000</v>
      </c>
    </row>
    <row r="652" spans="1:6" x14ac:dyDescent="0.35">
      <c r="A652" t="str">
        <v>TXN100650</v>
      </c>
      <c r="B652">
        <f>_xlfn.XLOOKUP(clean_sales!P652,Dim_Date!B:B,Dim_Date!A:A)</f>
        <v>20250708</v>
      </c>
      <c r="C652">
        <f>_xlfn.XLOOKUP(clean_sales!C652,Dim_Customer!B:B,Dim_Customer!A:A)</f>
        <v>487</v>
      </c>
      <c r="D652">
        <f>_xlfn.XLOOKUP(clean_sales!I652,Dim_Product!B:B,Dim_Product!A:A)</f>
        <v>3</v>
      </c>
      <c r="E652">
        <f>clean_sales!L652</f>
        <v>4</v>
      </c>
      <c r="F652">
        <f>clean_sales!T652</f>
        <v>20000</v>
      </c>
    </row>
    <row r="653" spans="1:6" x14ac:dyDescent="0.35">
      <c r="A653" t="str">
        <v>TXN100651</v>
      </c>
      <c r="B653">
        <f>_xlfn.XLOOKUP(clean_sales!P653,Dim_Date!B:B,Dim_Date!A:A)</f>
        <v>20250109</v>
      </c>
      <c r="C653">
        <f>_xlfn.XLOOKUP(clean_sales!C653,Dim_Customer!B:B,Dim_Customer!A:A)</f>
        <v>488</v>
      </c>
      <c r="D653">
        <f>_xlfn.XLOOKUP(clean_sales!I653,Dim_Product!B:B,Dim_Product!A:A)</f>
        <v>5</v>
      </c>
      <c r="E653">
        <f>clean_sales!L653</f>
        <v>5</v>
      </c>
      <c r="F653">
        <f>clean_sales!T653</f>
        <v>9000</v>
      </c>
    </row>
    <row r="654" spans="1:6" x14ac:dyDescent="0.35">
      <c r="A654" t="str">
        <v>TXN100652</v>
      </c>
      <c r="B654">
        <f>_xlfn.XLOOKUP(clean_sales!P654,Dim_Date!B:B,Dim_Date!A:A)</f>
        <v>20250722</v>
      </c>
      <c r="C654">
        <f>_xlfn.XLOOKUP(clean_sales!C654,Dim_Customer!B:B,Dim_Customer!A:A)</f>
        <v>489</v>
      </c>
      <c r="D654">
        <f>_xlfn.XLOOKUP(clean_sales!I654,Dim_Product!B:B,Dim_Product!A:A)</f>
        <v>4</v>
      </c>
      <c r="E654">
        <f>clean_sales!L654</f>
        <v>1</v>
      </c>
      <c r="F654">
        <f>clean_sales!T654</f>
        <v>4500</v>
      </c>
    </row>
    <row r="655" spans="1:6" x14ac:dyDescent="0.35">
      <c r="A655" t="str">
        <v>TXN100653</v>
      </c>
      <c r="B655">
        <f>_xlfn.XLOOKUP(clean_sales!P655,Dim_Date!B:B,Dim_Date!A:A)</f>
        <v>20250223</v>
      </c>
      <c r="C655">
        <f>_xlfn.XLOOKUP(clean_sales!C655,Dim_Customer!B:B,Dim_Customer!A:A)</f>
        <v>383</v>
      </c>
      <c r="D655">
        <f>_xlfn.XLOOKUP(clean_sales!I655,Dim_Product!B:B,Dim_Product!A:A)</f>
        <v>6</v>
      </c>
      <c r="E655">
        <f>clean_sales!L655</f>
        <v>3</v>
      </c>
      <c r="F655">
        <f>clean_sales!T655</f>
        <v>216000</v>
      </c>
    </row>
    <row r="656" spans="1:6" x14ac:dyDescent="0.35">
      <c r="A656" t="str">
        <v>TXN100654</v>
      </c>
      <c r="B656">
        <f>_xlfn.XLOOKUP(clean_sales!P656,Dim_Date!B:B,Dim_Date!A:A)</f>
        <v>20250428</v>
      </c>
      <c r="C656">
        <f>_xlfn.XLOOKUP(clean_sales!C656,Dim_Customer!B:B,Dim_Customer!A:A)</f>
        <v>92</v>
      </c>
      <c r="D656">
        <f>_xlfn.XLOOKUP(clean_sales!I656,Dim_Product!B:B,Dim_Product!A:A)</f>
        <v>7</v>
      </c>
      <c r="E656">
        <f>clean_sales!L656</f>
        <v>3</v>
      </c>
      <c r="F656">
        <f>clean_sales!T656</f>
        <v>174000</v>
      </c>
    </row>
    <row r="657" spans="1:6" x14ac:dyDescent="0.35">
      <c r="A657" t="str">
        <v>TXN100655</v>
      </c>
      <c r="B657">
        <f>_xlfn.XLOOKUP(clean_sales!P657,Dim_Date!B:B,Dim_Date!A:A)</f>
        <v>20250105</v>
      </c>
      <c r="C657">
        <f>_xlfn.XLOOKUP(clean_sales!C657,Dim_Customer!B:B,Dim_Customer!A:A)</f>
        <v>484</v>
      </c>
      <c r="D657">
        <f>_xlfn.XLOOKUP(clean_sales!I657,Dim_Product!B:B,Dim_Product!A:A)</f>
        <v>2</v>
      </c>
      <c r="E657">
        <f>clean_sales!L657</f>
        <v>4</v>
      </c>
      <c r="F657">
        <f>clean_sales!T657</f>
        <v>260000</v>
      </c>
    </row>
    <row r="658" spans="1:6" x14ac:dyDescent="0.35">
      <c r="A658" t="str">
        <v>TXN100656</v>
      </c>
      <c r="B658">
        <f>_xlfn.XLOOKUP(clean_sales!P658,Dim_Date!B:B,Dim_Date!A:A)</f>
        <v>20250325</v>
      </c>
      <c r="C658">
        <f>_xlfn.XLOOKUP(clean_sales!C658,Dim_Customer!B:B,Dim_Customer!A:A)</f>
        <v>124</v>
      </c>
      <c r="D658">
        <f>_xlfn.XLOOKUP(clean_sales!I658,Dim_Product!B:B,Dim_Product!A:A)</f>
        <v>7</v>
      </c>
      <c r="E658">
        <f>clean_sales!L658</f>
        <v>1</v>
      </c>
      <c r="F658">
        <f>clean_sales!T658</f>
        <v>58000</v>
      </c>
    </row>
    <row r="659" spans="1:6" x14ac:dyDescent="0.35">
      <c r="A659" t="str">
        <v>TXN100657</v>
      </c>
      <c r="B659">
        <f>_xlfn.XLOOKUP(clean_sales!P659,Dim_Date!B:B,Dim_Date!A:A)</f>
        <v>20250531</v>
      </c>
      <c r="C659">
        <f>_xlfn.XLOOKUP(clean_sales!C659,Dim_Customer!B:B,Dim_Customer!A:A)</f>
        <v>386</v>
      </c>
      <c r="D659">
        <f>_xlfn.XLOOKUP(clean_sales!I659,Dim_Product!B:B,Dim_Product!A:A)</f>
        <v>2</v>
      </c>
      <c r="E659">
        <f>clean_sales!L659</f>
        <v>5</v>
      </c>
      <c r="F659">
        <f>clean_sales!T659</f>
        <v>325000</v>
      </c>
    </row>
    <row r="660" spans="1:6" x14ac:dyDescent="0.35">
      <c r="A660" t="str">
        <v>TXN100658</v>
      </c>
      <c r="B660">
        <f>_xlfn.XLOOKUP(clean_sales!P660,Dim_Date!B:B,Dim_Date!A:A)</f>
        <v>20250613</v>
      </c>
      <c r="C660">
        <f>_xlfn.XLOOKUP(clean_sales!C660,Dim_Customer!B:B,Dim_Customer!A:A)</f>
        <v>490</v>
      </c>
      <c r="D660">
        <f>_xlfn.XLOOKUP(clean_sales!I660,Dim_Product!B:B,Dim_Product!A:A)</f>
        <v>1</v>
      </c>
      <c r="E660">
        <f>clean_sales!L660</f>
        <v>1</v>
      </c>
      <c r="F660">
        <f>clean_sales!T660</f>
        <v>12000</v>
      </c>
    </row>
    <row r="661" spans="1:6" x14ac:dyDescent="0.35">
      <c r="A661" t="str">
        <v>TXN100659</v>
      </c>
      <c r="B661">
        <f>_xlfn.XLOOKUP(clean_sales!P661,Dim_Date!B:B,Dim_Date!A:A)</f>
        <v>20250616</v>
      </c>
      <c r="C661">
        <f>_xlfn.XLOOKUP(clean_sales!C661,Dim_Customer!B:B,Dim_Customer!A:A)</f>
        <v>126</v>
      </c>
      <c r="D661">
        <f>_xlfn.XLOOKUP(clean_sales!I661,Dim_Product!B:B,Dim_Product!A:A)</f>
        <v>1</v>
      </c>
      <c r="E661">
        <f>clean_sales!L661</f>
        <v>4</v>
      </c>
      <c r="F661">
        <f>clean_sales!T661</f>
        <v>48000</v>
      </c>
    </row>
    <row r="662" spans="1:6" x14ac:dyDescent="0.35">
      <c r="A662" t="str">
        <v>TXN100660</v>
      </c>
      <c r="B662">
        <f>_xlfn.XLOOKUP(clean_sales!P662,Dim_Date!B:B,Dim_Date!A:A)</f>
        <v>20250412</v>
      </c>
      <c r="C662">
        <f>_xlfn.XLOOKUP(clean_sales!C662,Dim_Customer!B:B,Dim_Customer!A:A)</f>
        <v>262</v>
      </c>
      <c r="D662">
        <f>_xlfn.XLOOKUP(clean_sales!I662,Dim_Product!B:B,Dim_Product!A:A)</f>
        <v>5</v>
      </c>
      <c r="E662">
        <f>clean_sales!L662</f>
        <v>1</v>
      </c>
      <c r="F662">
        <f>clean_sales!T662</f>
        <v>1800</v>
      </c>
    </row>
    <row r="663" spans="1:6" x14ac:dyDescent="0.35">
      <c r="A663" t="str">
        <v>TXN100661</v>
      </c>
      <c r="B663">
        <f>_xlfn.XLOOKUP(clean_sales!P663,Dim_Date!B:B,Dim_Date!A:A)</f>
        <v>20250522</v>
      </c>
      <c r="C663">
        <f>_xlfn.XLOOKUP(clean_sales!C663,Dim_Customer!B:B,Dim_Customer!A:A)</f>
        <v>424</v>
      </c>
      <c r="D663">
        <f>_xlfn.XLOOKUP(clean_sales!I663,Dim_Product!B:B,Dim_Product!A:A)</f>
        <v>7</v>
      </c>
      <c r="E663">
        <f>clean_sales!L663</f>
        <v>5</v>
      </c>
      <c r="F663">
        <f>clean_sales!T663</f>
        <v>290000</v>
      </c>
    </row>
    <row r="664" spans="1:6" x14ac:dyDescent="0.35">
      <c r="A664" t="str">
        <v>TXN100662</v>
      </c>
      <c r="B664">
        <f>_xlfn.XLOOKUP(clean_sales!P664,Dim_Date!B:B,Dim_Date!A:A)</f>
        <v>20250414</v>
      </c>
      <c r="C664">
        <f>_xlfn.XLOOKUP(clean_sales!C664,Dim_Customer!B:B,Dim_Customer!A:A)</f>
        <v>491</v>
      </c>
      <c r="D664">
        <f>_xlfn.XLOOKUP(clean_sales!I664,Dim_Product!B:B,Dim_Product!A:A)</f>
        <v>6</v>
      </c>
      <c r="E664">
        <f>clean_sales!L664</f>
        <v>1</v>
      </c>
      <c r="F664">
        <f>clean_sales!T664</f>
        <v>72000</v>
      </c>
    </row>
    <row r="665" spans="1:6" x14ac:dyDescent="0.35">
      <c r="A665" t="str">
        <v>TXN100663</v>
      </c>
      <c r="B665">
        <f>_xlfn.XLOOKUP(clean_sales!P665,Dim_Date!B:B,Dim_Date!A:A)</f>
        <v>20250430</v>
      </c>
      <c r="C665">
        <f>_xlfn.XLOOKUP(clean_sales!C665,Dim_Customer!B:B,Dim_Customer!A:A)</f>
        <v>36</v>
      </c>
      <c r="D665">
        <f>_xlfn.XLOOKUP(clean_sales!I665,Dim_Product!B:B,Dim_Product!A:A)</f>
        <v>3</v>
      </c>
      <c r="E665">
        <f>clean_sales!L665</f>
        <v>1</v>
      </c>
      <c r="F665">
        <f>clean_sales!T665</f>
        <v>5000</v>
      </c>
    </row>
    <row r="666" spans="1:6" x14ac:dyDescent="0.35">
      <c r="A666" t="str">
        <v>TXN100664</v>
      </c>
      <c r="B666">
        <f>_xlfn.XLOOKUP(clean_sales!P666,Dim_Date!B:B,Dim_Date!A:A)</f>
        <v>20250412</v>
      </c>
      <c r="C666">
        <f>_xlfn.XLOOKUP(clean_sales!C666,Dim_Customer!B:B,Dim_Customer!A:A)</f>
        <v>492</v>
      </c>
      <c r="D666">
        <f>_xlfn.XLOOKUP(clean_sales!I666,Dim_Product!B:B,Dim_Product!A:A)</f>
        <v>2</v>
      </c>
      <c r="E666">
        <f>clean_sales!L666</f>
        <v>4</v>
      </c>
      <c r="F666">
        <f>clean_sales!T666</f>
        <v>260000</v>
      </c>
    </row>
    <row r="667" spans="1:6" x14ac:dyDescent="0.35">
      <c r="A667" t="str">
        <v>TXN100665</v>
      </c>
      <c r="B667">
        <f>_xlfn.XLOOKUP(clean_sales!P667,Dim_Date!B:B,Dim_Date!A:A)</f>
        <v>20251005</v>
      </c>
      <c r="C667">
        <f>_xlfn.XLOOKUP(clean_sales!C667,Dim_Customer!B:B,Dim_Customer!A:A)</f>
        <v>82</v>
      </c>
      <c r="D667">
        <f>_xlfn.XLOOKUP(clean_sales!I667,Dim_Product!B:B,Dim_Product!A:A)</f>
        <v>5</v>
      </c>
      <c r="E667">
        <f>clean_sales!L667</f>
        <v>4</v>
      </c>
      <c r="F667">
        <f>clean_sales!T667</f>
        <v>7200</v>
      </c>
    </row>
    <row r="668" spans="1:6" x14ac:dyDescent="0.35">
      <c r="A668" t="str">
        <v>TXN100666</v>
      </c>
      <c r="B668">
        <f>_xlfn.XLOOKUP(clean_sales!P668,Dim_Date!B:B,Dim_Date!A:A)</f>
        <v>20250414</v>
      </c>
      <c r="C668">
        <f>_xlfn.XLOOKUP(clean_sales!C668,Dim_Customer!B:B,Dim_Customer!A:A)</f>
        <v>493</v>
      </c>
      <c r="D668">
        <f>_xlfn.XLOOKUP(clean_sales!I668,Dim_Product!B:B,Dim_Product!A:A)</f>
        <v>5</v>
      </c>
      <c r="E668">
        <f>clean_sales!L668</f>
        <v>4</v>
      </c>
      <c r="F668">
        <f>clean_sales!T668</f>
        <v>7200</v>
      </c>
    </row>
    <row r="669" spans="1:6" x14ac:dyDescent="0.35">
      <c r="A669" t="str">
        <v>TXN100667</v>
      </c>
      <c r="B669">
        <f>_xlfn.XLOOKUP(clean_sales!P669,Dim_Date!B:B,Dim_Date!A:A)</f>
        <v>20251031</v>
      </c>
      <c r="C669">
        <f>_xlfn.XLOOKUP(clean_sales!C669,Dim_Customer!B:B,Dim_Customer!A:A)</f>
        <v>494</v>
      </c>
      <c r="D669">
        <f>_xlfn.XLOOKUP(clean_sales!I669,Dim_Product!B:B,Dim_Product!A:A)</f>
        <v>3</v>
      </c>
      <c r="E669">
        <f>clean_sales!L669</f>
        <v>3</v>
      </c>
      <c r="F669">
        <f>clean_sales!T669</f>
        <v>15000</v>
      </c>
    </row>
    <row r="670" spans="1:6" x14ac:dyDescent="0.35">
      <c r="A670" t="str">
        <v>TXN100668</v>
      </c>
      <c r="B670">
        <f>_xlfn.XLOOKUP(clean_sales!P670,Dim_Date!B:B,Dim_Date!A:A)</f>
        <v>20250402</v>
      </c>
      <c r="C670">
        <f>_xlfn.XLOOKUP(clean_sales!C670,Dim_Customer!B:B,Dim_Customer!A:A)</f>
        <v>495</v>
      </c>
      <c r="D670">
        <f>_xlfn.XLOOKUP(clean_sales!I670,Dim_Product!B:B,Dim_Product!A:A)</f>
        <v>7</v>
      </c>
      <c r="E670">
        <f>clean_sales!L670</f>
        <v>3</v>
      </c>
      <c r="F670">
        <f>clean_sales!T670</f>
        <v>174000</v>
      </c>
    </row>
    <row r="671" spans="1:6" x14ac:dyDescent="0.35">
      <c r="A671" t="str">
        <v>TXN100669</v>
      </c>
      <c r="B671">
        <f>_xlfn.XLOOKUP(clean_sales!P671,Dim_Date!B:B,Dim_Date!A:A)</f>
        <v>20250203</v>
      </c>
      <c r="C671">
        <f>_xlfn.XLOOKUP(clean_sales!C671,Dim_Customer!B:B,Dim_Customer!A:A)</f>
        <v>373</v>
      </c>
      <c r="D671">
        <f>_xlfn.XLOOKUP(clean_sales!I671,Dim_Product!B:B,Dim_Product!A:A)</f>
        <v>3</v>
      </c>
      <c r="E671">
        <f>clean_sales!L671</f>
        <v>3</v>
      </c>
      <c r="F671">
        <f>clean_sales!T671</f>
        <v>15000</v>
      </c>
    </row>
    <row r="672" spans="1:6" x14ac:dyDescent="0.35">
      <c r="A672" t="str">
        <v>TXN100670</v>
      </c>
      <c r="B672">
        <f>_xlfn.XLOOKUP(clean_sales!P672,Dim_Date!B:B,Dim_Date!A:A)</f>
        <v>20250423</v>
      </c>
      <c r="C672">
        <f>_xlfn.XLOOKUP(clean_sales!C672,Dim_Customer!B:B,Dim_Customer!A:A)</f>
        <v>496</v>
      </c>
      <c r="D672">
        <f>_xlfn.XLOOKUP(clean_sales!I672,Dim_Product!B:B,Dim_Product!A:A)</f>
        <v>7</v>
      </c>
      <c r="E672">
        <f>clean_sales!L672</f>
        <v>5</v>
      </c>
      <c r="F672">
        <f>clean_sales!T672</f>
        <v>290000</v>
      </c>
    </row>
    <row r="673" spans="1:6" x14ac:dyDescent="0.35">
      <c r="A673" t="str">
        <v>TXN100671</v>
      </c>
      <c r="B673">
        <f>_xlfn.XLOOKUP(clean_sales!P673,Dim_Date!B:B,Dim_Date!A:A)</f>
        <v>20250320</v>
      </c>
      <c r="C673">
        <f>_xlfn.XLOOKUP(clean_sales!C673,Dim_Customer!B:B,Dim_Customer!A:A)</f>
        <v>260</v>
      </c>
      <c r="D673">
        <f>_xlfn.XLOOKUP(clean_sales!I673,Dim_Product!B:B,Dim_Product!A:A)</f>
        <v>1</v>
      </c>
      <c r="E673">
        <f>clean_sales!L673</f>
        <v>2</v>
      </c>
      <c r="F673">
        <f>clean_sales!T673</f>
        <v>24000</v>
      </c>
    </row>
    <row r="674" spans="1:6" x14ac:dyDescent="0.35">
      <c r="A674" t="str">
        <v>TXN100672</v>
      </c>
      <c r="B674">
        <f>_xlfn.XLOOKUP(clean_sales!P674,Dim_Date!B:B,Dim_Date!A:A)</f>
        <v>20250812</v>
      </c>
      <c r="C674">
        <f>_xlfn.XLOOKUP(clean_sales!C674,Dim_Customer!B:B,Dim_Customer!A:A)</f>
        <v>497</v>
      </c>
      <c r="D674">
        <f>_xlfn.XLOOKUP(clean_sales!I674,Dim_Product!B:B,Dim_Product!A:A)</f>
        <v>5</v>
      </c>
      <c r="E674">
        <f>clean_sales!L674</f>
        <v>5</v>
      </c>
      <c r="F674">
        <f>clean_sales!T674</f>
        <v>9000</v>
      </c>
    </row>
    <row r="675" spans="1:6" x14ac:dyDescent="0.35">
      <c r="A675" t="str">
        <v>TXN100673</v>
      </c>
      <c r="B675">
        <f>_xlfn.XLOOKUP(clean_sales!P675,Dim_Date!B:B,Dim_Date!A:A)</f>
        <v>20251007</v>
      </c>
      <c r="C675">
        <f>_xlfn.XLOOKUP(clean_sales!C675,Dim_Customer!B:B,Dim_Customer!A:A)</f>
        <v>498</v>
      </c>
      <c r="D675">
        <f>_xlfn.XLOOKUP(clean_sales!I675,Dim_Product!B:B,Dim_Product!A:A)</f>
        <v>4</v>
      </c>
      <c r="E675">
        <f>clean_sales!L675</f>
        <v>5</v>
      </c>
      <c r="F675">
        <f>clean_sales!T675</f>
        <v>22500</v>
      </c>
    </row>
    <row r="676" spans="1:6" x14ac:dyDescent="0.35">
      <c r="A676" t="str">
        <v>TXN100674</v>
      </c>
      <c r="B676">
        <f>_xlfn.XLOOKUP(clean_sales!P676,Dim_Date!B:B,Dim_Date!A:A)</f>
        <v>20250828</v>
      </c>
      <c r="C676">
        <f>_xlfn.XLOOKUP(clean_sales!C676,Dim_Customer!B:B,Dim_Customer!A:A)</f>
        <v>106</v>
      </c>
      <c r="D676">
        <f>_xlfn.XLOOKUP(clean_sales!I676,Dim_Product!B:B,Dim_Product!A:A)</f>
        <v>4</v>
      </c>
      <c r="E676">
        <f>clean_sales!L676</f>
        <v>5</v>
      </c>
      <c r="F676">
        <f>clean_sales!T676</f>
        <v>22500</v>
      </c>
    </row>
    <row r="677" spans="1:6" x14ac:dyDescent="0.35">
      <c r="A677" t="str">
        <v>TXN100675</v>
      </c>
      <c r="B677">
        <f>_xlfn.XLOOKUP(clean_sales!P677,Dim_Date!B:B,Dim_Date!A:A)</f>
        <v>20250706</v>
      </c>
      <c r="C677">
        <f>_xlfn.XLOOKUP(clean_sales!C677,Dim_Customer!B:B,Dim_Customer!A:A)</f>
        <v>431</v>
      </c>
      <c r="D677">
        <f>_xlfn.XLOOKUP(clean_sales!I677,Dim_Product!B:B,Dim_Product!A:A)</f>
        <v>5</v>
      </c>
      <c r="E677">
        <f>clean_sales!L677</f>
        <v>4</v>
      </c>
      <c r="F677">
        <f>clean_sales!T677</f>
        <v>7200</v>
      </c>
    </row>
    <row r="678" spans="1:6" x14ac:dyDescent="0.35">
      <c r="A678" t="str">
        <v>TXN100676</v>
      </c>
      <c r="B678">
        <f>_xlfn.XLOOKUP(clean_sales!P678,Dim_Date!B:B,Dim_Date!A:A)</f>
        <v>20250628</v>
      </c>
      <c r="C678">
        <f>_xlfn.XLOOKUP(clean_sales!C678,Dim_Customer!B:B,Dim_Customer!A:A)</f>
        <v>499</v>
      </c>
      <c r="D678">
        <f>_xlfn.XLOOKUP(clean_sales!I678,Dim_Product!B:B,Dim_Product!A:A)</f>
        <v>5</v>
      </c>
      <c r="E678">
        <f>clean_sales!L678</f>
        <v>3</v>
      </c>
      <c r="F678">
        <f>clean_sales!T678</f>
        <v>5400</v>
      </c>
    </row>
    <row r="679" spans="1:6" x14ac:dyDescent="0.35">
      <c r="A679" t="str">
        <v>TXN100677</v>
      </c>
      <c r="B679">
        <f>_xlfn.XLOOKUP(clean_sales!P679,Dim_Date!B:B,Dim_Date!A:A)</f>
        <v>20250919</v>
      </c>
      <c r="C679">
        <f>_xlfn.XLOOKUP(clean_sales!C679,Dim_Customer!B:B,Dim_Customer!A:A)</f>
        <v>208</v>
      </c>
      <c r="D679">
        <f>_xlfn.XLOOKUP(clean_sales!I679,Dim_Product!B:B,Dim_Product!A:A)</f>
        <v>3</v>
      </c>
      <c r="E679">
        <f>clean_sales!L679</f>
        <v>2</v>
      </c>
      <c r="F679">
        <f>clean_sales!T679</f>
        <v>10000</v>
      </c>
    </row>
    <row r="680" spans="1:6" x14ac:dyDescent="0.35">
      <c r="A680" t="str">
        <v>TXN100678</v>
      </c>
      <c r="B680">
        <f>_xlfn.XLOOKUP(clean_sales!P680,Dim_Date!B:B,Dim_Date!A:A)</f>
        <v>20250512</v>
      </c>
      <c r="C680">
        <f>_xlfn.XLOOKUP(clean_sales!C680,Dim_Customer!B:B,Dim_Customer!A:A)</f>
        <v>500</v>
      </c>
      <c r="D680">
        <f>_xlfn.XLOOKUP(clean_sales!I680,Dim_Product!B:B,Dim_Product!A:A)</f>
        <v>6</v>
      </c>
      <c r="E680">
        <f>clean_sales!L680</f>
        <v>3</v>
      </c>
      <c r="F680">
        <f>clean_sales!T680</f>
        <v>216000</v>
      </c>
    </row>
    <row r="681" spans="1:6" x14ac:dyDescent="0.35">
      <c r="A681" t="str">
        <v>TXN100679</v>
      </c>
      <c r="B681">
        <f>_xlfn.XLOOKUP(clean_sales!P681,Dim_Date!B:B,Dim_Date!A:A)</f>
        <v>20250310</v>
      </c>
      <c r="C681">
        <f>_xlfn.XLOOKUP(clean_sales!C681,Dim_Customer!B:B,Dim_Customer!A:A)</f>
        <v>501</v>
      </c>
      <c r="D681">
        <f>_xlfn.XLOOKUP(clean_sales!I681,Dim_Product!B:B,Dim_Product!A:A)</f>
        <v>5</v>
      </c>
      <c r="E681">
        <f>clean_sales!L681</f>
        <v>1</v>
      </c>
      <c r="F681">
        <f>clean_sales!T681</f>
        <v>1800</v>
      </c>
    </row>
    <row r="682" spans="1:6" x14ac:dyDescent="0.35">
      <c r="A682" t="str">
        <v>TXN100680</v>
      </c>
      <c r="B682">
        <f>_xlfn.XLOOKUP(clean_sales!P682,Dim_Date!B:B,Dim_Date!A:A)</f>
        <v>20250429</v>
      </c>
      <c r="C682">
        <f>_xlfn.XLOOKUP(clean_sales!C682,Dim_Customer!B:B,Dim_Customer!A:A)</f>
        <v>502</v>
      </c>
      <c r="D682">
        <f>_xlfn.XLOOKUP(clean_sales!I682,Dim_Product!B:B,Dim_Product!A:A)</f>
        <v>3</v>
      </c>
      <c r="E682">
        <f>clean_sales!L682</f>
        <v>3</v>
      </c>
      <c r="F682">
        <f>clean_sales!T682</f>
        <v>15000</v>
      </c>
    </row>
    <row r="683" spans="1:6" x14ac:dyDescent="0.35">
      <c r="A683" t="str">
        <v>TXN100681</v>
      </c>
      <c r="B683">
        <f>_xlfn.XLOOKUP(clean_sales!P683,Dim_Date!B:B,Dim_Date!A:A)</f>
        <v>20251011</v>
      </c>
      <c r="C683">
        <f>_xlfn.XLOOKUP(clean_sales!C683,Dim_Customer!B:B,Dim_Customer!A:A)</f>
        <v>503</v>
      </c>
      <c r="D683">
        <f>_xlfn.XLOOKUP(clean_sales!I683,Dim_Product!B:B,Dim_Product!A:A)</f>
        <v>5</v>
      </c>
      <c r="E683">
        <f>clean_sales!L683</f>
        <v>3</v>
      </c>
      <c r="F683">
        <f>clean_sales!T683</f>
        <v>5400</v>
      </c>
    </row>
    <row r="684" spans="1:6" x14ac:dyDescent="0.35">
      <c r="A684" t="str">
        <v>TXN100682</v>
      </c>
      <c r="B684">
        <f>_xlfn.XLOOKUP(clean_sales!P684,Dim_Date!B:B,Dim_Date!A:A)</f>
        <v>20250907</v>
      </c>
      <c r="C684">
        <f>_xlfn.XLOOKUP(clean_sales!C684,Dim_Customer!B:B,Dim_Customer!A:A)</f>
        <v>504</v>
      </c>
      <c r="D684">
        <f>_xlfn.XLOOKUP(clean_sales!I684,Dim_Product!B:B,Dim_Product!A:A)</f>
        <v>3</v>
      </c>
      <c r="E684">
        <f>clean_sales!L684</f>
        <v>4</v>
      </c>
      <c r="F684">
        <f>clean_sales!T684</f>
        <v>20000</v>
      </c>
    </row>
    <row r="685" spans="1:6" x14ac:dyDescent="0.35">
      <c r="A685" t="str">
        <v>TXN100683</v>
      </c>
      <c r="B685">
        <f>_xlfn.XLOOKUP(clean_sales!P685,Dim_Date!B:B,Dim_Date!A:A)</f>
        <v>20250212</v>
      </c>
      <c r="C685">
        <f>_xlfn.XLOOKUP(clean_sales!C685,Dim_Customer!B:B,Dim_Customer!A:A)</f>
        <v>505</v>
      </c>
      <c r="D685">
        <f>_xlfn.XLOOKUP(clean_sales!I685,Dim_Product!B:B,Dim_Product!A:A)</f>
        <v>3</v>
      </c>
      <c r="E685">
        <f>clean_sales!L685</f>
        <v>2</v>
      </c>
      <c r="F685">
        <f>clean_sales!T685</f>
        <v>10000</v>
      </c>
    </row>
    <row r="686" spans="1:6" x14ac:dyDescent="0.35">
      <c r="A686" t="str">
        <v>TXN100684</v>
      </c>
      <c r="B686">
        <f>_xlfn.XLOOKUP(clean_sales!P686,Dim_Date!B:B,Dim_Date!A:A)</f>
        <v>20250910</v>
      </c>
      <c r="C686">
        <f>_xlfn.XLOOKUP(clean_sales!C686,Dim_Customer!B:B,Dim_Customer!A:A)</f>
        <v>93</v>
      </c>
      <c r="D686">
        <f>_xlfn.XLOOKUP(clean_sales!I686,Dim_Product!B:B,Dim_Product!A:A)</f>
        <v>3</v>
      </c>
      <c r="E686">
        <f>clean_sales!L686</f>
        <v>3</v>
      </c>
      <c r="F686">
        <f>clean_sales!T686</f>
        <v>15000</v>
      </c>
    </row>
    <row r="687" spans="1:6" x14ac:dyDescent="0.35">
      <c r="A687" t="str">
        <v>TXN100685</v>
      </c>
      <c r="B687">
        <f>_xlfn.XLOOKUP(clean_sales!P687,Dim_Date!B:B,Dim_Date!A:A)</f>
        <v>20250815</v>
      </c>
      <c r="C687">
        <f>_xlfn.XLOOKUP(clean_sales!C687,Dim_Customer!B:B,Dim_Customer!A:A)</f>
        <v>482</v>
      </c>
      <c r="D687">
        <f>_xlfn.XLOOKUP(clean_sales!I687,Dim_Product!B:B,Dim_Product!A:A)</f>
        <v>6</v>
      </c>
      <c r="E687">
        <f>clean_sales!L687</f>
        <v>4</v>
      </c>
      <c r="F687">
        <f>clean_sales!T687</f>
        <v>288000</v>
      </c>
    </row>
    <row r="688" spans="1:6" x14ac:dyDescent="0.35">
      <c r="A688" t="str">
        <v>TXN100686</v>
      </c>
      <c r="B688">
        <f>_xlfn.XLOOKUP(clean_sales!P688,Dim_Date!B:B,Dim_Date!A:A)</f>
        <v>20251230</v>
      </c>
      <c r="C688">
        <f>_xlfn.XLOOKUP(clean_sales!C688,Dim_Customer!B:B,Dim_Customer!A:A)</f>
        <v>506</v>
      </c>
      <c r="D688">
        <f>_xlfn.XLOOKUP(clean_sales!I688,Dim_Product!B:B,Dim_Product!A:A)</f>
        <v>2</v>
      </c>
      <c r="E688">
        <f>clean_sales!L688</f>
        <v>3</v>
      </c>
      <c r="F688">
        <f>clean_sales!T688</f>
        <v>195000</v>
      </c>
    </row>
    <row r="689" spans="1:6" x14ac:dyDescent="0.35">
      <c r="A689" t="str">
        <v>TXN100687</v>
      </c>
      <c r="B689">
        <f>_xlfn.XLOOKUP(clean_sales!P689,Dim_Date!B:B,Dim_Date!A:A)</f>
        <v>20251206</v>
      </c>
      <c r="C689">
        <f>_xlfn.XLOOKUP(clean_sales!C689,Dim_Customer!B:B,Dim_Customer!A:A)</f>
        <v>459</v>
      </c>
      <c r="D689">
        <f>_xlfn.XLOOKUP(clean_sales!I689,Dim_Product!B:B,Dim_Product!A:A)</f>
        <v>6</v>
      </c>
      <c r="E689">
        <f>clean_sales!L689</f>
        <v>2</v>
      </c>
      <c r="F689">
        <f>clean_sales!T689</f>
        <v>144000</v>
      </c>
    </row>
    <row r="690" spans="1:6" x14ac:dyDescent="0.35">
      <c r="A690" t="str">
        <v>TXN100688</v>
      </c>
      <c r="B690">
        <f>_xlfn.XLOOKUP(clean_sales!P690,Dim_Date!B:B,Dim_Date!A:A)</f>
        <v>20250724</v>
      </c>
      <c r="C690">
        <f>_xlfn.XLOOKUP(clean_sales!C690,Dim_Customer!B:B,Dim_Customer!A:A)</f>
        <v>90</v>
      </c>
      <c r="D690">
        <f>_xlfn.XLOOKUP(clean_sales!I690,Dim_Product!B:B,Dim_Product!A:A)</f>
        <v>2</v>
      </c>
      <c r="E690">
        <f>clean_sales!L690</f>
        <v>2</v>
      </c>
      <c r="F690">
        <f>clean_sales!T690</f>
        <v>130000</v>
      </c>
    </row>
    <row r="691" spans="1:6" x14ac:dyDescent="0.35">
      <c r="A691" t="str">
        <v>TXN100689</v>
      </c>
      <c r="B691">
        <f>_xlfn.XLOOKUP(clean_sales!P691,Dim_Date!B:B,Dim_Date!A:A)</f>
        <v>20250909</v>
      </c>
      <c r="C691">
        <f>_xlfn.XLOOKUP(clean_sales!C691,Dim_Customer!B:B,Dim_Customer!A:A)</f>
        <v>48</v>
      </c>
      <c r="D691">
        <f>_xlfn.XLOOKUP(clean_sales!I691,Dim_Product!B:B,Dim_Product!A:A)</f>
        <v>7</v>
      </c>
      <c r="E691">
        <f>clean_sales!L691</f>
        <v>1</v>
      </c>
      <c r="F691">
        <f>clean_sales!T691</f>
        <v>58000</v>
      </c>
    </row>
    <row r="692" spans="1:6" x14ac:dyDescent="0.35">
      <c r="A692" t="str">
        <v>TXN100690</v>
      </c>
      <c r="B692">
        <f>_xlfn.XLOOKUP(clean_sales!P692,Dim_Date!B:B,Dim_Date!A:A)</f>
        <v>20251108</v>
      </c>
      <c r="C692">
        <f>_xlfn.XLOOKUP(clean_sales!C692,Dim_Customer!B:B,Dim_Customer!A:A)</f>
        <v>25</v>
      </c>
      <c r="D692">
        <f>_xlfn.XLOOKUP(clean_sales!I692,Dim_Product!B:B,Dim_Product!A:A)</f>
        <v>6</v>
      </c>
      <c r="E692">
        <f>clean_sales!L692</f>
        <v>1</v>
      </c>
      <c r="F692">
        <f>clean_sales!T692</f>
        <v>72000</v>
      </c>
    </row>
    <row r="693" spans="1:6" x14ac:dyDescent="0.35">
      <c r="A693" t="str">
        <v>TXN100691</v>
      </c>
      <c r="B693">
        <f>_xlfn.XLOOKUP(clean_sales!P693,Dim_Date!B:B,Dim_Date!A:A)</f>
        <v>20251213</v>
      </c>
      <c r="C693">
        <f>_xlfn.XLOOKUP(clean_sales!C693,Dim_Customer!B:B,Dim_Customer!A:A)</f>
        <v>389</v>
      </c>
      <c r="D693">
        <f>_xlfn.XLOOKUP(clean_sales!I693,Dim_Product!B:B,Dim_Product!A:A)</f>
        <v>1</v>
      </c>
      <c r="E693">
        <f>clean_sales!L693</f>
        <v>1</v>
      </c>
      <c r="F693">
        <f>clean_sales!T693</f>
        <v>12000</v>
      </c>
    </row>
    <row r="694" spans="1:6" x14ac:dyDescent="0.35">
      <c r="A694" t="str">
        <v>TXN100692</v>
      </c>
      <c r="B694">
        <f>_xlfn.XLOOKUP(clean_sales!P694,Dim_Date!B:B,Dim_Date!A:A)</f>
        <v>20250620</v>
      </c>
      <c r="C694">
        <f>_xlfn.XLOOKUP(clean_sales!C694,Dim_Customer!B:B,Dim_Customer!A:A)</f>
        <v>507</v>
      </c>
      <c r="D694">
        <f>_xlfn.XLOOKUP(clean_sales!I694,Dim_Product!B:B,Dim_Product!A:A)</f>
        <v>3</v>
      </c>
      <c r="E694">
        <f>clean_sales!L694</f>
        <v>1</v>
      </c>
      <c r="F694">
        <f>clean_sales!T694</f>
        <v>5000</v>
      </c>
    </row>
    <row r="695" spans="1:6" x14ac:dyDescent="0.35">
      <c r="A695" t="str">
        <v>TXN100693</v>
      </c>
      <c r="B695">
        <f>_xlfn.XLOOKUP(clean_sales!P695,Dim_Date!B:B,Dim_Date!A:A)</f>
        <v>20250504</v>
      </c>
      <c r="C695">
        <f>_xlfn.XLOOKUP(clean_sales!C695,Dim_Customer!B:B,Dim_Customer!A:A)</f>
        <v>16</v>
      </c>
      <c r="D695">
        <f>_xlfn.XLOOKUP(clean_sales!I695,Dim_Product!B:B,Dim_Product!A:A)</f>
        <v>2</v>
      </c>
      <c r="E695">
        <f>clean_sales!L695</f>
        <v>3</v>
      </c>
      <c r="F695">
        <f>clean_sales!T695</f>
        <v>195000</v>
      </c>
    </row>
    <row r="696" spans="1:6" x14ac:dyDescent="0.35">
      <c r="A696" t="str">
        <v>TXN100694</v>
      </c>
      <c r="B696">
        <f>_xlfn.XLOOKUP(clean_sales!P696,Dim_Date!B:B,Dim_Date!A:A)</f>
        <v>20250117</v>
      </c>
      <c r="C696">
        <f>_xlfn.XLOOKUP(clean_sales!C696,Dim_Customer!B:B,Dim_Customer!A:A)</f>
        <v>103</v>
      </c>
      <c r="D696">
        <f>_xlfn.XLOOKUP(clean_sales!I696,Dim_Product!B:B,Dim_Product!A:A)</f>
        <v>2</v>
      </c>
      <c r="E696">
        <f>clean_sales!L696</f>
        <v>4</v>
      </c>
      <c r="F696">
        <f>clean_sales!T696</f>
        <v>260000</v>
      </c>
    </row>
    <row r="697" spans="1:6" x14ac:dyDescent="0.35">
      <c r="A697" t="str">
        <v>TXN100695</v>
      </c>
      <c r="B697">
        <f>_xlfn.XLOOKUP(clean_sales!P697,Dim_Date!B:B,Dim_Date!A:A)</f>
        <v>20250520</v>
      </c>
      <c r="C697">
        <f>_xlfn.XLOOKUP(clean_sales!C697,Dim_Customer!B:B,Dim_Customer!A:A)</f>
        <v>508</v>
      </c>
      <c r="D697">
        <f>_xlfn.XLOOKUP(clean_sales!I697,Dim_Product!B:B,Dim_Product!A:A)</f>
        <v>4</v>
      </c>
      <c r="E697">
        <f>clean_sales!L697</f>
        <v>1</v>
      </c>
      <c r="F697">
        <f>clean_sales!T697</f>
        <v>4500</v>
      </c>
    </row>
    <row r="698" spans="1:6" x14ac:dyDescent="0.35">
      <c r="A698" t="str">
        <v>TXN100696</v>
      </c>
      <c r="B698">
        <f>_xlfn.XLOOKUP(clean_sales!P698,Dim_Date!B:B,Dim_Date!A:A)</f>
        <v>20251124</v>
      </c>
      <c r="C698">
        <f>_xlfn.XLOOKUP(clean_sales!C698,Dim_Customer!B:B,Dim_Customer!A:A)</f>
        <v>82</v>
      </c>
      <c r="D698">
        <f>_xlfn.XLOOKUP(clean_sales!I698,Dim_Product!B:B,Dim_Product!A:A)</f>
        <v>7</v>
      </c>
      <c r="E698">
        <f>clean_sales!L698</f>
        <v>3</v>
      </c>
      <c r="F698">
        <f>clean_sales!T698</f>
        <v>174000</v>
      </c>
    </row>
    <row r="699" spans="1:6" x14ac:dyDescent="0.35">
      <c r="A699" t="str">
        <v>TXN100697</v>
      </c>
      <c r="B699">
        <f>_xlfn.XLOOKUP(clean_sales!P699,Dim_Date!B:B,Dim_Date!A:A)</f>
        <v>20251227</v>
      </c>
      <c r="C699">
        <f>_xlfn.XLOOKUP(clean_sales!C699,Dim_Customer!B:B,Dim_Customer!A:A)</f>
        <v>144</v>
      </c>
      <c r="D699">
        <f>_xlfn.XLOOKUP(clean_sales!I699,Dim_Product!B:B,Dim_Product!A:A)</f>
        <v>5</v>
      </c>
      <c r="E699">
        <f>clean_sales!L699</f>
        <v>4</v>
      </c>
      <c r="F699">
        <f>clean_sales!T699</f>
        <v>7200</v>
      </c>
    </row>
    <row r="700" spans="1:6" x14ac:dyDescent="0.35">
      <c r="A700" t="str">
        <v>TXN100698</v>
      </c>
      <c r="B700">
        <f>_xlfn.XLOOKUP(clean_sales!P700,Dim_Date!B:B,Dim_Date!A:A)</f>
        <v>20250716</v>
      </c>
      <c r="C700">
        <f>_xlfn.XLOOKUP(clean_sales!C700,Dim_Customer!B:B,Dim_Customer!A:A)</f>
        <v>509</v>
      </c>
      <c r="D700">
        <f>_xlfn.XLOOKUP(clean_sales!I700,Dim_Product!B:B,Dim_Product!A:A)</f>
        <v>1</v>
      </c>
      <c r="E700">
        <f>clean_sales!L700</f>
        <v>4</v>
      </c>
      <c r="F700">
        <f>clean_sales!T700</f>
        <v>48000</v>
      </c>
    </row>
    <row r="701" spans="1:6" x14ac:dyDescent="0.35">
      <c r="A701" t="str">
        <v>TXN100699</v>
      </c>
      <c r="B701">
        <f>_xlfn.XLOOKUP(clean_sales!P701,Dim_Date!B:B,Dim_Date!A:A)</f>
        <v>20250423</v>
      </c>
      <c r="C701">
        <f>_xlfn.XLOOKUP(clean_sales!C701,Dim_Customer!B:B,Dim_Customer!A:A)</f>
        <v>150</v>
      </c>
      <c r="D701">
        <f>_xlfn.XLOOKUP(clean_sales!I701,Dim_Product!B:B,Dim_Product!A:A)</f>
        <v>1</v>
      </c>
      <c r="E701">
        <f>clean_sales!L701</f>
        <v>5</v>
      </c>
      <c r="F701">
        <f>clean_sales!T701</f>
        <v>60000</v>
      </c>
    </row>
    <row r="702" spans="1:6" x14ac:dyDescent="0.35">
      <c r="A702" t="str">
        <v>TXN100700</v>
      </c>
      <c r="B702">
        <f>_xlfn.XLOOKUP(clean_sales!P702,Dim_Date!B:B,Dim_Date!A:A)</f>
        <v>20251123</v>
      </c>
      <c r="C702">
        <f>_xlfn.XLOOKUP(clean_sales!C702,Dim_Customer!B:B,Dim_Customer!A:A)</f>
        <v>510</v>
      </c>
      <c r="D702">
        <f>_xlfn.XLOOKUP(clean_sales!I702,Dim_Product!B:B,Dim_Product!A:A)</f>
        <v>7</v>
      </c>
      <c r="E702">
        <f>clean_sales!L702</f>
        <v>1</v>
      </c>
      <c r="F702">
        <f>clean_sales!T702</f>
        <v>58000</v>
      </c>
    </row>
    <row r="703" spans="1:6" x14ac:dyDescent="0.35">
      <c r="A703" t="str">
        <v>TXN100701</v>
      </c>
      <c r="B703">
        <f>_xlfn.XLOOKUP(clean_sales!P703,Dim_Date!B:B,Dim_Date!A:A)</f>
        <v>20250511</v>
      </c>
      <c r="C703">
        <f>_xlfn.XLOOKUP(clean_sales!C703,Dim_Customer!B:B,Dim_Customer!A:A)</f>
        <v>95</v>
      </c>
      <c r="D703">
        <f>_xlfn.XLOOKUP(clean_sales!I703,Dim_Product!B:B,Dim_Product!A:A)</f>
        <v>2</v>
      </c>
      <c r="E703">
        <f>clean_sales!L703</f>
        <v>2</v>
      </c>
      <c r="F703">
        <f>clean_sales!T703</f>
        <v>130000</v>
      </c>
    </row>
    <row r="704" spans="1:6" x14ac:dyDescent="0.35">
      <c r="A704" t="str">
        <v>TXN100702</v>
      </c>
      <c r="B704">
        <f>_xlfn.XLOOKUP(clean_sales!P704,Dim_Date!B:B,Dim_Date!A:A)</f>
        <v>20250329</v>
      </c>
      <c r="C704">
        <f>_xlfn.XLOOKUP(clean_sales!C704,Dim_Customer!B:B,Dim_Customer!A:A)</f>
        <v>71</v>
      </c>
      <c r="D704">
        <f>_xlfn.XLOOKUP(clean_sales!I704,Dim_Product!B:B,Dim_Product!A:A)</f>
        <v>5</v>
      </c>
      <c r="E704">
        <f>clean_sales!L704</f>
        <v>5</v>
      </c>
      <c r="F704">
        <f>clean_sales!T704</f>
        <v>9000</v>
      </c>
    </row>
    <row r="705" spans="1:6" x14ac:dyDescent="0.35">
      <c r="A705" t="str">
        <v>TXN100703</v>
      </c>
      <c r="B705">
        <f>_xlfn.XLOOKUP(clean_sales!P705,Dim_Date!B:B,Dim_Date!A:A)</f>
        <v>20250507</v>
      </c>
      <c r="C705">
        <f>_xlfn.XLOOKUP(clean_sales!C705,Dim_Customer!B:B,Dim_Customer!A:A)</f>
        <v>149</v>
      </c>
      <c r="D705">
        <f>_xlfn.XLOOKUP(clean_sales!I705,Dim_Product!B:B,Dim_Product!A:A)</f>
        <v>5</v>
      </c>
      <c r="E705">
        <f>clean_sales!L705</f>
        <v>4</v>
      </c>
      <c r="F705">
        <f>clean_sales!T705</f>
        <v>7200</v>
      </c>
    </row>
    <row r="706" spans="1:6" x14ac:dyDescent="0.35">
      <c r="A706" t="str">
        <v>TXN100704</v>
      </c>
      <c r="B706">
        <f>_xlfn.XLOOKUP(clean_sales!P706,Dim_Date!B:B,Dim_Date!A:A)</f>
        <v>20250823</v>
      </c>
      <c r="C706">
        <f>_xlfn.XLOOKUP(clean_sales!C706,Dim_Customer!B:B,Dim_Customer!A:A)</f>
        <v>423</v>
      </c>
      <c r="D706">
        <f>_xlfn.XLOOKUP(clean_sales!I706,Dim_Product!B:B,Dim_Product!A:A)</f>
        <v>7</v>
      </c>
      <c r="E706">
        <f>clean_sales!L706</f>
        <v>1</v>
      </c>
      <c r="F706">
        <f>clean_sales!T706</f>
        <v>58000</v>
      </c>
    </row>
    <row r="707" spans="1:6" x14ac:dyDescent="0.35">
      <c r="A707" t="str">
        <v>TXN100705</v>
      </c>
      <c r="B707">
        <f>_xlfn.XLOOKUP(clean_sales!P707,Dim_Date!B:B,Dim_Date!A:A)</f>
        <v>20250126</v>
      </c>
      <c r="C707">
        <f>_xlfn.XLOOKUP(clean_sales!C707,Dim_Customer!B:B,Dim_Customer!A:A)</f>
        <v>511</v>
      </c>
      <c r="D707">
        <f>_xlfn.XLOOKUP(clean_sales!I707,Dim_Product!B:B,Dim_Product!A:A)</f>
        <v>5</v>
      </c>
      <c r="E707">
        <f>clean_sales!L707</f>
        <v>4</v>
      </c>
      <c r="F707">
        <f>clean_sales!T707</f>
        <v>7200</v>
      </c>
    </row>
    <row r="708" spans="1:6" x14ac:dyDescent="0.35">
      <c r="A708" t="str">
        <v>TXN100706</v>
      </c>
      <c r="B708">
        <f>_xlfn.XLOOKUP(clean_sales!P708,Dim_Date!B:B,Dim_Date!A:A)</f>
        <v>20250203</v>
      </c>
      <c r="C708">
        <f>_xlfn.XLOOKUP(clean_sales!C708,Dim_Customer!B:B,Dim_Customer!A:A)</f>
        <v>512</v>
      </c>
      <c r="D708">
        <f>_xlfn.XLOOKUP(clean_sales!I708,Dim_Product!B:B,Dim_Product!A:A)</f>
        <v>2</v>
      </c>
      <c r="E708">
        <f>clean_sales!L708</f>
        <v>5</v>
      </c>
      <c r="F708">
        <f>clean_sales!T708</f>
        <v>325000</v>
      </c>
    </row>
    <row r="709" spans="1:6" x14ac:dyDescent="0.35">
      <c r="A709" t="str">
        <v>TXN100707</v>
      </c>
      <c r="B709">
        <f>_xlfn.XLOOKUP(clean_sales!P709,Dim_Date!B:B,Dim_Date!A:A)</f>
        <v>20250410</v>
      </c>
      <c r="C709">
        <f>_xlfn.XLOOKUP(clean_sales!C709,Dim_Customer!B:B,Dim_Customer!A:A)</f>
        <v>513</v>
      </c>
      <c r="D709">
        <f>_xlfn.XLOOKUP(clean_sales!I709,Dim_Product!B:B,Dim_Product!A:A)</f>
        <v>4</v>
      </c>
      <c r="E709">
        <f>clean_sales!L709</f>
        <v>3</v>
      </c>
      <c r="F709">
        <f>clean_sales!T709</f>
        <v>13500</v>
      </c>
    </row>
    <row r="710" spans="1:6" x14ac:dyDescent="0.35">
      <c r="A710" t="str">
        <v>TXN100708</v>
      </c>
      <c r="B710">
        <f>_xlfn.XLOOKUP(clean_sales!P710,Dim_Date!B:B,Dim_Date!A:A)</f>
        <v>20250801</v>
      </c>
      <c r="C710">
        <f>_xlfn.XLOOKUP(clean_sales!C710,Dim_Customer!B:B,Dim_Customer!A:A)</f>
        <v>206</v>
      </c>
      <c r="D710">
        <f>_xlfn.XLOOKUP(clean_sales!I710,Dim_Product!B:B,Dim_Product!A:A)</f>
        <v>5</v>
      </c>
      <c r="E710">
        <f>clean_sales!L710</f>
        <v>2</v>
      </c>
      <c r="F710">
        <f>clean_sales!T710</f>
        <v>3600</v>
      </c>
    </row>
    <row r="711" spans="1:6" x14ac:dyDescent="0.35">
      <c r="A711" t="str">
        <v>TXN100709</v>
      </c>
      <c r="B711">
        <f>_xlfn.XLOOKUP(clean_sales!P711,Dim_Date!B:B,Dim_Date!A:A)</f>
        <v>20250228</v>
      </c>
      <c r="C711">
        <f>_xlfn.XLOOKUP(clean_sales!C711,Dim_Customer!B:B,Dim_Customer!A:A)</f>
        <v>159</v>
      </c>
      <c r="D711">
        <f>_xlfn.XLOOKUP(clean_sales!I711,Dim_Product!B:B,Dim_Product!A:A)</f>
        <v>6</v>
      </c>
      <c r="E711">
        <f>clean_sales!L711</f>
        <v>1</v>
      </c>
      <c r="F711">
        <f>clean_sales!T711</f>
        <v>72000</v>
      </c>
    </row>
    <row r="712" spans="1:6" x14ac:dyDescent="0.35">
      <c r="A712" t="str">
        <v>TXN100710</v>
      </c>
      <c r="B712">
        <f>_xlfn.XLOOKUP(clean_sales!P712,Dim_Date!B:B,Dim_Date!A:A)</f>
        <v>20251207</v>
      </c>
      <c r="C712">
        <f>_xlfn.XLOOKUP(clean_sales!C712,Dim_Customer!B:B,Dim_Customer!A:A)</f>
        <v>108</v>
      </c>
      <c r="D712">
        <f>_xlfn.XLOOKUP(clean_sales!I712,Dim_Product!B:B,Dim_Product!A:A)</f>
        <v>3</v>
      </c>
      <c r="E712">
        <f>clean_sales!L712</f>
        <v>4</v>
      </c>
      <c r="F712">
        <f>clean_sales!T712</f>
        <v>20000</v>
      </c>
    </row>
    <row r="713" spans="1:6" x14ac:dyDescent="0.35">
      <c r="A713" t="str">
        <v>TXN100711</v>
      </c>
      <c r="B713">
        <f>_xlfn.XLOOKUP(clean_sales!P713,Dim_Date!B:B,Dim_Date!A:A)</f>
        <v>20250507</v>
      </c>
      <c r="C713">
        <f>_xlfn.XLOOKUP(clean_sales!C713,Dim_Customer!B:B,Dim_Customer!A:A)</f>
        <v>514</v>
      </c>
      <c r="D713">
        <f>_xlfn.XLOOKUP(clean_sales!I713,Dim_Product!B:B,Dim_Product!A:A)</f>
        <v>4</v>
      </c>
      <c r="E713">
        <f>clean_sales!L713</f>
        <v>5</v>
      </c>
      <c r="F713">
        <f>clean_sales!T713</f>
        <v>22500</v>
      </c>
    </row>
    <row r="714" spans="1:6" x14ac:dyDescent="0.35">
      <c r="A714" t="str">
        <v>TXN100712</v>
      </c>
      <c r="B714">
        <f>_xlfn.XLOOKUP(clean_sales!P714,Dim_Date!B:B,Dim_Date!A:A)</f>
        <v>20251108</v>
      </c>
      <c r="C714">
        <f>_xlfn.XLOOKUP(clean_sales!C714,Dim_Customer!B:B,Dim_Customer!A:A)</f>
        <v>515</v>
      </c>
      <c r="D714">
        <f>_xlfn.XLOOKUP(clean_sales!I714,Dim_Product!B:B,Dim_Product!A:A)</f>
        <v>7</v>
      </c>
      <c r="E714">
        <f>clean_sales!L714</f>
        <v>1</v>
      </c>
      <c r="F714">
        <f>clean_sales!T714</f>
        <v>58000</v>
      </c>
    </row>
    <row r="715" spans="1:6" x14ac:dyDescent="0.35">
      <c r="A715" t="str">
        <v>TXN100713</v>
      </c>
      <c r="B715">
        <f>_xlfn.XLOOKUP(clean_sales!P715,Dim_Date!B:B,Dim_Date!A:A)</f>
        <v>20250423</v>
      </c>
      <c r="C715">
        <f>_xlfn.XLOOKUP(clean_sales!C715,Dim_Customer!B:B,Dim_Customer!A:A)</f>
        <v>433</v>
      </c>
      <c r="D715">
        <f>_xlfn.XLOOKUP(clean_sales!I715,Dim_Product!B:B,Dim_Product!A:A)</f>
        <v>4</v>
      </c>
      <c r="E715">
        <f>clean_sales!L715</f>
        <v>4</v>
      </c>
      <c r="F715">
        <f>clean_sales!T715</f>
        <v>18000</v>
      </c>
    </row>
    <row r="716" spans="1:6" x14ac:dyDescent="0.35">
      <c r="A716" t="str">
        <v>TXN100714</v>
      </c>
      <c r="B716">
        <f>_xlfn.XLOOKUP(clean_sales!P716,Dim_Date!B:B,Dim_Date!A:A)</f>
        <v>20250512</v>
      </c>
      <c r="C716">
        <f>_xlfn.XLOOKUP(clean_sales!C716,Dim_Customer!B:B,Dim_Customer!A:A)</f>
        <v>516</v>
      </c>
      <c r="D716">
        <f>_xlfn.XLOOKUP(clean_sales!I716,Dim_Product!B:B,Dim_Product!A:A)</f>
        <v>1</v>
      </c>
      <c r="E716">
        <f>clean_sales!L716</f>
        <v>2</v>
      </c>
      <c r="F716">
        <f>clean_sales!T716</f>
        <v>24000</v>
      </c>
    </row>
    <row r="717" spans="1:6" x14ac:dyDescent="0.35">
      <c r="A717" t="str">
        <v>TXN100715</v>
      </c>
      <c r="B717">
        <f>_xlfn.XLOOKUP(clean_sales!P717,Dim_Date!B:B,Dim_Date!A:A)</f>
        <v>20250317</v>
      </c>
      <c r="C717">
        <f>_xlfn.XLOOKUP(clean_sales!C717,Dim_Customer!B:B,Dim_Customer!A:A)</f>
        <v>517</v>
      </c>
      <c r="D717">
        <f>_xlfn.XLOOKUP(clean_sales!I717,Dim_Product!B:B,Dim_Product!A:A)</f>
        <v>5</v>
      </c>
      <c r="E717">
        <f>clean_sales!L717</f>
        <v>5</v>
      </c>
      <c r="F717">
        <f>clean_sales!T717</f>
        <v>9000</v>
      </c>
    </row>
    <row r="718" spans="1:6" x14ac:dyDescent="0.35">
      <c r="A718" t="str">
        <v>TXN100716</v>
      </c>
      <c r="B718">
        <f>_xlfn.XLOOKUP(clean_sales!P718,Dim_Date!B:B,Dim_Date!A:A)</f>
        <v>20250301</v>
      </c>
      <c r="C718">
        <f>_xlfn.XLOOKUP(clean_sales!C718,Dim_Customer!B:B,Dim_Customer!A:A)</f>
        <v>48</v>
      </c>
      <c r="D718">
        <f>_xlfn.XLOOKUP(clean_sales!I718,Dim_Product!B:B,Dim_Product!A:A)</f>
        <v>4</v>
      </c>
      <c r="E718">
        <f>clean_sales!L718</f>
        <v>5</v>
      </c>
      <c r="F718">
        <f>clean_sales!T718</f>
        <v>22500</v>
      </c>
    </row>
    <row r="719" spans="1:6" x14ac:dyDescent="0.35">
      <c r="A719" t="str">
        <v>TXN100717</v>
      </c>
      <c r="B719">
        <f>_xlfn.XLOOKUP(clean_sales!P719,Dim_Date!B:B,Dim_Date!A:A)</f>
        <v>20250319</v>
      </c>
      <c r="C719">
        <f>_xlfn.XLOOKUP(clean_sales!C719,Dim_Customer!B:B,Dim_Customer!A:A)</f>
        <v>518</v>
      </c>
      <c r="D719">
        <f>_xlfn.XLOOKUP(clean_sales!I719,Dim_Product!B:B,Dim_Product!A:A)</f>
        <v>2</v>
      </c>
      <c r="E719">
        <f>clean_sales!L719</f>
        <v>2</v>
      </c>
      <c r="F719">
        <f>clean_sales!T719</f>
        <v>130000</v>
      </c>
    </row>
    <row r="720" spans="1:6" x14ac:dyDescent="0.35">
      <c r="A720" t="str">
        <v>TXN100718</v>
      </c>
      <c r="B720">
        <f>_xlfn.XLOOKUP(clean_sales!P720,Dim_Date!B:B,Dim_Date!A:A)</f>
        <v>20251218</v>
      </c>
      <c r="C720">
        <f>_xlfn.XLOOKUP(clean_sales!C720,Dim_Customer!B:B,Dim_Customer!A:A)</f>
        <v>519</v>
      </c>
      <c r="D720">
        <f>_xlfn.XLOOKUP(clean_sales!I720,Dim_Product!B:B,Dim_Product!A:A)</f>
        <v>2</v>
      </c>
      <c r="E720">
        <f>clean_sales!L720</f>
        <v>5</v>
      </c>
      <c r="F720">
        <f>clean_sales!T720</f>
        <v>325000</v>
      </c>
    </row>
    <row r="721" spans="1:6" x14ac:dyDescent="0.35">
      <c r="A721" t="str">
        <v>TXN100719</v>
      </c>
      <c r="B721">
        <f>_xlfn.XLOOKUP(clean_sales!P721,Dim_Date!B:B,Dim_Date!A:A)</f>
        <v>20250822</v>
      </c>
      <c r="C721">
        <f>_xlfn.XLOOKUP(clean_sales!C721,Dim_Customer!B:B,Dim_Customer!A:A)</f>
        <v>520</v>
      </c>
      <c r="D721">
        <f>_xlfn.XLOOKUP(clean_sales!I721,Dim_Product!B:B,Dim_Product!A:A)</f>
        <v>5</v>
      </c>
      <c r="E721">
        <f>clean_sales!L721</f>
        <v>2</v>
      </c>
      <c r="F721">
        <f>clean_sales!T721</f>
        <v>3600</v>
      </c>
    </row>
    <row r="722" spans="1:6" x14ac:dyDescent="0.35">
      <c r="A722" t="str">
        <v>TXN100720</v>
      </c>
      <c r="B722">
        <f>_xlfn.XLOOKUP(clean_sales!P722,Dim_Date!B:B,Dim_Date!A:A)</f>
        <v>20250319</v>
      </c>
      <c r="C722">
        <f>_xlfn.XLOOKUP(clean_sales!C722,Dim_Customer!B:B,Dim_Customer!A:A)</f>
        <v>521</v>
      </c>
      <c r="D722">
        <f>_xlfn.XLOOKUP(clean_sales!I722,Dim_Product!B:B,Dim_Product!A:A)</f>
        <v>1</v>
      </c>
      <c r="E722">
        <f>clean_sales!L722</f>
        <v>1</v>
      </c>
      <c r="F722">
        <f>clean_sales!T722</f>
        <v>12000</v>
      </c>
    </row>
    <row r="723" spans="1:6" x14ac:dyDescent="0.35">
      <c r="A723" t="str">
        <v>TXN100721</v>
      </c>
      <c r="B723">
        <f>_xlfn.XLOOKUP(clean_sales!P723,Dim_Date!B:B,Dim_Date!A:A)</f>
        <v>20250111</v>
      </c>
      <c r="C723">
        <f>_xlfn.XLOOKUP(clean_sales!C723,Dim_Customer!B:B,Dim_Customer!A:A)</f>
        <v>480</v>
      </c>
      <c r="D723">
        <f>_xlfn.XLOOKUP(clean_sales!I723,Dim_Product!B:B,Dim_Product!A:A)</f>
        <v>3</v>
      </c>
      <c r="E723">
        <f>clean_sales!L723</f>
        <v>3</v>
      </c>
      <c r="F723">
        <f>clean_sales!T723</f>
        <v>15000</v>
      </c>
    </row>
    <row r="724" spans="1:6" x14ac:dyDescent="0.35">
      <c r="A724" t="str">
        <v>TXN100722</v>
      </c>
      <c r="B724">
        <f>_xlfn.XLOOKUP(clean_sales!P724,Dim_Date!B:B,Dim_Date!A:A)</f>
        <v>20250607</v>
      </c>
      <c r="C724">
        <f>_xlfn.XLOOKUP(clean_sales!C724,Dim_Customer!B:B,Dim_Customer!A:A)</f>
        <v>516</v>
      </c>
      <c r="D724">
        <f>_xlfn.XLOOKUP(clean_sales!I724,Dim_Product!B:B,Dim_Product!A:A)</f>
        <v>5</v>
      </c>
      <c r="E724">
        <f>clean_sales!L724</f>
        <v>5</v>
      </c>
      <c r="F724">
        <f>clean_sales!T724</f>
        <v>9000</v>
      </c>
    </row>
    <row r="725" spans="1:6" x14ac:dyDescent="0.35">
      <c r="A725" t="str">
        <v>TXN100723</v>
      </c>
      <c r="B725">
        <f>_xlfn.XLOOKUP(clean_sales!P725,Dim_Date!B:B,Dim_Date!A:A)</f>
        <v>20251011</v>
      </c>
      <c r="C725">
        <f>_xlfn.XLOOKUP(clean_sales!C725,Dim_Customer!B:B,Dim_Customer!A:A)</f>
        <v>522</v>
      </c>
      <c r="D725">
        <f>_xlfn.XLOOKUP(clean_sales!I725,Dim_Product!B:B,Dim_Product!A:A)</f>
        <v>4</v>
      </c>
      <c r="E725">
        <f>clean_sales!L725</f>
        <v>4</v>
      </c>
      <c r="F725">
        <f>clean_sales!T725</f>
        <v>18000</v>
      </c>
    </row>
    <row r="726" spans="1:6" x14ac:dyDescent="0.35">
      <c r="A726" t="str">
        <v>TXN100724</v>
      </c>
      <c r="B726">
        <f>_xlfn.XLOOKUP(clean_sales!P726,Dim_Date!B:B,Dim_Date!A:A)</f>
        <v>20250911</v>
      </c>
      <c r="C726">
        <f>_xlfn.XLOOKUP(clean_sales!C726,Dim_Customer!B:B,Dim_Customer!A:A)</f>
        <v>472</v>
      </c>
      <c r="D726">
        <f>_xlfn.XLOOKUP(clean_sales!I726,Dim_Product!B:B,Dim_Product!A:A)</f>
        <v>3</v>
      </c>
      <c r="E726">
        <f>clean_sales!L726</f>
        <v>5</v>
      </c>
      <c r="F726">
        <f>clean_sales!T726</f>
        <v>25000</v>
      </c>
    </row>
    <row r="727" spans="1:6" x14ac:dyDescent="0.35">
      <c r="A727" t="str">
        <v>TXN100725</v>
      </c>
      <c r="B727">
        <f>_xlfn.XLOOKUP(clean_sales!P727,Dim_Date!B:B,Dim_Date!A:A)</f>
        <v>20250322</v>
      </c>
      <c r="C727">
        <f>_xlfn.XLOOKUP(clean_sales!C727,Dim_Customer!B:B,Dim_Customer!A:A)</f>
        <v>40</v>
      </c>
      <c r="D727">
        <f>_xlfn.XLOOKUP(clean_sales!I727,Dim_Product!B:B,Dim_Product!A:A)</f>
        <v>4</v>
      </c>
      <c r="E727">
        <f>clean_sales!L727</f>
        <v>4</v>
      </c>
      <c r="F727">
        <f>clean_sales!T727</f>
        <v>18000</v>
      </c>
    </row>
    <row r="728" spans="1:6" x14ac:dyDescent="0.35">
      <c r="A728" t="str">
        <v>TXN100726</v>
      </c>
      <c r="B728">
        <f>_xlfn.XLOOKUP(clean_sales!P728,Dim_Date!B:B,Dim_Date!A:A)</f>
        <v>20250320</v>
      </c>
      <c r="C728">
        <f>_xlfn.XLOOKUP(clean_sales!C728,Dim_Customer!B:B,Dim_Customer!A:A)</f>
        <v>523</v>
      </c>
      <c r="D728">
        <f>_xlfn.XLOOKUP(clean_sales!I728,Dim_Product!B:B,Dim_Product!A:A)</f>
        <v>3</v>
      </c>
      <c r="E728">
        <f>clean_sales!L728</f>
        <v>2</v>
      </c>
      <c r="F728">
        <f>clean_sales!T728</f>
        <v>10000</v>
      </c>
    </row>
    <row r="729" spans="1:6" x14ac:dyDescent="0.35">
      <c r="A729" t="str">
        <v>TXN100727</v>
      </c>
      <c r="B729">
        <f>_xlfn.XLOOKUP(clean_sales!P729,Dim_Date!B:B,Dim_Date!A:A)</f>
        <v>20251124</v>
      </c>
      <c r="C729">
        <f>_xlfn.XLOOKUP(clean_sales!C729,Dim_Customer!B:B,Dim_Customer!A:A)</f>
        <v>524</v>
      </c>
      <c r="D729">
        <f>_xlfn.XLOOKUP(clean_sales!I729,Dim_Product!B:B,Dim_Product!A:A)</f>
        <v>7</v>
      </c>
      <c r="E729">
        <f>clean_sales!L729</f>
        <v>2</v>
      </c>
      <c r="F729">
        <f>clean_sales!T729</f>
        <v>116000</v>
      </c>
    </row>
    <row r="730" spans="1:6" x14ac:dyDescent="0.35">
      <c r="A730" t="str">
        <v>TXN100728</v>
      </c>
      <c r="B730">
        <f>_xlfn.XLOOKUP(clean_sales!P730,Dim_Date!B:B,Dim_Date!A:A)</f>
        <v>20250104</v>
      </c>
      <c r="C730">
        <f>_xlfn.XLOOKUP(clean_sales!C730,Dim_Customer!B:B,Dim_Customer!A:A)</f>
        <v>525</v>
      </c>
      <c r="D730">
        <f>_xlfn.XLOOKUP(clean_sales!I730,Dim_Product!B:B,Dim_Product!A:A)</f>
        <v>6</v>
      </c>
      <c r="E730">
        <f>clean_sales!L730</f>
        <v>1</v>
      </c>
      <c r="F730">
        <f>clean_sales!T730</f>
        <v>72000</v>
      </c>
    </row>
    <row r="731" spans="1:6" x14ac:dyDescent="0.35">
      <c r="A731" t="str">
        <v>TXN100729</v>
      </c>
      <c r="B731">
        <f>_xlfn.XLOOKUP(clean_sales!P731,Dim_Date!B:B,Dim_Date!A:A)</f>
        <v>20251205</v>
      </c>
      <c r="C731">
        <f>_xlfn.XLOOKUP(clean_sales!C731,Dim_Customer!B:B,Dim_Customer!A:A)</f>
        <v>283</v>
      </c>
      <c r="D731">
        <f>_xlfn.XLOOKUP(clean_sales!I731,Dim_Product!B:B,Dim_Product!A:A)</f>
        <v>2</v>
      </c>
      <c r="E731">
        <f>clean_sales!L731</f>
        <v>5</v>
      </c>
      <c r="F731">
        <f>clean_sales!T731</f>
        <v>325000</v>
      </c>
    </row>
    <row r="732" spans="1:6" x14ac:dyDescent="0.35">
      <c r="A732" t="str">
        <v>TXN100730</v>
      </c>
      <c r="B732">
        <f>_xlfn.XLOOKUP(clean_sales!P732,Dim_Date!B:B,Dim_Date!A:A)</f>
        <v>20250303</v>
      </c>
      <c r="C732">
        <f>_xlfn.XLOOKUP(clean_sales!C732,Dim_Customer!B:B,Dim_Customer!A:A)</f>
        <v>224</v>
      </c>
      <c r="D732">
        <f>_xlfn.XLOOKUP(clean_sales!I732,Dim_Product!B:B,Dim_Product!A:A)</f>
        <v>7</v>
      </c>
      <c r="E732">
        <f>clean_sales!L732</f>
        <v>2</v>
      </c>
      <c r="F732">
        <f>clean_sales!T732</f>
        <v>116000</v>
      </c>
    </row>
    <row r="733" spans="1:6" x14ac:dyDescent="0.35">
      <c r="A733" t="str">
        <v>TXN100731</v>
      </c>
      <c r="B733">
        <f>_xlfn.XLOOKUP(clean_sales!P733,Dim_Date!B:B,Dim_Date!A:A)</f>
        <v>20251027</v>
      </c>
      <c r="C733">
        <f>_xlfn.XLOOKUP(clean_sales!C733,Dim_Customer!B:B,Dim_Customer!A:A)</f>
        <v>526</v>
      </c>
      <c r="D733">
        <f>_xlfn.XLOOKUP(clean_sales!I733,Dim_Product!B:B,Dim_Product!A:A)</f>
        <v>4</v>
      </c>
      <c r="E733">
        <f>clean_sales!L733</f>
        <v>3</v>
      </c>
      <c r="F733">
        <f>clean_sales!T733</f>
        <v>13500</v>
      </c>
    </row>
    <row r="734" spans="1:6" x14ac:dyDescent="0.35">
      <c r="A734" t="str">
        <v>TXN100732</v>
      </c>
      <c r="B734">
        <f>_xlfn.XLOOKUP(clean_sales!P734,Dim_Date!B:B,Dim_Date!A:A)</f>
        <v>20250907</v>
      </c>
      <c r="C734">
        <f>_xlfn.XLOOKUP(clean_sales!C734,Dim_Customer!B:B,Dim_Customer!A:A)</f>
        <v>527</v>
      </c>
      <c r="D734">
        <f>_xlfn.XLOOKUP(clean_sales!I734,Dim_Product!B:B,Dim_Product!A:A)</f>
        <v>3</v>
      </c>
      <c r="E734">
        <f>clean_sales!L734</f>
        <v>2</v>
      </c>
      <c r="F734">
        <f>clean_sales!T734</f>
        <v>10000</v>
      </c>
    </row>
    <row r="735" spans="1:6" x14ac:dyDescent="0.35">
      <c r="A735" t="str">
        <v>TXN100733</v>
      </c>
      <c r="B735">
        <f>_xlfn.XLOOKUP(clean_sales!P735,Dim_Date!B:B,Dim_Date!A:A)</f>
        <v>20250822</v>
      </c>
      <c r="C735">
        <f>_xlfn.XLOOKUP(clean_sales!C735,Dim_Customer!B:B,Dim_Customer!A:A)</f>
        <v>528</v>
      </c>
      <c r="D735">
        <f>_xlfn.XLOOKUP(clean_sales!I735,Dim_Product!B:B,Dim_Product!A:A)</f>
        <v>2</v>
      </c>
      <c r="E735">
        <f>clean_sales!L735</f>
        <v>5</v>
      </c>
      <c r="F735">
        <f>clean_sales!T735</f>
        <v>325000</v>
      </c>
    </row>
    <row r="736" spans="1:6" x14ac:dyDescent="0.35">
      <c r="A736" t="str">
        <v>TXN100734</v>
      </c>
      <c r="B736">
        <f>_xlfn.XLOOKUP(clean_sales!P736,Dim_Date!B:B,Dim_Date!A:A)</f>
        <v>20250317</v>
      </c>
      <c r="C736">
        <f>_xlfn.XLOOKUP(clean_sales!C736,Dim_Customer!B:B,Dim_Customer!A:A)</f>
        <v>405</v>
      </c>
      <c r="D736">
        <f>_xlfn.XLOOKUP(clean_sales!I736,Dim_Product!B:B,Dim_Product!A:A)</f>
        <v>2</v>
      </c>
      <c r="E736">
        <f>clean_sales!L736</f>
        <v>2</v>
      </c>
      <c r="F736">
        <f>clean_sales!T736</f>
        <v>130000</v>
      </c>
    </row>
    <row r="737" spans="1:6" x14ac:dyDescent="0.35">
      <c r="A737" t="str">
        <v>TXN100735</v>
      </c>
      <c r="B737">
        <f>_xlfn.XLOOKUP(clean_sales!P737,Dim_Date!B:B,Dim_Date!A:A)</f>
        <v>20250826</v>
      </c>
      <c r="C737">
        <f>_xlfn.XLOOKUP(clean_sales!C737,Dim_Customer!B:B,Dim_Customer!A:A)</f>
        <v>529</v>
      </c>
      <c r="D737">
        <f>_xlfn.XLOOKUP(clean_sales!I737,Dim_Product!B:B,Dim_Product!A:A)</f>
        <v>3</v>
      </c>
      <c r="E737">
        <f>clean_sales!L737</f>
        <v>3</v>
      </c>
      <c r="F737">
        <f>clean_sales!T737</f>
        <v>15000</v>
      </c>
    </row>
    <row r="738" spans="1:6" x14ac:dyDescent="0.35">
      <c r="A738" t="str">
        <v>TXN100736</v>
      </c>
      <c r="B738">
        <f>_xlfn.XLOOKUP(clean_sales!P738,Dim_Date!B:B,Dim_Date!A:A)</f>
        <v>20250910</v>
      </c>
      <c r="C738">
        <f>_xlfn.XLOOKUP(clean_sales!C738,Dim_Customer!B:B,Dim_Customer!A:A)</f>
        <v>530</v>
      </c>
      <c r="D738">
        <f>_xlfn.XLOOKUP(clean_sales!I738,Dim_Product!B:B,Dim_Product!A:A)</f>
        <v>7</v>
      </c>
      <c r="E738">
        <f>clean_sales!L738</f>
        <v>4</v>
      </c>
      <c r="F738">
        <f>clean_sales!T738</f>
        <v>232000</v>
      </c>
    </row>
    <row r="739" spans="1:6" x14ac:dyDescent="0.35">
      <c r="A739" t="str">
        <v>TXN100737</v>
      </c>
      <c r="B739">
        <f>_xlfn.XLOOKUP(clean_sales!P739,Dim_Date!B:B,Dim_Date!A:A)</f>
        <v>20250717</v>
      </c>
      <c r="C739">
        <f>_xlfn.XLOOKUP(clean_sales!C739,Dim_Customer!B:B,Dim_Customer!A:A)</f>
        <v>531</v>
      </c>
      <c r="D739">
        <f>_xlfn.XLOOKUP(clean_sales!I739,Dim_Product!B:B,Dim_Product!A:A)</f>
        <v>7</v>
      </c>
      <c r="E739">
        <f>clean_sales!L739</f>
        <v>2</v>
      </c>
      <c r="F739">
        <f>clean_sales!T739</f>
        <v>116000</v>
      </c>
    </row>
    <row r="740" spans="1:6" x14ac:dyDescent="0.35">
      <c r="A740" t="str">
        <v>TXN100738</v>
      </c>
      <c r="B740">
        <f>_xlfn.XLOOKUP(clean_sales!P740,Dim_Date!B:B,Dim_Date!A:A)</f>
        <v>20250521</v>
      </c>
      <c r="C740">
        <f>_xlfn.XLOOKUP(clean_sales!C740,Dim_Customer!B:B,Dim_Customer!A:A)</f>
        <v>161</v>
      </c>
      <c r="D740">
        <f>_xlfn.XLOOKUP(clean_sales!I740,Dim_Product!B:B,Dim_Product!A:A)</f>
        <v>4</v>
      </c>
      <c r="E740">
        <f>clean_sales!L740</f>
        <v>1</v>
      </c>
      <c r="F740">
        <f>clean_sales!T740</f>
        <v>4500</v>
      </c>
    </row>
    <row r="741" spans="1:6" x14ac:dyDescent="0.35">
      <c r="A741" t="str">
        <v>TXN100739</v>
      </c>
      <c r="B741">
        <f>_xlfn.XLOOKUP(clean_sales!P741,Dim_Date!B:B,Dim_Date!A:A)</f>
        <v>20250829</v>
      </c>
      <c r="C741">
        <f>_xlfn.XLOOKUP(clean_sales!C741,Dim_Customer!B:B,Dim_Customer!A:A)</f>
        <v>340</v>
      </c>
      <c r="D741">
        <f>_xlfn.XLOOKUP(clean_sales!I741,Dim_Product!B:B,Dim_Product!A:A)</f>
        <v>2</v>
      </c>
      <c r="E741">
        <f>clean_sales!L741</f>
        <v>5</v>
      </c>
      <c r="F741">
        <f>clean_sales!T741</f>
        <v>325000</v>
      </c>
    </row>
    <row r="742" spans="1:6" x14ac:dyDescent="0.35">
      <c r="A742" t="str">
        <v>TXN100740</v>
      </c>
      <c r="B742">
        <f>_xlfn.XLOOKUP(clean_sales!P742,Dim_Date!B:B,Dim_Date!A:A)</f>
        <v>20250116</v>
      </c>
      <c r="C742">
        <f>_xlfn.XLOOKUP(clean_sales!C742,Dim_Customer!B:B,Dim_Customer!A:A)</f>
        <v>532</v>
      </c>
      <c r="D742">
        <f>_xlfn.XLOOKUP(clean_sales!I742,Dim_Product!B:B,Dim_Product!A:A)</f>
        <v>6</v>
      </c>
      <c r="E742">
        <f>clean_sales!L742</f>
        <v>3</v>
      </c>
      <c r="F742">
        <f>clean_sales!T742</f>
        <v>216000</v>
      </c>
    </row>
    <row r="743" spans="1:6" x14ac:dyDescent="0.35">
      <c r="A743" t="str">
        <v>TXN100741</v>
      </c>
      <c r="B743">
        <f>_xlfn.XLOOKUP(clean_sales!P743,Dim_Date!B:B,Dim_Date!A:A)</f>
        <v>20250826</v>
      </c>
      <c r="C743">
        <f>_xlfn.XLOOKUP(clean_sales!C743,Dim_Customer!B:B,Dim_Customer!A:A)</f>
        <v>533</v>
      </c>
      <c r="D743">
        <f>_xlfn.XLOOKUP(clean_sales!I743,Dim_Product!B:B,Dim_Product!A:A)</f>
        <v>5</v>
      </c>
      <c r="E743">
        <f>clean_sales!L743</f>
        <v>4</v>
      </c>
      <c r="F743">
        <f>clean_sales!T743</f>
        <v>7200</v>
      </c>
    </row>
    <row r="744" spans="1:6" x14ac:dyDescent="0.35">
      <c r="A744" t="str">
        <v>TXN100742</v>
      </c>
      <c r="B744">
        <f>_xlfn.XLOOKUP(clean_sales!P744,Dim_Date!B:B,Dim_Date!A:A)</f>
        <v>20250325</v>
      </c>
      <c r="C744">
        <f>_xlfn.XLOOKUP(clean_sales!C744,Dim_Customer!B:B,Dim_Customer!A:A)</f>
        <v>534</v>
      </c>
      <c r="D744">
        <f>_xlfn.XLOOKUP(clean_sales!I744,Dim_Product!B:B,Dim_Product!A:A)</f>
        <v>1</v>
      </c>
      <c r="E744">
        <f>clean_sales!L744</f>
        <v>2</v>
      </c>
      <c r="F744">
        <f>clean_sales!T744</f>
        <v>24000</v>
      </c>
    </row>
    <row r="745" spans="1:6" x14ac:dyDescent="0.35">
      <c r="A745" t="str">
        <v>TXN100743</v>
      </c>
      <c r="B745">
        <f>_xlfn.XLOOKUP(clean_sales!P745,Dim_Date!B:B,Dim_Date!A:A)</f>
        <v>20251019</v>
      </c>
      <c r="C745">
        <f>_xlfn.XLOOKUP(clean_sales!C745,Dim_Customer!B:B,Dim_Customer!A:A)</f>
        <v>535</v>
      </c>
      <c r="D745">
        <f>_xlfn.XLOOKUP(clean_sales!I745,Dim_Product!B:B,Dim_Product!A:A)</f>
        <v>5</v>
      </c>
      <c r="E745">
        <f>clean_sales!L745</f>
        <v>1</v>
      </c>
      <c r="F745">
        <f>clean_sales!T745</f>
        <v>1800</v>
      </c>
    </row>
    <row r="746" spans="1:6" x14ac:dyDescent="0.35">
      <c r="A746" t="str">
        <v>TXN100744</v>
      </c>
      <c r="B746">
        <f>_xlfn.XLOOKUP(clean_sales!P746,Dim_Date!B:B,Dim_Date!A:A)</f>
        <v>20250402</v>
      </c>
      <c r="C746">
        <f>_xlfn.XLOOKUP(clean_sales!C746,Dim_Customer!B:B,Dim_Customer!A:A)</f>
        <v>32</v>
      </c>
      <c r="D746">
        <f>_xlfn.XLOOKUP(clean_sales!I746,Dim_Product!B:B,Dim_Product!A:A)</f>
        <v>1</v>
      </c>
      <c r="E746">
        <f>clean_sales!L746</f>
        <v>5</v>
      </c>
      <c r="F746">
        <f>clean_sales!T746</f>
        <v>60000</v>
      </c>
    </row>
    <row r="747" spans="1:6" x14ac:dyDescent="0.35">
      <c r="A747" t="str">
        <v>TXN100745</v>
      </c>
      <c r="B747">
        <f>_xlfn.XLOOKUP(clean_sales!P747,Dim_Date!B:B,Dim_Date!A:A)</f>
        <v>20250610</v>
      </c>
      <c r="C747">
        <f>_xlfn.XLOOKUP(clean_sales!C747,Dim_Customer!B:B,Dim_Customer!A:A)</f>
        <v>226</v>
      </c>
      <c r="D747">
        <f>_xlfn.XLOOKUP(clean_sales!I747,Dim_Product!B:B,Dim_Product!A:A)</f>
        <v>6</v>
      </c>
      <c r="E747">
        <f>clean_sales!L747</f>
        <v>1</v>
      </c>
      <c r="F747">
        <f>clean_sales!T747</f>
        <v>72000</v>
      </c>
    </row>
    <row r="748" spans="1:6" x14ac:dyDescent="0.35">
      <c r="A748" t="str">
        <v>TXN100746</v>
      </c>
      <c r="B748">
        <f>_xlfn.XLOOKUP(clean_sales!P748,Dim_Date!B:B,Dim_Date!A:A)</f>
        <v>20250505</v>
      </c>
      <c r="C748">
        <f>_xlfn.XLOOKUP(clean_sales!C748,Dim_Customer!B:B,Dim_Customer!A:A)</f>
        <v>358</v>
      </c>
      <c r="D748">
        <f>_xlfn.XLOOKUP(clean_sales!I748,Dim_Product!B:B,Dim_Product!A:A)</f>
        <v>2</v>
      </c>
      <c r="E748">
        <f>clean_sales!L748</f>
        <v>5</v>
      </c>
      <c r="F748">
        <f>clean_sales!T748</f>
        <v>325000</v>
      </c>
    </row>
    <row r="749" spans="1:6" x14ac:dyDescent="0.35">
      <c r="A749" t="str">
        <v>TXN100747</v>
      </c>
      <c r="B749">
        <f>_xlfn.XLOOKUP(clean_sales!P749,Dim_Date!B:B,Dim_Date!A:A)</f>
        <v>20251112</v>
      </c>
      <c r="C749">
        <f>_xlfn.XLOOKUP(clean_sales!C749,Dim_Customer!B:B,Dim_Customer!A:A)</f>
        <v>346</v>
      </c>
      <c r="D749">
        <f>_xlfn.XLOOKUP(clean_sales!I749,Dim_Product!B:B,Dim_Product!A:A)</f>
        <v>7</v>
      </c>
      <c r="E749">
        <f>clean_sales!L749</f>
        <v>2</v>
      </c>
      <c r="F749">
        <f>clean_sales!T749</f>
        <v>116000</v>
      </c>
    </row>
    <row r="750" spans="1:6" x14ac:dyDescent="0.35">
      <c r="A750" t="str">
        <v>TXN100748</v>
      </c>
      <c r="B750">
        <f>_xlfn.XLOOKUP(clean_sales!P750,Dim_Date!B:B,Dim_Date!A:A)</f>
        <v>20251219</v>
      </c>
      <c r="C750">
        <f>_xlfn.XLOOKUP(clean_sales!C750,Dim_Customer!B:B,Dim_Customer!A:A)</f>
        <v>536</v>
      </c>
      <c r="D750">
        <f>_xlfn.XLOOKUP(clean_sales!I750,Dim_Product!B:B,Dim_Product!A:A)</f>
        <v>7</v>
      </c>
      <c r="E750">
        <f>clean_sales!L750</f>
        <v>3</v>
      </c>
      <c r="F750">
        <f>clean_sales!T750</f>
        <v>174000</v>
      </c>
    </row>
    <row r="751" spans="1:6" x14ac:dyDescent="0.35">
      <c r="A751" t="str">
        <v>TXN100749</v>
      </c>
      <c r="B751">
        <f>_xlfn.XLOOKUP(clean_sales!P751,Dim_Date!B:B,Dim_Date!A:A)</f>
        <v>20250106</v>
      </c>
      <c r="C751">
        <f>_xlfn.XLOOKUP(clean_sales!C751,Dim_Customer!B:B,Dim_Customer!A:A)</f>
        <v>537</v>
      </c>
      <c r="D751">
        <f>_xlfn.XLOOKUP(clean_sales!I751,Dim_Product!B:B,Dim_Product!A:A)</f>
        <v>3</v>
      </c>
      <c r="E751">
        <f>clean_sales!L751</f>
        <v>2</v>
      </c>
      <c r="F751">
        <f>clean_sales!T751</f>
        <v>10000</v>
      </c>
    </row>
    <row r="752" spans="1:6" x14ac:dyDescent="0.35">
      <c r="A752" t="str">
        <v>TXN100750</v>
      </c>
      <c r="B752">
        <f>_xlfn.XLOOKUP(clean_sales!P752,Dim_Date!B:B,Dim_Date!A:A)</f>
        <v>20250729</v>
      </c>
      <c r="C752">
        <f>_xlfn.XLOOKUP(clean_sales!C752,Dim_Customer!B:B,Dim_Customer!A:A)</f>
        <v>538</v>
      </c>
      <c r="D752">
        <f>_xlfn.XLOOKUP(clean_sales!I752,Dim_Product!B:B,Dim_Product!A:A)</f>
        <v>4</v>
      </c>
      <c r="E752">
        <f>clean_sales!L752</f>
        <v>1</v>
      </c>
      <c r="F752">
        <f>clean_sales!T752</f>
        <v>4500</v>
      </c>
    </row>
    <row r="753" spans="1:6" x14ac:dyDescent="0.35">
      <c r="A753" t="str">
        <v>TXN100751</v>
      </c>
      <c r="B753">
        <f>_xlfn.XLOOKUP(clean_sales!P753,Dim_Date!B:B,Dim_Date!A:A)</f>
        <v>20250616</v>
      </c>
      <c r="C753">
        <f>_xlfn.XLOOKUP(clean_sales!C753,Dim_Customer!B:B,Dim_Customer!A:A)</f>
        <v>539</v>
      </c>
      <c r="D753">
        <f>_xlfn.XLOOKUP(clean_sales!I753,Dim_Product!B:B,Dim_Product!A:A)</f>
        <v>2</v>
      </c>
      <c r="E753">
        <f>clean_sales!L753</f>
        <v>5</v>
      </c>
      <c r="F753">
        <f>clean_sales!T753</f>
        <v>325000</v>
      </c>
    </row>
    <row r="754" spans="1:6" x14ac:dyDescent="0.35">
      <c r="A754" t="str">
        <v>TXN100752</v>
      </c>
      <c r="B754">
        <f>_xlfn.XLOOKUP(clean_sales!P754,Dim_Date!B:B,Dim_Date!A:A)</f>
        <v>20251116</v>
      </c>
      <c r="C754">
        <f>_xlfn.XLOOKUP(clean_sales!C754,Dim_Customer!B:B,Dim_Customer!A:A)</f>
        <v>275</v>
      </c>
      <c r="D754">
        <f>_xlfn.XLOOKUP(clean_sales!I754,Dim_Product!B:B,Dim_Product!A:A)</f>
        <v>2</v>
      </c>
      <c r="E754">
        <f>clean_sales!L754</f>
        <v>3</v>
      </c>
      <c r="F754">
        <f>clean_sales!T754</f>
        <v>195000</v>
      </c>
    </row>
    <row r="755" spans="1:6" x14ac:dyDescent="0.35">
      <c r="A755" t="str">
        <v>TXN100753</v>
      </c>
      <c r="B755">
        <f>_xlfn.XLOOKUP(clean_sales!P755,Dim_Date!B:B,Dim_Date!A:A)</f>
        <v>20250703</v>
      </c>
      <c r="C755">
        <f>_xlfn.XLOOKUP(clean_sales!C755,Dim_Customer!B:B,Dim_Customer!A:A)</f>
        <v>285</v>
      </c>
      <c r="D755">
        <f>_xlfn.XLOOKUP(clean_sales!I755,Dim_Product!B:B,Dim_Product!A:A)</f>
        <v>1</v>
      </c>
      <c r="E755">
        <f>clean_sales!L755</f>
        <v>4</v>
      </c>
      <c r="F755">
        <f>clean_sales!T755</f>
        <v>48000</v>
      </c>
    </row>
    <row r="756" spans="1:6" x14ac:dyDescent="0.35">
      <c r="A756" t="str">
        <v>TXN100754</v>
      </c>
      <c r="B756">
        <f>_xlfn.XLOOKUP(clean_sales!P756,Dim_Date!B:B,Dim_Date!A:A)</f>
        <v>20251019</v>
      </c>
      <c r="C756">
        <f>_xlfn.XLOOKUP(clean_sales!C756,Dim_Customer!B:B,Dim_Customer!A:A)</f>
        <v>540</v>
      </c>
      <c r="D756">
        <f>_xlfn.XLOOKUP(clean_sales!I756,Dim_Product!B:B,Dim_Product!A:A)</f>
        <v>5</v>
      </c>
      <c r="E756">
        <f>clean_sales!L756</f>
        <v>4</v>
      </c>
      <c r="F756">
        <f>clean_sales!T756</f>
        <v>7200</v>
      </c>
    </row>
    <row r="757" spans="1:6" x14ac:dyDescent="0.35">
      <c r="A757" t="str">
        <v>TXN100755</v>
      </c>
      <c r="B757">
        <f>_xlfn.XLOOKUP(clean_sales!P757,Dim_Date!B:B,Dim_Date!A:A)</f>
        <v>20250329</v>
      </c>
      <c r="C757">
        <f>_xlfn.XLOOKUP(clean_sales!C757,Dim_Customer!B:B,Dim_Customer!A:A)</f>
        <v>541</v>
      </c>
      <c r="D757">
        <f>_xlfn.XLOOKUP(clean_sales!I757,Dim_Product!B:B,Dim_Product!A:A)</f>
        <v>4</v>
      </c>
      <c r="E757">
        <f>clean_sales!L757</f>
        <v>1</v>
      </c>
      <c r="F757">
        <f>clean_sales!T757</f>
        <v>4500</v>
      </c>
    </row>
    <row r="758" spans="1:6" x14ac:dyDescent="0.35">
      <c r="A758" t="str">
        <v>TXN100756</v>
      </c>
      <c r="B758">
        <f>_xlfn.XLOOKUP(clean_sales!P758,Dim_Date!B:B,Dim_Date!A:A)</f>
        <v>20250612</v>
      </c>
      <c r="C758">
        <f>_xlfn.XLOOKUP(clean_sales!C758,Dim_Customer!B:B,Dim_Customer!A:A)</f>
        <v>542</v>
      </c>
      <c r="D758">
        <f>_xlfn.XLOOKUP(clean_sales!I758,Dim_Product!B:B,Dim_Product!A:A)</f>
        <v>1</v>
      </c>
      <c r="E758">
        <f>clean_sales!L758</f>
        <v>4</v>
      </c>
      <c r="F758">
        <f>clean_sales!T758</f>
        <v>48000</v>
      </c>
    </row>
    <row r="759" spans="1:6" x14ac:dyDescent="0.35">
      <c r="A759" t="str">
        <v>TXN100757</v>
      </c>
      <c r="B759">
        <f>_xlfn.XLOOKUP(clean_sales!P759,Dim_Date!B:B,Dim_Date!A:A)</f>
        <v>20250117</v>
      </c>
      <c r="C759">
        <f>_xlfn.XLOOKUP(clean_sales!C759,Dim_Customer!B:B,Dim_Customer!A:A)</f>
        <v>543</v>
      </c>
      <c r="D759">
        <f>_xlfn.XLOOKUP(clean_sales!I759,Dim_Product!B:B,Dim_Product!A:A)</f>
        <v>4</v>
      </c>
      <c r="E759">
        <f>clean_sales!L759</f>
        <v>1</v>
      </c>
      <c r="F759">
        <f>clean_sales!T759</f>
        <v>4500</v>
      </c>
    </row>
    <row r="760" spans="1:6" x14ac:dyDescent="0.35">
      <c r="A760" t="str">
        <v>TXN100758</v>
      </c>
      <c r="B760">
        <f>_xlfn.XLOOKUP(clean_sales!P760,Dim_Date!B:B,Dim_Date!A:A)</f>
        <v>20250925</v>
      </c>
      <c r="C760">
        <f>_xlfn.XLOOKUP(clean_sales!C760,Dim_Customer!B:B,Dim_Customer!A:A)</f>
        <v>504</v>
      </c>
      <c r="D760">
        <f>_xlfn.XLOOKUP(clean_sales!I760,Dim_Product!B:B,Dim_Product!A:A)</f>
        <v>4</v>
      </c>
      <c r="E760">
        <f>clean_sales!L760</f>
        <v>5</v>
      </c>
      <c r="F760">
        <f>clean_sales!T760</f>
        <v>22500</v>
      </c>
    </row>
    <row r="761" spans="1:6" x14ac:dyDescent="0.35">
      <c r="A761" t="str">
        <v>TXN100759</v>
      </c>
      <c r="B761">
        <f>_xlfn.XLOOKUP(clean_sales!P761,Dim_Date!B:B,Dim_Date!A:A)</f>
        <v>20250918</v>
      </c>
      <c r="C761">
        <f>_xlfn.XLOOKUP(clean_sales!C761,Dim_Customer!B:B,Dim_Customer!A:A)</f>
        <v>544</v>
      </c>
      <c r="D761">
        <f>_xlfn.XLOOKUP(clean_sales!I761,Dim_Product!B:B,Dim_Product!A:A)</f>
        <v>2</v>
      </c>
      <c r="E761">
        <f>clean_sales!L761</f>
        <v>4</v>
      </c>
      <c r="F761">
        <f>clean_sales!T761</f>
        <v>260000</v>
      </c>
    </row>
    <row r="762" spans="1:6" x14ac:dyDescent="0.35">
      <c r="A762" t="str">
        <v>TXN100760</v>
      </c>
      <c r="B762">
        <f>_xlfn.XLOOKUP(clean_sales!P762,Dim_Date!B:B,Dim_Date!A:A)</f>
        <v>20250120</v>
      </c>
      <c r="C762">
        <f>_xlfn.XLOOKUP(clean_sales!C762,Dim_Customer!B:B,Dim_Customer!A:A)</f>
        <v>545</v>
      </c>
      <c r="D762">
        <f>_xlfn.XLOOKUP(clean_sales!I762,Dim_Product!B:B,Dim_Product!A:A)</f>
        <v>5</v>
      </c>
      <c r="E762">
        <f>clean_sales!L762</f>
        <v>3</v>
      </c>
      <c r="F762">
        <f>clean_sales!T762</f>
        <v>5400</v>
      </c>
    </row>
    <row r="763" spans="1:6" x14ac:dyDescent="0.35">
      <c r="A763" t="str">
        <v>TXN100761</v>
      </c>
      <c r="B763">
        <f>_xlfn.XLOOKUP(clean_sales!P763,Dim_Date!B:B,Dim_Date!A:A)</f>
        <v>20250314</v>
      </c>
      <c r="C763">
        <f>_xlfn.XLOOKUP(clean_sales!C763,Dim_Customer!B:B,Dim_Customer!A:A)</f>
        <v>530</v>
      </c>
      <c r="D763">
        <f>_xlfn.XLOOKUP(clean_sales!I763,Dim_Product!B:B,Dim_Product!A:A)</f>
        <v>4</v>
      </c>
      <c r="E763">
        <f>clean_sales!L763</f>
        <v>3</v>
      </c>
      <c r="F763">
        <f>clean_sales!T763</f>
        <v>13500</v>
      </c>
    </row>
    <row r="764" spans="1:6" x14ac:dyDescent="0.35">
      <c r="A764" t="str">
        <v>TXN100762</v>
      </c>
      <c r="B764">
        <f>_xlfn.XLOOKUP(clean_sales!P764,Dim_Date!B:B,Dim_Date!A:A)</f>
        <v>20250621</v>
      </c>
      <c r="C764">
        <f>_xlfn.XLOOKUP(clean_sales!C764,Dim_Customer!B:B,Dim_Customer!A:A)</f>
        <v>98</v>
      </c>
      <c r="D764">
        <f>_xlfn.XLOOKUP(clean_sales!I764,Dim_Product!B:B,Dim_Product!A:A)</f>
        <v>7</v>
      </c>
      <c r="E764">
        <f>clean_sales!L764</f>
        <v>4</v>
      </c>
      <c r="F764">
        <f>clean_sales!T764</f>
        <v>232000</v>
      </c>
    </row>
    <row r="765" spans="1:6" x14ac:dyDescent="0.35">
      <c r="A765" t="str">
        <v>TXN100763</v>
      </c>
      <c r="B765">
        <f>_xlfn.XLOOKUP(clean_sales!P765,Dim_Date!B:B,Dim_Date!A:A)</f>
        <v>20250808</v>
      </c>
      <c r="C765">
        <f>_xlfn.XLOOKUP(clean_sales!C765,Dim_Customer!B:B,Dim_Customer!A:A)</f>
        <v>51</v>
      </c>
      <c r="D765">
        <f>_xlfn.XLOOKUP(clean_sales!I765,Dim_Product!B:B,Dim_Product!A:A)</f>
        <v>4</v>
      </c>
      <c r="E765">
        <f>clean_sales!L765</f>
        <v>2</v>
      </c>
      <c r="F765">
        <f>clean_sales!T765</f>
        <v>9000</v>
      </c>
    </row>
    <row r="766" spans="1:6" x14ac:dyDescent="0.35">
      <c r="A766" t="str">
        <v>TXN100764</v>
      </c>
      <c r="B766">
        <f>_xlfn.XLOOKUP(clean_sales!P766,Dim_Date!B:B,Dim_Date!A:A)</f>
        <v>20250417</v>
      </c>
      <c r="C766">
        <f>_xlfn.XLOOKUP(clean_sales!C766,Dim_Customer!B:B,Dim_Customer!A:A)</f>
        <v>233</v>
      </c>
      <c r="D766">
        <f>_xlfn.XLOOKUP(clean_sales!I766,Dim_Product!B:B,Dim_Product!A:A)</f>
        <v>2</v>
      </c>
      <c r="E766">
        <f>clean_sales!L766</f>
        <v>1</v>
      </c>
      <c r="F766">
        <f>clean_sales!T766</f>
        <v>65000</v>
      </c>
    </row>
    <row r="767" spans="1:6" x14ac:dyDescent="0.35">
      <c r="A767" t="str">
        <v>TXN100765</v>
      </c>
      <c r="B767">
        <f>_xlfn.XLOOKUP(clean_sales!P767,Dim_Date!B:B,Dim_Date!A:A)</f>
        <v>20250713</v>
      </c>
      <c r="C767">
        <f>_xlfn.XLOOKUP(clean_sales!C767,Dim_Customer!B:B,Dim_Customer!A:A)</f>
        <v>511</v>
      </c>
      <c r="D767">
        <f>_xlfn.XLOOKUP(clean_sales!I767,Dim_Product!B:B,Dim_Product!A:A)</f>
        <v>1</v>
      </c>
      <c r="E767">
        <f>clean_sales!L767</f>
        <v>1</v>
      </c>
      <c r="F767">
        <f>clean_sales!T767</f>
        <v>12000</v>
      </c>
    </row>
    <row r="768" spans="1:6" x14ac:dyDescent="0.35">
      <c r="A768" t="str">
        <v>TXN100766</v>
      </c>
      <c r="B768">
        <f>_xlfn.XLOOKUP(clean_sales!P768,Dim_Date!B:B,Dim_Date!A:A)</f>
        <v>20251026</v>
      </c>
      <c r="C768">
        <f>_xlfn.XLOOKUP(clean_sales!C768,Dim_Customer!B:B,Dim_Customer!A:A)</f>
        <v>546</v>
      </c>
      <c r="D768">
        <f>_xlfn.XLOOKUP(clean_sales!I768,Dim_Product!B:B,Dim_Product!A:A)</f>
        <v>5</v>
      </c>
      <c r="E768">
        <f>clean_sales!L768</f>
        <v>3</v>
      </c>
      <c r="F768">
        <f>clean_sales!T768</f>
        <v>5400</v>
      </c>
    </row>
    <row r="769" spans="1:6" x14ac:dyDescent="0.35">
      <c r="A769" t="str">
        <v>TXN100767</v>
      </c>
      <c r="B769">
        <f>_xlfn.XLOOKUP(clean_sales!P769,Dim_Date!B:B,Dim_Date!A:A)</f>
        <v>20251128</v>
      </c>
      <c r="C769">
        <f>_xlfn.XLOOKUP(clean_sales!C769,Dim_Customer!B:B,Dim_Customer!A:A)</f>
        <v>547</v>
      </c>
      <c r="D769">
        <f>_xlfn.XLOOKUP(clean_sales!I769,Dim_Product!B:B,Dim_Product!A:A)</f>
        <v>1</v>
      </c>
      <c r="E769">
        <f>clean_sales!L769</f>
        <v>4</v>
      </c>
      <c r="F769">
        <f>clean_sales!T769</f>
        <v>48000</v>
      </c>
    </row>
    <row r="770" spans="1:6" x14ac:dyDescent="0.35">
      <c r="A770" t="str">
        <v>TXN100768</v>
      </c>
      <c r="B770">
        <f>_xlfn.XLOOKUP(clean_sales!P770,Dim_Date!B:B,Dim_Date!A:A)</f>
        <v>20250509</v>
      </c>
      <c r="C770">
        <f>_xlfn.XLOOKUP(clean_sales!C770,Dim_Customer!B:B,Dim_Customer!A:A)</f>
        <v>515</v>
      </c>
      <c r="D770">
        <f>_xlfn.XLOOKUP(clean_sales!I770,Dim_Product!B:B,Dim_Product!A:A)</f>
        <v>6</v>
      </c>
      <c r="E770">
        <f>clean_sales!L770</f>
        <v>4</v>
      </c>
      <c r="F770">
        <f>clean_sales!T770</f>
        <v>288000</v>
      </c>
    </row>
    <row r="771" spans="1:6" x14ac:dyDescent="0.35">
      <c r="A771" t="str">
        <v>TXN100769</v>
      </c>
      <c r="B771">
        <f>_xlfn.XLOOKUP(clean_sales!P771,Dim_Date!B:B,Dim_Date!A:A)</f>
        <v>20251015</v>
      </c>
      <c r="C771">
        <f>_xlfn.XLOOKUP(clean_sales!C771,Dim_Customer!B:B,Dim_Customer!A:A)</f>
        <v>458</v>
      </c>
      <c r="D771">
        <f>_xlfn.XLOOKUP(clean_sales!I771,Dim_Product!B:B,Dim_Product!A:A)</f>
        <v>5</v>
      </c>
      <c r="E771">
        <f>clean_sales!L771</f>
        <v>3</v>
      </c>
      <c r="F771">
        <f>clean_sales!T771</f>
        <v>5400</v>
      </c>
    </row>
    <row r="772" spans="1:6" x14ac:dyDescent="0.35">
      <c r="A772" t="str">
        <v>TXN100770</v>
      </c>
      <c r="B772">
        <f>_xlfn.XLOOKUP(clean_sales!P772,Dim_Date!B:B,Dim_Date!A:A)</f>
        <v>20251228</v>
      </c>
      <c r="C772">
        <f>_xlfn.XLOOKUP(clean_sales!C772,Dim_Customer!B:B,Dim_Customer!A:A)</f>
        <v>143</v>
      </c>
      <c r="D772">
        <f>_xlfn.XLOOKUP(clean_sales!I772,Dim_Product!B:B,Dim_Product!A:A)</f>
        <v>5</v>
      </c>
      <c r="E772">
        <f>clean_sales!L772</f>
        <v>3</v>
      </c>
      <c r="F772">
        <f>clean_sales!T772</f>
        <v>5400</v>
      </c>
    </row>
    <row r="773" spans="1:6" x14ac:dyDescent="0.35">
      <c r="A773" t="str">
        <v>TXN100771</v>
      </c>
      <c r="B773">
        <f>_xlfn.XLOOKUP(clean_sales!P773,Dim_Date!B:B,Dim_Date!A:A)</f>
        <v>20251124</v>
      </c>
      <c r="C773">
        <f>_xlfn.XLOOKUP(clean_sales!C773,Dim_Customer!B:B,Dim_Customer!A:A)</f>
        <v>548</v>
      </c>
      <c r="D773">
        <f>_xlfn.XLOOKUP(clean_sales!I773,Dim_Product!B:B,Dim_Product!A:A)</f>
        <v>7</v>
      </c>
      <c r="E773">
        <f>clean_sales!L773</f>
        <v>1</v>
      </c>
      <c r="F773">
        <f>clean_sales!T773</f>
        <v>58000</v>
      </c>
    </row>
    <row r="774" spans="1:6" x14ac:dyDescent="0.35">
      <c r="A774" t="str">
        <v>TXN100772</v>
      </c>
      <c r="B774">
        <f>_xlfn.XLOOKUP(clean_sales!P774,Dim_Date!B:B,Dim_Date!A:A)</f>
        <v>20251012</v>
      </c>
      <c r="C774">
        <f>_xlfn.XLOOKUP(clean_sales!C774,Dim_Customer!B:B,Dim_Customer!A:A)</f>
        <v>549</v>
      </c>
      <c r="D774">
        <f>_xlfn.XLOOKUP(clean_sales!I774,Dim_Product!B:B,Dim_Product!A:A)</f>
        <v>5</v>
      </c>
      <c r="E774">
        <f>clean_sales!L774</f>
        <v>4</v>
      </c>
      <c r="F774">
        <f>clean_sales!T774</f>
        <v>7200</v>
      </c>
    </row>
    <row r="775" spans="1:6" x14ac:dyDescent="0.35">
      <c r="A775" t="str">
        <v>TXN100773</v>
      </c>
      <c r="B775">
        <f>_xlfn.XLOOKUP(clean_sales!P775,Dim_Date!B:B,Dim_Date!A:A)</f>
        <v>20251229</v>
      </c>
      <c r="C775">
        <f>_xlfn.XLOOKUP(clean_sales!C775,Dim_Customer!B:B,Dim_Customer!A:A)</f>
        <v>550</v>
      </c>
      <c r="D775">
        <f>_xlfn.XLOOKUP(clean_sales!I775,Dim_Product!B:B,Dim_Product!A:A)</f>
        <v>7</v>
      </c>
      <c r="E775">
        <f>clean_sales!L775</f>
        <v>4</v>
      </c>
      <c r="F775">
        <f>clean_sales!T775</f>
        <v>232000</v>
      </c>
    </row>
    <row r="776" spans="1:6" x14ac:dyDescent="0.35">
      <c r="A776" t="str">
        <v>TXN100774</v>
      </c>
      <c r="B776">
        <f>_xlfn.XLOOKUP(clean_sales!P776,Dim_Date!B:B,Dim_Date!A:A)</f>
        <v>20250108</v>
      </c>
      <c r="C776">
        <f>_xlfn.XLOOKUP(clean_sales!C776,Dim_Customer!B:B,Dim_Customer!A:A)</f>
        <v>551</v>
      </c>
      <c r="D776">
        <f>_xlfn.XLOOKUP(clean_sales!I776,Dim_Product!B:B,Dim_Product!A:A)</f>
        <v>4</v>
      </c>
      <c r="E776">
        <f>clean_sales!L776</f>
        <v>1</v>
      </c>
      <c r="F776">
        <f>clean_sales!T776</f>
        <v>4500</v>
      </c>
    </row>
    <row r="777" spans="1:6" x14ac:dyDescent="0.35">
      <c r="A777" t="str">
        <v>TXN100775</v>
      </c>
      <c r="B777">
        <f>_xlfn.XLOOKUP(clean_sales!P777,Dim_Date!B:B,Dim_Date!A:A)</f>
        <v>20251013</v>
      </c>
      <c r="C777">
        <f>_xlfn.XLOOKUP(clean_sales!C777,Dim_Customer!B:B,Dim_Customer!A:A)</f>
        <v>87</v>
      </c>
      <c r="D777">
        <f>_xlfn.XLOOKUP(clean_sales!I777,Dim_Product!B:B,Dim_Product!A:A)</f>
        <v>5</v>
      </c>
      <c r="E777">
        <f>clean_sales!L777</f>
        <v>3</v>
      </c>
      <c r="F777">
        <f>clean_sales!T777</f>
        <v>5400</v>
      </c>
    </row>
    <row r="778" spans="1:6" x14ac:dyDescent="0.35">
      <c r="A778" t="str">
        <v>TXN100776</v>
      </c>
      <c r="B778">
        <f>_xlfn.XLOOKUP(clean_sales!P778,Dim_Date!B:B,Dim_Date!A:A)</f>
        <v>20250920</v>
      </c>
      <c r="C778">
        <f>_xlfn.XLOOKUP(clean_sales!C778,Dim_Customer!B:B,Dim_Customer!A:A)</f>
        <v>552</v>
      </c>
      <c r="D778">
        <f>_xlfn.XLOOKUP(clean_sales!I778,Dim_Product!B:B,Dim_Product!A:A)</f>
        <v>2</v>
      </c>
      <c r="E778">
        <f>clean_sales!L778</f>
        <v>4</v>
      </c>
      <c r="F778">
        <f>clean_sales!T778</f>
        <v>260000</v>
      </c>
    </row>
    <row r="779" spans="1:6" x14ac:dyDescent="0.35">
      <c r="A779" t="str">
        <v>TXN100777</v>
      </c>
      <c r="B779">
        <f>_xlfn.XLOOKUP(clean_sales!P779,Dim_Date!B:B,Dim_Date!A:A)</f>
        <v>20250923</v>
      </c>
      <c r="C779">
        <f>_xlfn.XLOOKUP(clean_sales!C779,Dim_Customer!B:B,Dim_Customer!A:A)</f>
        <v>553</v>
      </c>
      <c r="D779">
        <f>_xlfn.XLOOKUP(clean_sales!I779,Dim_Product!B:B,Dim_Product!A:A)</f>
        <v>5</v>
      </c>
      <c r="E779">
        <f>clean_sales!L779</f>
        <v>5</v>
      </c>
      <c r="F779">
        <f>clean_sales!T779</f>
        <v>9000</v>
      </c>
    </row>
    <row r="780" spans="1:6" x14ac:dyDescent="0.35">
      <c r="A780" t="str">
        <v>TXN100778</v>
      </c>
      <c r="B780">
        <f>_xlfn.XLOOKUP(clean_sales!P780,Dim_Date!B:B,Dim_Date!A:A)</f>
        <v>20250227</v>
      </c>
      <c r="C780">
        <f>_xlfn.XLOOKUP(clean_sales!C780,Dim_Customer!B:B,Dim_Customer!A:A)</f>
        <v>554</v>
      </c>
      <c r="D780">
        <f>_xlfn.XLOOKUP(clean_sales!I780,Dim_Product!B:B,Dim_Product!A:A)</f>
        <v>1</v>
      </c>
      <c r="E780">
        <f>clean_sales!L780</f>
        <v>4</v>
      </c>
      <c r="F780">
        <f>clean_sales!T780</f>
        <v>48000</v>
      </c>
    </row>
    <row r="781" spans="1:6" x14ac:dyDescent="0.35">
      <c r="A781" t="str">
        <v>TXN100779</v>
      </c>
      <c r="B781">
        <f>_xlfn.XLOOKUP(clean_sales!P781,Dim_Date!B:B,Dim_Date!A:A)</f>
        <v>20250203</v>
      </c>
      <c r="C781">
        <f>_xlfn.XLOOKUP(clean_sales!C781,Dim_Customer!B:B,Dim_Customer!A:A)</f>
        <v>285</v>
      </c>
      <c r="D781">
        <f>_xlfn.XLOOKUP(clean_sales!I781,Dim_Product!B:B,Dim_Product!A:A)</f>
        <v>3</v>
      </c>
      <c r="E781">
        <f>clean_sales!L781</f>
        <v>5</v>
      </c>
      <c r="F781">
        <f>clean_sales!T781</f>
        <v>25000</v>
      </c>
    </row>
    <row r="782" spans="1:6" x14ac:dyDescent="0.35">
      <c r="A782" t="str">
        <v>TXN100780</v>
      </c>
      <c r="B782">
        <f>_xlfn.XLOOKUP(clean_sales!P782,Dim_Date!B:B,Dim_Date!A:A)</f>
        <v>20250521</v>
      </c>
      <c r="C782">
        <f>_xlfn.XLOOKUP(clean_sales!C782,Dim_Customer!B:B,Dim_Customer!A:A)</f>
        <v>555</v>
      </c>
      <c r="D782">
        <f>_xlfn.XLOOKUP(clean_sales!I782,Dim_Product!B:B,Dim_Product!A:A)</f>
        <v>3</v>
      </c>
      <c r="E782">
        <f>clean_sales!L782</f>
        <v>1</v>
      </c>
      <c r="F782">
        <f>clean_sales!T782</f>
        <v>5000</v>
      </c>
    </row>
    <row r="783" spans="1:6" x14ac:dyDescent="0.35">
      <c r="A783" t="str">
        <v>TXN100781</v>
      </c>
      <c r="B783">
        <f>_xlfn.XLOOKUP(clean_sales!P783,Dim_Date!B:B,Dim_Date!A:A)</f>
        <v>20250428</v>
      </c>
      <c r="C783">
        <f>_xlfn.XLOOKUP(clean_sales!C783,Dim_Customer!B:B,Dim_Customer!A:A)</f>
        <v>30</v>
      </c>
      <c r="D783">
        <f>_xlfn.XLOOKUP(clean_sales!I783,Dim_Product!B:B,Dim_Product!A:A)</f>
        <v>7</v>
      </c>
      <c r="E783">
        <f>clean_sales!L783</f>
        <v>2</v>
      </c>
      <c r="F783">
        <f>clean_sales!T783</f>
        <v>116000</v>
      </c>
    </row>
    <row r="784" spans="1:6" x14ac:dyDescent="0.35">
      <c r="A784" t="str">
        <v>TXN100782</v>
      </c>
      <c r="B784">
        <f>_xlfn.XLOOKUP(clean_sales!P784,Dim_Date!B:B,Dim_Date!A:A)</f>
        <v>20250703</v>
      </c>
      <c r="C784">
        <f>_xlfn.XLOOKUP(clean_sales!C784,Dim_Customer!B:B,Dim_Customer!A:A)</f>
        <v>421</v>
      </c>
      <c r="D784">
        <f>_xlfn.XLOOKUP(clean_sales!I784,Dim_Product!B:B,Dim_Product!A:A)</f>
        <v>3</v>
      </c>
      <c r="E784">
        <f>clean_sales!L784</f>
        <v>1</v>
      </c>
      <c r="F784">
        <f>clean_sales!T784</f>
        <v>5000</v>
      </c>
    </row>
    <row r="785" spans="1:6" x14ac:dyDescent="0.35">
      <c r="A785" t="str">
        <v>TXN100783</v>
      </c>
      <c r="B785">
        <f>_xlfn.XLOOKUP(clean_sales!P785,Dim_Date!B:B,Dim_Date!A:A)</f>
        <v>20250322</v>
      </c>
      <c r="C785">
        <f>_xlfn.XLOOKUP(clean_sales!C785,Dim_Customer!B:B,Dim_Customer!A:A)</f>
        <v>263</v>
      </c>
      <c r="D785">
        <f>_xlfn.XLOOKUP(clean_sales!I785,Dim_Product!B:B,Dim_Product!A:A)</f>
        <v>4</v>
      </c>
      <c r="E785">
        <f>clean_sales!L785</f>
        <v>5</v>
      </c>
      <c r="F785">
        <f>clean_sales!T785</f>
        <v>22500</v>
      </c>
    </row>
    <row r="786" spans="1:6" x14ac:dyDescent="0.35">
      <c r="A786" t="str">
        <v>TXN100784</v>
      </c>
      <c r="B786">
        <f>_xlfn.XLOOKUP(clean_sales!P786,Dim_Date!B:B,Dim_Date!A:A)</f>
        <v>20250911</v>
      </c>
      <c r="C786">
        <f>_xlfn.XLOOKUP(clean_sales!C786,Dim_Customer!B:B,Dim_Customer!A:A)</f>
        <v>556</v>
      </c>
      <c r="D786">
        <f>_xlfn.XLOOKUP(clean_sales!I786,Dim_Product!B:B,Dim_Product!A:A)</f>
        <v>2</v>
      </c>
      <c r="E786">
        <f>clean_sales!L786</f>
        <v>4</v>
      </c>
      <c r="F786">
        <f>clean_sales!T786</f>
        <v>260000</v>
      </c>
    </row>
    <row r="787" spans="1:6" x14ac:dyDescent="0.35">
      <c r="A787" t="str">
        <v>TXN100785</v>
      </c>
      <c r="B787">
        <f>_xlfn.XLOOKUP(clean_sales!P787,Dim_Date!B:B,Dim_Date!A:A)</f>
        <v>20250118</v>
      </c>
      <c r="C787">
        <f>_xlfn.XLOOKUP(clean_sales!C787,Dim_Customer!B:B,Dim_Customer!A:A)</f>
        <v>557</v>
      </c>
      <c r="D787">
        <f>_xlfn.XLOOKUP(clean_sales!I787,Dim_Product!B:B,Dim_Product!A:A)</f>
        <v>1</v>
      </c>
      <c r="E787">
        <f>clean_sales!L787</f>
        <v>3</v>
      </c>
      <c r="F787">
        <f>clean_sales!T787</f>
        <v>36000</v>
      </c>
    </row>
    <row r="788" spans="1:6" x14ac:dyDescent="0.35">
      <c r="A788" t="str">
        <v>TXN100786</v>
      </c>
      <c r="B788">
        <f>_xlfn.XLOOKUP(clean_sales!P788,Dim_Date!B:B,Dim_Date!A:A)</f>
        <v>20250922</v>
      </c>
      <c r="C788">
        <f>_xlfn.XLOOKUP(clean_sales!C788,Dim_Customer!B:B,Dim_Customer!A:A)</f>
        <v>558</v>
      </c>
      <c r="D788">
        <f>_xlfn.XLOOKUP(clean_sales!I788,Dim_Product!B:B,Dim_Product!A:A)</f>
        <v>4</v>
      </c>
      <c r="E788">
        <f>clean_sales!L788</f>
        <v>2</v>
      </c>
      <c r="F788">
        <f>clean_sales!T788</f>
        <v>9000</v>
      </c>
    </row>
    <row r="789" spans="1:6" x14ac:dyDescent="0.35">
      <c r="A789" t="str">
        <v>TXN100787</v>
      </c>
      <c r="B789">
        <f>_xlfn.XLOOKUP(clean_sales!P789,Dim_Date!B:B,Dim_Date!A:A)</f>
        <v>20250111</v>
      </c>
      <c r="C789">
        <f>_xlfn.XLOOKUP(clean_sales!C789,Dim_Customer!B:B,Dim_Customer!A:A)</f>
        <v>91</v>
      </c>
      <c r="D789">
        <f>_xlfn.XLOOKUP(clean_sales!I789,Dim_Product!B:B,Dim_Product!A:A)</f>
        <v>6</v>
      </c>
      <c r="E789">
        <f>clean_sales!L789</f>
        <v>2</v>
      </c>
      <c r="F789">
        <f>clean_sales!T789</f>
        <v>144000</v>
      </c>
    </row>
    <row r="790" spans="1:6" x14ac:dyDescent="0.35">
      <c r="A790" t="str">
        <v>TXN100788</v>
      </c>
      <c r="B790">
        <f>_xlfn.XLOOKUP(clean_sales!P790,Dim_Date!B:B,Dim_Date!A:A)</f>
        <v>20250831</v>
      </c>
      <c r="C790">
        <f>_xlfn.XLOOKUP(clean_sales!C790,Dim_Customer!B:B,Dim_Customer!A:A)</f>
        <v>559</v>
      </c>
      <c r="D790">
        <f>_xlfn.XLOOKUP(clean_sales!I790,Dim_Product!B:B,Dim_Product!A:A)</f>
        <v>2</v>
      </c>
      <c r="E790">
        <f>clean_sales!L790</f>
        <v>1</v>
      </c>
      <c r="F790">
        <f>clean_sales!T790</f>
        <v>65000</v>
      </c>
    </row>
    <row r="791" spans="1:6" x14ac:dyDescent="0.35">
      <c r="A791" t="str">
        <v>TXN100789</v>
      </c>
      <c r="B791">
        <f>_xlfn.XLOOKUP(clean_sales!P791,Dim_Date!B:B,Dim_Date!A:A)</f>
        <v>20250409</v>
      </c>
      <c r="C791">
        <f>_xlfn.XLOOKUP(clean_sales!C791,Dim_Customer!B:B,Dim_Customer!A:A)</f>
        <v>225</v>
      </c>
      <c r="D791">
        <f>_xlfn.XLOOKUP(clean_sales!I791,Dim_Product!B:B,Dim_Product!A:A)</f>
        <v>7</v>
      </c>
      <c r="E791">
        <f>clean_sales!L791</f>
        <v>1</v>
      </c>
      <c r="F791">
        <f>clean_sales!T791</f>
        <v>58000</v>
      </c>
    </row>
    <row r="792" spans="1:6" x14ac:dyDescent="0.35">
      <c r="A792" t="str">
        <v>TXN100790</v>
      </c>
      <c r="B792">
        <f>_xlfn.XLOOKUP(clean_sales!P792,Dim_Date!B:B,Dim_Date!A:A)</f>
        <v>20250706</v>
      </c>
      <c r="C792">
        <f>_xlfn.XLOOKUP(clean_sales!C792,Dim_Customer!B:B,Dim_Customer!A:A)</f>
        <v>560</v>
      </c>
      <c r="D792">
        <f>_xlfn.XLOOKUP(clean_sales!I792,Dim_Product!B:B,Dim_Product!A:A)</f>
        <v>3</v>
      </c>
      <c r="E792">
        <f>clean_sales!L792</f>
        <v>2</v>
      </c>
      <c r="F792">
        <f>clean_sales!T792</f>
        <v>10000</v>
      </c>
    </row>
    <row r="793" spans="1:6" x14ac:dyDescent="0.35">
      <c r="A793" t="str">
        <v>TXN100791</v>
      </c>
      <c r="B793">
        <f>_xlfn.XLOOKUP(clean_sales!P793,Dim_Date!B:B,Dim_Date!A:A)</f>
        <v>20250815</v>
      </c>
      <c r="C793">
        <f>_xlfn.XLOOKUP(clean_sales!C793,Dim_Customer!B:B,Dim_Customer!A:A)</f>
        <v>561</v>
      </c>
      <c r="D793">
        <f>_xlfn.XLOOKUP(clean_sales!I793,Dim_Product!B:B,Dim_Product!A:A)</f>
        <v>2</v>
      </c>
      <c r="E793">
        <f>clean_sales!L793</f>
        <v>2</v>
      </c>
      <c r="F793">
        <f>clean_sales!T793</f>
        <v>130000</v>
      </c>
    </row>
    <row r="794" spans="1:6" x14ac:dyDescent="0.35">
      <c r="A794" t="str">
        <v>TXN100792</v>
      </c>
      <c r="B794">
        <f>_xlfn.XLOOKUP(clean_sales!P794,Dim_Date!B:B,Dim_Date!A:A)</f>
        <v>20250223</v>
      </c>
      <c r="C794">
        <f>_xlfn.XLOOKUP(clean_sales!C794,Dim_Customer!B:B,Dim_Customer!A:A)</f>
        <v>211</v>
      </c>
      <c r="D794">
        <f>_xlfn.XLOOKUP(clean_sales!I794,Dim_Product!B:B,Dim_Product!A:A)</f>
        <v>5</v>
      </c>
      <c r="E794">
        <f>clean_sales!L794</f>
        <v>1</v>
      </c>
      <c r="F794">
        <f>clean_sales!T794</f>
        <v>1800</v>
      </c>
    </row>
    <row r="795" spans="1:6" x14ac:dyDescent="0.35">
      <c r="A795" t="str">
        <v>TXN100793</v>
      </c>
      <c r="B795">
        <f>_xlfn.XLOOKUP(clean_sales!P795,Dim_Date!B:B,Dim_Date!A:A)</f>
        <v>20250712</v>
      </c>
      <c r="C795">
        <f>_xlfn.XLOOKUP(clean_sales!C795,Dim_Customer!B:B,Dim_Customer!A:A)</f>
        <v>269</v>
      </c>
      <c r="D795">
        <f>_xlfn.XLOOKUP(clean_sales!I795,Dim_Product!B:B,Dim_Product!A:A)</f>
        <v>7</v>
      </c>
      <c r="E795">
        <f>clean_sales!L795</f>
        <v>1</v>
      </c>
      <c r="F795">
        <f>clean_sales!T795</f>
        <v>58000</v>
      </c>
    </row>
    <row r="796" spans="1:6" x14ac:dyDescent="0.35">
      <c r="A796" t="str">
        <v>TXN100794</v>
      </c>
      <c r="B796">
        <f>_xlfn.XLOOKUP(clean_sales!P796,Dim_Date!B:B,Dim_Date!A:A)</f>
        <v>20250323</v>
      </c>
      <c r="C796">
        <f>_xlfn.XLOOKUP(clean_sales!C796,Dim_Customer!B:B,Dim_Customer!A:A)</f>
        <v>409</v>
      </c>
      <c r="D796">
        <f>_xlfn.XLOOKUP(clean_sales!I796,Dim_Product!B:B,Dim_Product!A:A)</f>
        <v>1</v>
      </c>
      <c r="E796">
        <f>clean_sales!L796</f>
        <v>3</v>
      </c>
      <c r="F796">
        <f>clean_sales!T796</f>
        <v>36000</v>
      </c>
    </row>
    <row r="797" spans="1:6" x14ac:dyDescent="0.35">
      <c r="A797" t="str">
        <v>TXN100795</v>
      </c>
      <c r="B797">
        <f>_xlfn.XLOOKUP(clean_sales!P797,Dim_Date!B:B,Dim_Date!A:A)</f>
        <v>20250510</v>
      </c>
      <c r="C797">
        <f>_xlfn.XLOOKUP(clean_sales!C797,Dim_Customer!B:B,Dim_Customer!A:A)</f>
        <v>562</v>
      </c>
      <c r="D797">
        <f>_xlfn.XLOOKUP(clean_sales!I797,Dim_Product!B:B,Dim_Product!A:A)</f>
        <v>4</v>
      </c>
      <c r="E797">
        <f>clean_sales!L797</f>
        <v>1</v>
      </c>
      <c r="F797">
        <f>clean_sales!T797</f>
        <v>4500</v>
      </c>
    </row>
    <row r="798" spans="1:6" x14ac:dyDescent="0.35">
      <c r="A798" t="str">
        <v>TXN100796</v>
      </c>
      <c r="B798">
        <f>_xlfn.XLOOKUP(clean_sales!P798,Dim_Date!B:B,Dim_Date!A:A)</f>
        <v>20251230</v>
      </c>
      <c r="C798">
        <f>_xlfn.XLOOKUP(clean_sales!C798,Dim_Customer!B:B,Dim_Customer!A:A)</f>
        <v>563</v>
      </c>
      <c r="D798">
        <f>_xlfn.XLOOKUP(clean_sales!I798,Dim_Product!B:B,Dim_Product!A:A)</f>
        <v>1</v>
      </c>
      <c r="E798">
        <f>clean_sales!L798</f>
        <v>5</v>
      </c>
      <c r="F798">
        <f>clean_sales!T798</f>
        <v>60000</v>
      </c>
    </row>
    <row r="799" spans="1:6" x14ac:dyDescent="0.35">
      <c r="A799" t="str">
        <v>TXN100797</v>
      </c>
      <c r="B799">
        <f>_xlfn.XLOOKUP(clean_sales!P799,Dim_Date!B:B,Dim_Date!A:A)</f>
        <v>20250202</v>
      </c>
      <c r="C799">
        <f>_xlfn.XLOOKUP(clean_sales!C799,Dim_Customer!B:B,Dim_Customer!A:A)</f>
        <v>564</v>
      </c>
      <c r="D799">
        <f>_xlfn.XLOOKUP(clean_sales!I799,Dim_Product!B:B,Dim_Product!A:A)</f>
        <v>7</v>
      </c>
      <c r="E799">
        <f>clean_sales!L799</f>
        <v>3</v>
      </c>
      <c r="F799">
        <f>clean_sales!T799</f>
        <v>174000</v>
      </c>
    </row>
    <row r="800" spans="1:6" x14ac:dyDescent="0.35">
      <c r="A800" t="str">
        <v>TXN100798</v>
      </c>
      <c r="B800">
        <f>_xlfn.XLOOKUP(clean_sales!P800,Dim_Date!B:B,Dim_Date!A:A)</f>
        <v>20251031</v>
      </c>
      <c r="C800">
        <f>_xlfn.XLOOKUP(clean_sales!C800,Dim_Customer!B:B,Dim_Customer!A:A)</f>
        <v>478</v>
      </c>
      <c r="D800">
        <f>_xlfn.XLOOKUP(clean_sales!I800,Dim_Product!B:B,Dim_Product!A:A)</f>
        <v>6</v>
      </c>
      <c r="E800">
        <f>clean_sales!L800</f>
        <v>3</v>
      </c>
      <c r="F800">
        <f>clean_sales!T800</f>
        <v>216000</v>
      </c>
    </row>
    <row r="801" spans="1:6" x14ac:dyDescent="0.35">
      <c r="A801" t="str">
        <v>TXN100799</v>
      </c>
      <c r="B801">
        <f>_xlfn.XLOOKUP(clean_sales!P801,Dim_Date!B:B,Dim_Date!A:A)</f>
        <v>20251010</v>
      </c>
      <c r="C801">
        <f>_xlfn.XLOOKUP(clean_sales!C801,Dim_Customer!B:B,Dim_Customer!A:A)</f>
        <v>423</v>
      </c>
      <c r="D801">
        <f>_xlfn.XLOOKUP(clean_sales!I801,Dim_Product!B:B,Dim_Product!A:A)</f>
        <v>7</v>
      </c>
      <c r="E801">
        <f>clean_sales!L801</f>
        <v>5</v>
      </c>
      <c r="F801">
        <f>clean_sales!T801</f>
        <v>290000</v>
      </c>
    </row>
    <row r="802" spans="1:6" x14ac:dyDescent="0.35">
      <c r="A802" t="str">
        <v>TXN100800</v>
      </c>
      <c r="B802">
        <f>_xlfn.XLOOKUP(clean_sales!P802,Dim_Date!B:B,Dim_Date!A:A)</f>
        <v>20251206</v>
      </c>
      <c r="C802">
        <f>_xlfn.XLOOKUP(clean_sales!C802,Dim_Customer!B:B,Dim_Customer!A:A)</f>
        <v>565</v>
      </c>
      <c r="D802">
        <f>_xlfn.XLOOKUP(clean_sales!I802,Dim_Product!B:B,Dim_Product!A:A)</f>
        <v>2</v>
      </c>
      <c r="E802">
        <f>clean_sales!L802</f>
        <v>3</v>
      </c>
      <c r="F802">
        <f>clean_sales!T802</f>
        <v>195000</v>
      </c>
    </row>
    <row r="803" spans="1:6" x14ac:dyDescent="0.35">
      <c r="A803" t="str">
        <v>TXN100801</v>
      </c>
      <c r="B803">
        <f>_xlfn.XLOOKUP(clean_sales!P803,Dim_Date!B:B,Dim_Date!A:A)</f>
        <v>20251101</v>
      </c>
      <c r="C803">
        <f>_xlfn.XLOOKUP(clean_sales!C803,Dim_Customer!B:B,Dim_Customer!A:A)</f>
        <v>373</v>
      </c>
      <c r="D803">
        <f>_xlfn.XLOOKUP(clean_sales!I803,Dim_Product!B:B,Dim_Product!A:A)</f>
        <v>4</v>
      </c>
      <c r="E803">
        <f>clean_sales!L803</f>
        <v>1</v>
      </c>
      <c r="F803">
        <f>clean_sales!T803</f>
        <v>4500</v>
      </c>
    </row>
    <row r="804" spans="1:6" x14ac:dyDescent="0.35">
      <c r="A804" t="str">
        <v>TXN100802</v>
      </c>
      <c r="B804">
        <f>_xlfn.XLOOKUP(clean_sales!P804,Dim_Date!B:B,Dim_Date!A:A)</f>
        <v>20250423</v>
      </c>
      <c r="C804">
        <f>_xlfn.XLOOKUP(clean_sales!C804,Dim_Customer!B:B,Dim_Customer!A:A)</f>
        <v>566</v>
      </c>
      <c r="D804">
        <f>_xlfn.XLOOKUP(clean_sales!I804,Dim_Product!B:B,Dim_Product!A:A)</f>
        <v>4</v>
      </c>
      <c r="E804">
        <f>clean_sales!L804</f>
        <v>5</v>
      </c>
      <c r="F804">
        <f>clean_sales!T804</f>
        <v>22500</v>
      </c>
    </row>
    <row r="805" spans="1:6" x14ac:dyDescent="0.35">
      <c r="A805" t="str">
        <v>TXN100803</v>
      </c>
      <c r="B805">
        <f>_xlfn.XLOOKUP(clean_sales!P805,Dim_Date!B:B,Dim_Date!A:A)</f>
        <v>20250314</v>
      </c>
      <c r="C805">
        <f>_xlfn.XLOOKUP(clean_sales!C805,Dim_Customer!B:B,Dim_Customer!A:A)</f>
        <v>156</v>
      </c>
      <c r="D805">
        <f>_xlfn.XLOOKUP(clean_sales!I805,Dim_Product!B:B,Dim_Product!A:A)</f>
        <v>2</v>
      </c>
      <c r="E805">
        <f>clean_sales!L805</f>
        <v>2</v>
      </c>
      <c r="F805">
        <f>clean_sales!T805</f>
        <v>130000</v>
      </c>
    </row>
    <row r="806" spans="1:6" x14ac:dyDescent="0.35">
      <c r="A806" t="str">
        <v>TXN100804</v>
      </c>
      <c r="B806">
        <f>_xlfn.XLOOKUP(clean_sales!P806,Dim_Date!B:B,Dim_Date!A:A)</f>
        <v>20250516</v>
      </c>
      <c r="C806">
        <f>_xlfn.XLOOKUP(clean_sales!C806,Dim_Customer!B:B,Dim_Customer!A:A)</f>
        <v>310</v>
      </c>
      <c r="D806">
        <f>_xlfn.XLOOKUP(clean_sales!I806,Dim_Product!B:B,Dim_Product!A:A)</f>
        <v>7</v>
      </c>
      <c r="E806">
        <f>clean_sales!L806</f>
        <v>1</v>
      </c>
      <c r="F806">
        <f>clean_sales!T806</f>
        <v>58000</v>
      </c>
    </row>
    <row r="807" spans="1:6" x14ac:dyDescent="0.35">
      <c r="A807" t="str">
        <v>TXN100805</v>
      </c>
      <c r="B807">
        <f>_xlfn.XLOOKUP(clean_sales!P807,Dim_Date!B:B,Dim_Date!A:A)</f>
        <v>20250429</v>
      </c>
      <c r="C807">
        <f>_xlfn.XLOOKUP(clean_sales!C807,Dim_Customer!B:B,Dim_Customer!A:A)</f>
        <v>247</v>
      </c>
      <c r="D807">
        <f>_xlfn.XLOOKUP(clean_sales!I807,Dim_Product!B:B,Dim_Product!A:A)</f>
        <v>1</v>
      </c>
      <c r="E807">
        <f>clean_sales!L807</f>
        <v>5</v>
      </c>
      <c r="F807">
        <f>clean_sales!T807</f>
        <v>60000</v>
      </c>
    </row>
    <row r="808" spans="1:6" x14ac:dyDescent="0.35">
      <c r="A808" t="str">
        <v>TXN100806</v>
      </c>
      <c r="B808">
        <f>_xlfn.XLOOKUP(clean_sales!P808,Dim_Date!B:B,Dim_Date!A:A)</f>
        <v>20250511</v>
      </c>
      <c r="C808">
        <f>_xlfn.XLOOKUP(clean_sales!C808,Dim_Customer!B:B,Dim_Customer!A:A)</f>
        <v>567</v>
      </c>
      <c r="D808">
        <f>_xlfn.XLOOKUP(clean_sales!I808,Dim_Product!B:B,Dim_Product!A:A)</f>
        <v>6</v>
      </c>
      <c r="E808">
        <f>clean_sales!L808</f>
        <v>2</v>
      </c>
      <c r="F808">
        <f>clean_sales!T808</f>
        <v>144000</v>
      </c>
    </row>
    <row r="809" spans="1:6" x14ac:dyDescent="0.35">
      <c r="A809" t="str">
        <v>TXN100807</v>
      </c>
      <c r="B809">
        <f>_xlfn.XLOOKUP(clean_sales!P809,Dim_Date!B:B,Dim_Date!A:A)</f>
        <v>20250805</v>
      </c>
      <c r="C809">
        <f>_xlfn.XLOOKUP(clean_sales!C809,Dim_Customer!B:B,Dim_Customer!A:A)</f>
        <v>568</v>
      </c>
      <c r="D809">
        <f>_xlfn.XLOOKUP(clean_sales!I809,Dim_Product!B:B,Dim_Product!A:A)</f>
        <v>1</v>
      </c>
      <c r="E809">
        <f>clean_sales!L809</f>
        <v>5</v>
      </c>
      <c r="F809">
        <f>clean_sales!T809</f>
        <v>60000</v>
      </c>
    </row>
    <row r="810" spans="1:6" x14ac:dyDescent="0.35">
      <c r="A810" t="str">
        <v>TXN100808</v>
      </c>
      <c r="B810">
        <f>_xlfn.XLOOKUP(clean_sales!P810,Dim_Date!B:B,Dim_Date!A:A)</f>
        <v>20250802</v>
      </c>
      <c r="C810">
        <f>_xlfn.XLOOKUP(clean_sales!C810,Dim_Customer!B:B,Dim_Customer!A:A)</f>
        <v>569</v>
      </c>
      <c r="D810">
        <f>_xlfn.XLOOKUP(clean_sales!I810,Dim_Product!B:B,Dim_Product!A:A)</f>
        <v>4</v>
      </c>
      <c r="E810">
        <f>clean_sales!L810</f>
        <v>2</v>
      </c>
      <c r="F810">
        <f>clean_sales!T810</f>
        <v>9000</v>
      </c>
    </row>
    <row r="811" spans="1:6" x14ac:dyDescent="0.35">
      <c r="A811" t="str">
        <v>TXN100809</v>
      </c>
      <c r="B811">
        <f>_xlfn.XLOOKUP(clean_sales!P811,Dim_Date!B:B,Dim_Date!A:A)</f>
        <v>20250927</v>
      </c>
      <c r="C811">
        <f>_xlfn.XLOOKUP(clean_sales!C811,Dim_Customer!B:B,Dim_Customer!A:A)</f>
        <v>100</v>
      </c>
      <c r="D811">
        <f>_xlfn.XLOOKUP(clean_sales!I811,Dim_Product!B:B,Dim_Product!A:A)</f>
        <v>1</v>
      </c>
      <c r="E811">
        <f>clean_sales!L811</f>
        <v>1</v>
      </c>
      <c r="F811">
        <f>clean_sales!T811</f>
        <v>12000</v>
      </c>
    </row>
    <row r="812" spans="1:6" x14ac:dyDescent="0.35">
      <c r="A812" t="str">
        <v>TXN100810</v>
      </c>
      <c r="B812">
        <f>_xlfn.XLOOKUP(clean_sales!P812,Dim_Date!B:B,Dim_Date!A:A)</f>
        <v>20250803</v>
      </c>
      <c r="C812">
        <f>_xlfn.XLOOKUP(clean_sales!C812,Dim_Customer!B:B,Dim_Customer!A:A)</f>
        <v>170</v>
      </c>
      <c r="D812">
        <f>_xlfn.XLOOKUP(clean_sales!I812,Dim_Product!B:B,Dim_Product!A:A)</f>
        <v>3</v>
      </c>
      <c r="E812">
        <f>clean_sales!L812</f>
        <v>1</v>
      </c>
      <c r="F812">
        <f>clean_sales!T812</f>
        <v>5000</v>
      </c>
    </row>
    <row r="813" spans="1:6" x14ac:dyDescent="0.35">
      <c r="A813" t="str">
        <v>TXN100811</v>
      </c>
      <c r="B813">
        <f>_xlfn.XLOOKUP(clean_sales!P813,Dim_Date!B:B,Dim_Date!A:A)</f>
        <v>20250718</v>
      </c>
      <c r="C813">
        <f>_xlfn.XLOOKUP(clean_sales!C813,Dim_Customer!B:B,Dim_Customer!A:A)</f>
        <v>414</v>
      </c>
      <c r="D813">
        <f>_xlfn.XLOOKUP(clean_sales!I813,Dim_Product!B:B,Dim_Product!A:A)</f>
        <v>3</v>
      </c>
      <c r="E813">
        <f>clean_sales!L813</f>
        <v>4</v>
      </c>
      <c r="F813">
        <f>clean_sales!T813</f>
        <v>20000</v>
      </c>
    </row>
    <row r="814" spans="1:6" x14ac:dyDescent="0.35">
      <c r="A814" t="str">
        <v>TXN100812</v>
      </c>
      <c r="B814">
        <f>_xlfn.XLOOKUP(clean_sales!P814,Dim_Date!B:B,Dim_Date!A:A)</f>
        <v>20251102</v>
      </c>
      <c r="C814">
        <f>_xlfn.XLOOKUP(clean_sales!C814,Dim_Customer!B:B,Dim_Customer!A:A)</f>
        <v>207</v>
      </c>
      <c r="D814">
        <f>_xlfn.XLOOKUP(clean_sales!I814,Dim_Product!B:B,Dim_Product!A:A)</f>
        <v>3</v>
      </c>
      <c r="E814">
        <f>clean_sales!L814</f>
        <v>5</v>
      </c>
      <c r="F814">
        <f>clean_sales!T814</f>
        <v>25000</v>
      </c>
    </row>
    <row r="815" spans="1:6" x14ac:dyDescent="0.35">
      <c r="A815" t="str">
        <v>TXN100813</v>
      </c>
      <c r="B815">
        <f>_xlfn.XLOOKUP(clean_sales!P815,Dim_Date!B:B,Dim_Date!A:A)</f>
        <v>20250526</v>
      </c>
      <c r="C815">
        <f>_xlfn.XLOOKUP(clean_sales!C815,Dim_Customer!B:B,Dim_Customer!A:A)</f>
        <v>570</v>
      </c>
      <c r="D815">
        <f>_xlfn.XLOOKUP(clean_sales!I815,Dim_Product!B:B,Dim_Product!A:A)</f>
        <v>4</v>
      </c>
      <c r="E815">
        <f>clean_sales!L815</f>
        <v>1</v>
      </c>
      <c r="F815">
        <f>clean_sales!T815</f>
        <v>4500</v>
      </c>
    </row>
    <row r="816" spans="1:6" x14ac:dyDescent="0.35">
      <c r="A816" t="str">
        <v>TXN100814</v>
      </c>
      <c r="B816">
        <f>_xlfn.XLOOKUP(clean_sales!P816,Dim_Date!B:B,Dim_Date!A:A)</f>
        <v>20251018</v>
      </c>
      <c r="C816">
        <f>_xlfn.XLOOKUP(clean_sales!C816,Dim_Customer!B:B,Dim_Customer!A:A)</f>
        <v>268</v>
      </c>
      <c r="D816">
        <f>_xlfn.XLOOKUP(clean_sales!I816,Dim_Product!B:B,Dim_Product!A:A)</f>
        <v>6</v>
      </c>
      <c r="E816">
        <f>clean_sales!L816</f>
        <v>2</v>
      </c>
      <c r="F816">
        <f>clean_sales!T816</f>
        <v>144000</v>
      </c>
    </row>
    <row r="817" spans="1:6" x14ac:dyDescent="0.35">
      <c r="A817" t="str">
        <v>TXN100815</v>
      </c>
      <c r="B817">
        <f>_xlfn.XLOOKUP(clean_sales!P817,Dim_Date!B:B,Dim_Date!A:A)</f>
        <v>20250518</v>
      </c>
      <c r="C817">
        <f>_xlfn.XLOOKUP(clean_sales!C817,Dim_Customer!B:B,Dim_Customer!A:A)</f>
        <v>389</v>
      </c>
      <c r="D817">
        <f>_xlfn.XLOOKUP(clean_sales!I817,Dim_Product!B:B,Dim_Product!A:A)</f>
        <v>7</v>
      </c>
      <c r="E817">
        <f>clean_sales!L817</f>
        <v>5</v>
      </c>
      <c r="F817">
        <f>clean_sales!T817</f>
        <v>290000</v>
      </c>
    </row>
    <row r="818" spans="1:6" x14ac:dyDescent="0.35">
      <c r="A818" t="str">
        <v>TXN100816</v>
      </c>
      <c r="B818">
        <f>_xlfn.XLOOKUP(clean_sales!P818,Dim_Date!B:B,Dim_Date!A:A)</f>
        <v>20250621</v>
      </c>
      <c r="C818">
        <f>_xlfn.XLOOKUP(clean_sales!C818,Dim_Customer!B:B,Dim_Customer!A:A)</f>
        <v>242</v>
      </c>
      <c r="D818">
        <f>_xlfn.XLOOKUP(clean_sales!I818,Dim_Product!B:B,Dim_Product!A:A)</f>
        <v>7</v>
      </c>
      <c r="E818">
        <f>clean_sales!L818</f>
        <v>3</v>
      </c>
      <c r="F818">
        <f>clean_sales!T818</f>
        <v>174000</v>
      </c>
    </row>
    <row r="819" spans="1:6" x14ac:dyDescent="0.35">
      <c r="A819" t="str">
        <v>TXN100817</v>
      </c>
      <c r="B819">
        <f>_xlfn.XLOOKUP(clean_sales!P819,Dim_Date!B:B,Dim_Date!A:A)</f>
        <v>20251207</v>
      </c>
      <c r="C819">
        <f>_xlfn.XLOOKUP(clean_sales!C819,Dim_Customer!B:B,Dim_Customer!A:A)</f>
        <v>571</v>
      </c>
      <c r="D819">
        <f>_xlfn.XLOOKUP(clean_sales!I819,Dim_Product!B:B,Dim_Product!A:A)</f>
        <v>7</v>
      </c>
      <c r="E819">
        <f>clean_sales!L819</f>
        <v>2</v>
      </c>
      <c r="F819">
        <f>clean_sales!T819</f>
        <v>116000</v>
      </c>
    </row>
    <row r="820" spans="1:6" x14ac:dyDescent="0.35">
      <c r="A820" t="str">
        <v>TXN100818</v>
      </c>
      <c r="B820">
        <f>_xlfn.XLOOKUP(clean_sales!P820,Dim_Date!B:B,Dim_Date!A:A)</f>
        <v>20250307</v>
      </c>
      <c r="C820">
        <f>_xlfn.XLOOKUP(clean_sales!C820,Dim_Customer!B:B,Dim_Customer!A:A)</f>
        <v>289</v>
      </c>
      <c r="D820">
        <f>_xlfn.XLOOKUP(clean_sales!I820,Dim_Product!B:B,Dim_Product!A:A)</f>
        <v>3</v>
      </c>
      <c r="E820">
        <f>clean_sales!L820</f>
        <v>5</v>
      </c>
      <c r="F820">
        <f>clean_sales!T820</f>
        <v>25000</v>
      </c>
    </row>
    <row r="821" spans="1:6" x14ac:dyDescent="0.35">
      <c r="A821" t="str">
        <v>TXN100819</v>
      </c>
      <c r="B821">
        <f>_xlfn.XLOOKUP(clean_sales!P821,Dim_Date!B:B,Dim_Date!A:A)</f>
        <v>20250618</v>
      </c>
      <c r="C821">
        <f>_xlfn.XLOOKUP(clean_sales!C821,Dim_Customer!B:B,Dim_Customer!A:A)</f>
        <v>246</v>
      </c>
      <c r="D821">
        <f>_xlfn.XLOOKUP(clean_sales!I821,Dim_Product!B:B,Dim_Product!A:A)</f>
        <v>2</v>
      </c>
      <c r="E821">
        <f>clean_sales!L821</f>
        <v>5</v>
      </c>
      <c r="F821">
        <f>clean_sales!T821</f>
        <v>325000</v>
      </c>
    </row>
    <row r="822" spans="1:6" x14ac:dyDescent="0.35">
      <c r="A822" t="str">
        <v>TXN100820</v>
      </c>
      <c r="B822">
        <f>_xlfn.XLOOKUP(clean_sales!P822,Dim_Date!B:B,Dim_Date!A:A)</f>
        <v>20250629</v>
      </c>
      <c r="C822">
        <f>_xlfn.XLOOKUP(clean_sales!C822,Dim_Customer!B:B,Dim_Customer!A:A)</f>
        <v>359</v>
      </c>
      <c r="D822">
        <f>_xlfn.XLOOKUP(clean_sales!I822,Dim_Product!B:B,Dim_Product!A:A)</f>
        <v>6</v>
      </c>
      <c r="E822">
        <f>clean_sales!L822</f>
        <v>1</v>
      </c>
      <c r="F822">
        <f>clean_sales!T822</f>
        <v>72000</v>
      </c>
    </row>
    <row r="823" spans="1:6" x14ac:dyDescent="0.35">
      <c r="A823" t="str">
        <v>TXN100821</v>
      </c>
      <c r="B823">
        <f>_xlfn.XLOOKUP(clean_sales!P823,Dim_Date!B:B,Dim_Date!A:A)</f>
        <v>20250320</v>
      </c>
      <c r="C823">
        <f>_xlfn.XLOOKUP(clean_sales!C823,Dim_Customer!B:B,Dim_Customer!A:A)</f>
        <v>296</v>
      </c>
      <c r="D823">
        <f>_xlfn.XLOOKUP(clean_sales!I823,Dim_Product!B:B,Dim_Product!A:A)</f>
        <v>2</v>
      </c>
      <c r="E823">
        <f>clean_sales!L823</f>
        <v>5</v>
      </c>
      <c r="F823">
        <f>clean_sales!T823</f>
        <v>325000</v>
      </c>
    </row>
    <row r="824" spans="1:6" x14ac:dyDescent="0.35">
      <c r="A824" t="str">
        <v>TXN100822</v>
      </c>
      <c r="B824">
        <f>_xlfn.XLOOKUP(clean_sales!P824,Dim_Date!B:B,Dim_Date!A:A)</f>
        <v>20250119</v>
      </c>
      <c r="C824">
        <f>_xlfn.XLOOKUP(clean_sales!C824,Dim_Customer!B:B,Dim_Customer!A:A)</f>
        <v>572</v>
      </c>
      <c r="D824">
        <f>_xlfn.XLOOKUP(clean_sales!I824,Dim_Product!B:B,Dim_Product!A:A)</f>
        <v>6</v>
      </c>
      <c r="E824">
        <f>clean_sales!L824</f>
        <v>1</v>
      </c>
      <c r="F824">
        <f>clean_sales!T824</f>
        <v>72000</v>
      </c>
    </row>
    <row r="825" spans="1:6" x14ac:dyDescent="0.35">
      <c r="A825" t="str">
        <v>TXN100823</v>
      </c>
      <c r="B825">
        <f>_xlfn.XLOOKUP(clean_sales!P825,Dim_Date!B:B,Dim_Date!A:A)</f>
        <v>20250627</v>
      </c>
      <c r="C825">
        <f>_xlfn.XLOOKUP(clean_sales!C825,Dim_Customer!B:B,Dim_Customer!A:A)</f>
        <v>241</v>
      </c>
      <c r="D825">
        <f>_xlfn.XLOOKUP(clean_sales!I825,Dim_Product!B:B,Dim_Product!A:A)</f>
        <v>1</v>
      </c>
      <c r="E825">
        <f>clean_sales!L825</f>
        <v>2</v>
      </c>
      <c r="F825">
        <f>clean_sales!T825</f>
        <v>24000</v>
      </c>
    </row>
    <row r="826" spans="1:6" x14ac:dyDescent="0.35">
      <c r="A826" t="str">
        <v>TXN100824</v>
      </c>
      <c r="B826">
        <f>_xlfn.XLOOKUP(clean_sales!P826,Dim_Date!B:B,Dim_Date!A:A)</f>
        <v>20250109</v>
      </c>
      <c r="C826">
        <f>_xlfn.XLOOKUP(clean_sales!C826,Dim_Customer!B:B,Dim_Customer!A:A)</f>
        <v>573</v>
      </c>
      <c r="D826">
        <f>_xlfn.XLOOKUP(clean_sales!I826,Dim_Product!B:B,Dim_Product!A:A)</f>
        <v>6</v>
      </c>
      <c r="E826">
        <f>clean_sales!L826</f>
        <v>3</v>
      </c>
      <c r="F826">
        <f>clean_sales!T826</f>
        <v>216000</v>
      </c>
    </row>
    <row r="827" spans="1:6" x14ac:dyDescent="0.35">
      <c r="A827" t="str">
        <v>TXN100825</v>
      </c>
      <c r="B827">
        <f>_xlfn.XLOOKUP(clean_sales!P827,Dim_Date!B:B,Dim_Date!A:A)</f>
        <v>20250319</v>
      </c>
      <c r="C827">
        <f>_xlfn.XLOOKUP(clean_sales!C827,Dim_Customer!B:B,Dim_Customer!A:A)</f>
        <v>377</v>
      </c>
      <c r="D827">
        <f>_xlfn.XLOOKUP(clean_sales!I827,Dim_Product!B:B,Dim_Product!A:A)</f>
        <v>7</v>
      </c>
      <c r="E827">
        <f>clean_sales!L827</f>
        <v>4</v>
      </c>
      <c r="F827">
        <f>clean_sales!T827</f>
        <v>232000</v>
      </c>
    </row>
    <row r="828" spans="1:6" x14ac:dyDescent="0.35">
      <c r="A828" t="str">
        <v>TXN100826</v>
      </c>
      <c r="B828">
        <f>_xlfn.XLOOKUP(clean_sales!P828,Dim_Date!B:B,Dim_Date!A:A)</f>
        <v>20251203</v>
      </c>
      <c r="C828">
        <f>_xlfn.XLOOKUP(clean_sales!C828,Dim_Customer!B:B,Dim_Customer!A:A)</f>
        <v>428</v>
      </c>
      <c r="D828">
        <f>_xlfn.XLOOKUP(clean_sales!I828,Dim_Product!B:B,Dim_Product!A:A)</f>
        <v>2</v>
      </c>
      <c r="E828">
        <f>clean_sales!L828</f>
        <v>2</v>
      </c>
      <c r="F828">
        <f>clean_sales!T828</f>
        <v>130000</v>
      </c>
    </row>
    <row r="829" spans="1:6" x14ac:dyDescent="0.35">
      <c r="A829" t="str">
        <v>TXN100827</v>
      </c>
      <c r="B829">
        <f>_xlfn.XLOOKUP(clean_sales!P829,Dim_Date!B:B,Dim_Date!A:A)</f>
        <v>20250110</v>
      </c>
      <c r="C829">
        <f>_xlfn.XLOOKUP(clean_sales!C829,Dim_Customer!B:B,Dim_Customer!A:A)</f>
        <v>574</v>
      </c>
      <c r="D829">
        <f>_xlfn.XLOOKUP(clean_sales!I829,Dim_Product!B:B,Dim_Product!A:A)</f>
        <v>2</v>
      </c>
      <c r="E829">
        <f>clean_sales!L829</f>
        <v>1</v>
      </c>
      <c r="F829">
        <f>clean_sales!T829</f>
        <v>65000</v>
      </c>
    </row>
    <row r="830" spans="1:6" x14ac:dyDescent="0.35">
      <c r="A830" t="str">
        <v>TXN100828</v>
      </c>
      <c r="B830">
        <f>_xlfn.XLOOKUP(clean_sales!P830,Dim_Date!B:B,Dim_Date!A:A)</f>
        <v>20250129</v>
      </c>
      <c r="C830">
        <f>_xlfn.XLOOKUP(clean_sales!C830,Dim_Customer!B:B,Dim_Customer!A:A)</f>
        <v>575</v>
      </c>
      <c r="D830">
        <f>_xlfn.XLOOKUP(clean_sales!I830,Dim_Product!B:B,Dim_Product!A:A)</f>
        <v>7</v>
      </c>
      <c r="E830">
        <f>clean_sales!L830</f>
        <v>1</v>
      </c>
      <c r="F830">
        <f>clean_sales!T830</f>
        <v>58000</v>
      </c>
    </row>
    <row r="831" spans="1:6" x14ac:dyDescent="0.35">
      <c r="A831" t="str">
        <v>TXN100829</v>
      </c>
      <c r="B831">
        <f>_xlfn.XLOOKUP(clean_sales!P831,Dim_Date!B:B,Dim_Date!A:A)</f>
        <v>20250502</v>
      </c>
      <c r="C831">
        <f>_xlfn.XLOOKUP(clean_sales!C831,Dim_Customer!B:B,Dim_Customer!A:A)</f>
        <v>576</v>
      </c>
      <c r="D831">
        <f>_xlfn.XLOOKUP(clean_sales!I831,Dim_Product!B:B,Dim_Product!A:A)</f>
        <v>6</v>
      </c>
      <c r="E831">
        <f>clean_sales!L831</f>
        <v>4</v>
      </c>
      <c r="F831">
        <f>clean_sales!T831</f>
        <v>288000</v>
      </c>
    </row>
    <row r="832" spans="1:6" x14ac:dyDescent="0.35">
      <c r="A832" t="str">
        <v>TXN100830</v>
      </c>
      <c r="B832">
        <f>_xlfn.XLOOKUP(clean_sales!P832,Dim_Date!B:B,Dim_Date!A:A)</f>
        <v>20250517</v>
      </c>
      <c r="C832">
        <f>_xlfn.XLOOKUP(clean_sales!C832,Dim_Customer!B:B,Dim_Customer!A:A)</f>
        <v>22</v>
      </c>
      <c r="D832">
        <f>_xlfn.XLOOKUP(clean_sales!I832,Dim_Product!B:B,Dim_Product!A:A)</f>
        <v>5</v>
      </c>
      <c r="E832">
        <f>clean_sales!L832</f>
        <v>4</v>
      </c>
      <c r="F832">
        <f>clean_sales!T832</f>
        <v>7200</v>
      </c>
    </row>
    <row r="833" spans="1:6" x14ac:dyDescent="0.35">
      <c r="A833" t="str">
        <v>TXN100831</v>
      </c>
      <c r="B833">
        <f>_xlfn.XLOOKUP(clean_sales!P833,Dim_Date!B:B,Dim_Date!A:A)</f>
        <v>20250112</v>
      </c>
      <c r="C833">
        <f>_xlfn.XLOOKUP(clean_sales!C833,Dim_Customer!B:B,Dim_Customer!A:A)</f>
        <v>40</v>
      </c>
      <c r="D833">
        <f>_xlfn.XLOOKUP(clean_sales!I833,Dim_Product!B:B,Dim_Product!A:A)</f>
        <v>4</v>
      </c>
      <c r="E833">
        <f>clean_sales!L833</f>
        <v>5</v>
      </c>
      <c r="F833">
        <f>clean_sales!T833</f>
        <v>22500</v>
      </c>
    </row>
    <row r="834" spans="1:6" x14ac:dyDescent="0.35">
      <c r="A834" t="str">
        <v>TXN100832</v>
      </c>
      <c r="B834">
        <f>_xlfn.XLOOKUP(clean_sales!P834,Dim_Date!B:B,Dim_Date!A:A)</f>
        <v>20251119</v>
      </c>
      <c r="C834">
        <f>_xlfn.XLOOKUP(clean_sales!C834,Dim_Customer!B:B,Dim_Customer!A:A)</f>
        <v>127</v>
      </c>
      <c r="D834">
        <f>_xlfn.XLOOKUP(clean_sales!I834,Dim_Product!B:B,Dim_Product!A:A)</f>
        <v>1</v>
      </c>
      <c r="E834">
        <f>clean_sales!L834</f>
        <v>3</v>
      </c>
      <c r="F834">
        <f>clean_sales!T834</f>
        <v>36000</v>
      </c>
    </row>
    <row r="835" spans="1:6" x14ac:dyDescent="0.35">
      <c r="A835" t="str">
        <v>TXN100833</v>
      </c>
      <c r="B835">
        <f>_xlfn.XLOOKUP(clean_sales!P835,Dim_Date!B:B,Dim_Date!A:A)</f>
        <v>20251225</v>
      </c>
      <c r="C835">
        <f>_xlfn.XLOOKUP(clean_sales!C835,Dim_Customer!B:B,Dim_Customer!A:A)</f>
        <v>396</v>
      </c>
      <c r="D835">
        <f>_xlfn.XLOOKUP(clean_sales!I835,Dim_Product!B:B,Dim_Product!A:A)</f>
        <v>5</v>
      </c>
      <c r="E835">
        <f>clean_sales!L835</f>
        <v>5</v>
      </c>
      <c r="F835">
        <f>clean_sales!T835</f>
        <v>9000</v>
      </c>
    </row>
    <row r="836" spans="1:6" x14ac:dyDescent="0.35">
      <c r="A836" t="str">
        <v>TXN100834</v>
      </c>
      <c r="B836">
        <f>_xlfn.XLOOKUP(clean_sales!P836,Dim_Date!B:B,Dim_Date!A:A)</f>
        <v>20250626</v>
      </c>
      <c r="C836">
        <f>_xlfn.XLOOKUP(clean_sales!C836,Dim_Customer!B:B,Dim_Customer!A:A)</f>
        <v>255</v>
      </c>
      <c r="D836">
        <f>_xlfn.XLOOKUP(clean_sales!I836,Dim_Product!B:B,Dim_Product!A:A)</f>
        <v>1</v>
      </c>
      <c r="E836">
        <f>clean_sales!L836</f>
        <v>3</v>
      </c>
      <c r="F836">
        <f>clean_sales!T836</f>
        <v>36000</v>
      </c>
    </row>
    <row r="837" spans="1:6" x14ac:dyDescent="0.35">
      <c r="A837" t="str">
        <v>TXN100835</v>
      </c>
      <c r="B837">
        <f>_xlfn.XLOOKUP(clean_sales!P837,Dim_Date!B:B,Dim_Date!A:A)</f>
        <v>20250508</v>
      </c>
      <c r="C837">
        <f>_xlfn.XLOOKUP(clean_sales!C837,Dim_Customer!B:B,Dim_Customer!A:A)</f>
        <v>577</v>
      </c>
      <c r="D837">
        <f>_xlfn.XLOOKUP(clean_sales!I837,Dim_Product!B:B,Dim_Product!A:A)</f>
        <v>4</v>
      </c>
      <c r="E837">
        <f>clean_sales!L837</f>
        <v>1</v>
      </c>
      <c r="F837">
        <f>clean_sales!T837</f>
        <v>4500</v>
      </c>
    </row>
    <row r="838" spans="1:6" x14ac:dyDescent="0.35">
      <c r="A838" t="str">
        <v>TXN100836</v>
      </c>
      <c r="B838">
        <f>_xlfn.XLOOKUP(clean_sales!P838,Dim_Date!B:B,Dim_Date!A:A)</f>
        <v>20250405</v>
      </c>
      <c r="C838">
        <f>_xlfn.XLOOKUP(clean_sales!C838,Dim_Customer!B:B,Dim_Customer!A:A)</f>
        <v>178</v>
      </c>
      <c r="D838">
        <f>_xlfn.XLOOKUP(clean_sales!I838,Dim_Product!B:B,Dim_Product!A:A)</f>
        <v>3</v>
      </c>
      <c r="E838">
        <f>clean_sales!L838</f>
        <v>3</v>
      </c>
      <c r="F838">
        <f>clean_sales!T838</f>
        <v>15000</v>
      </c>
    </row>
    <row r="839" spans="1:6" x14ac:dyDescent="0.35">
      <c r="A839" t="str">
        <v>TXN100837</v>
      </c>
      <c r="B839">
        <f>_xlfn.XLOOKUP(clean_sales!P839,Dim_Date!B:B,Dim_Date!A:A)</f>
        <v>20250210</v>
      </c>
      <c r="C839">
        <f>_xlfn.XLOOKUP(clean_sales!C839,Dim_Customer!B:B,Dim_Customer!A:A)</f>
        <v>205</v>
      </c>
      <c r="D839">
        <f>_xlfn.XLOOKUP(clean_sales!I839,Dim_Product!B:B,Dim_Product!A:A)</f>
        <v>6</v>
      </c>
      <c r="E839">
        <f>clean_sales!L839</f>
        <v>3</v>
      </c>
      <c r="F839">
        <f>clean_sales!T839</f>
        <v>216000</v>
      </c>
    </row>
    <row r="840" spans="1:6" x14ac:dyDescent="0.35">
      <c r="A840" t="str">
        <v>TXN100838</v>
      </c>
      <c r="B840">
        <f>_xlfn.XLOOKUP(clean_sales!P840,Dim_Date!B:B,Dim_Date!A:A)</f>
        <v>20251103</v>
      </c>
      <c r="C840">
        <f>_xlfn.XLOOKUP(clean_sales!C840,Dim_Customer!B:B,Dim_Customer!A:A)</f>
        <v>514</v>
      </c>
      <c r="D840">
        <f>_xlfn.XLOOKUP(clean_sales!I840,Dim_Product!B:B,Dim_Product!A:A)</f>
        <v>7</v>
      </c>
      <c r="E840">
        <f>clean_sales!L840</f>
        <v>2</v>
      </c>
      <c r="F840">
        <f>clean_sales!T840</f>
        <v>116000</v>
      </c>
    </row>
    <row r="841" spans="1:6" x14ac:dyDescent="0.35">
      <c r="A841" t="str">
        <v>TXN100839</v>
      </c>
      <c r="B841">
        <f>_xlfn.XLOOKUP(clean_sales!P841,Dim_Date!B:B,Dim_Date!A:A)</f>
        <v>20250801</v>
      </c>
      <c r="C841">
        <f>_xlfn.XLOOKUP(clean_sales!C841,Dim_Customer!B:B,Dim_Customer!A:A)</f>
        <v>578</v>
      </c>
      <c r="D841">
        <f>_xlfn.XLOOKUP(clean_sales!I841,Dim_Product!B:B,Dim_Product!A:A)</f>
        <v>7</v>
      </c>
      <c r="E841">
        <f>clean_sales!L841</f>
        <v>3</v>
      </c>
      <c r="F841">
        <f>clean_sales!T841</f>
        <v>174000</v>
      </c>
    </row>
    <row r="842" spans="1:6" x14ac:dyDescent="0.35">
      <c r="A842" t="str">
        <v>TXN100840</v>
      </c>
      <c r="B842">
        <f>_xlfn.XLOOKUP(clean_sales!P842,Dim_Date!B:B,Dim_Date!A:A)</f>
        <v>20250913</v>
      </c>
      <c r="C842">
        <f>_xlfn.XLOOKUP(clean_sales!C842,Dim_Customer!B:B,Dim_Customer!A:A)</f>
        <v>548</v>
      </c>
      <c r="D842">
        <f>_xlfn.XLOOKUP(clean_sales!I842,Dim_Product!B:B,Dim_Product!A:A)</f>
        <v>6</v>
      </c>
      <c r="E842">
        <f>clean_sales!L842</f>
        <v>2</v>
      </c>
      <c r="F842">
        <f>clean_sales!T842</f>
        <v>144000</v>
      </c>
    </row>
    <row r="843" spans="1:6" x14ac:dyDescent="0.35">
      <c r="A843" t="str">
        <v>TXN100841</v>
      </c>
      <c r="B843">
        <f>_xlfn.XLOOKUP(clean_sales!P843,Dim_Date!B:B,Dim_Date!A:A)</f>
        <v>20251126</v>
      </c>
      <c r="C843">
        <f>_xlfn.XLOOKUP(clean_sales!C843,Dim_Customer!B:B,Dim_Customer!A:A)</f>
        <v>579</v>
      </c>
      <c r="D843">
        <f>_xlfn.XLOOKUP(clean_sales!I843,Dim_Product!B:B,Dim_Product!A:A)</f>
        <v>4</v>
      </c>
      <c r="E843">
        <f>clean_sales!L843</f>
        <v>4</v>
      </c>
      <c r="F843">
        <f>clean_sales!T843</f>
        <v>18000</v>
      </c>
    </row>
    <row r="844" spans="1:6" x14ac:dyDescent="0.35">
      <c r="A844" t="str">
        <v>TXN100842</v>
      </c>
      <c r="B844">
        <f>_xlfn.XLOOKUP(clean_sales!P844,Dim_Date!B:B,Dim_Date!A:A)</f>
        <v>20250828</v>
      </c>
      <c r="C844">
        <f>_xlfn.XLOOKUP(clean_sales!C844,Dim_Customer!B:B,Dim_Customer!A:A)</f>
        <v>580</v>
      </c>
      <c r="D844">
        <f>_xlfn.XLOOKUP(clean_sales!I844,Dim_Product!B:B,Dim_Product!A:A)</f>
        <v>4</v>
      </c>
      <c r="E844">
        <f>clean_sales!L844</f>
        <v>4</v>
      </c>
      <c r="F844">
        <f>clean_sales!T844</f>
        <v>18000</v>
      </c>
    </row>
    <row r="845" spans="1:6" x14ac:dyDescent="0.35">
      <c r="A845" t="str">
        <v>TXN100843</v>
      </c>
      <c r="B845">
        <f>_xlfn.XLOOKUP(clean_sales!P845,Dim_Date!B:B,Dim_Date!A:A)</f>
        <v>20250317</v>
      </c>
      <c r="C845">
        <f>_xlfn.XLOOKUP(clean_sales!C845,Dim_Customer!B:B,Dim_Customer!A:A)</f>
        <v>581</v>
      </c>
      <c r="D845">
        <f>_xlfn.XLOOKUP(clean_sales!I845,Dim_Product!B:B,Dim_Product!A:A)</f>
        <v>2</v>
      </c>
      <c r="E845">
        <f>clean_sales!L845</f>
        <v>1</v>
      </c>
      <c r="F845">
        <f>clean_sales!T845</f>
        <v>65000</v>
      </c>
    </row>
    <row r="846" spans="1:6" x14ac:dyDescent="0.35">
      <c r="A846" t="str">
        <v>TXN100844</v>
      </c>
      <c r="B846">
        <f>_xlfn.XLOOKUP(clean_sales!P846,Dim_Date!B:B,Dim_Date!A:A)</f>
        <v>20250612</v>
      </c>
      <c r="C846">
        <f>_xlfn.XLOOKUP(clean_sales!C846,Dim_Customer!B:B,Dim_Customer!A:A)</f>
        <v>549</v>
      </c>
      <c r="D846">
        <f>_xlfn.XLOOKUP(clean_sales!I846,Dim_Product!B:B,Dim_Product!A:A)</f>
        <v>5</v>
      </c>
      <c r="E846">
        <f>clean_sales!L846</f>
        <v>5</v>
      </c>
      <c r="F846">
        <f>clean_sales!T846</f>
        <v>9000</v>
      </c>
    </row>
    <row r="847" spans="1:6" x14ac:dyDescent="0.35">
      <c r="A847" t="str">
        <v>TXN100845</v>
      </c>
      <c r="B847">
        <f>_xlfn.XLOOKUP(clean_sales!P847,Dim_Date!B:B,Dim_Date!A:A)</f>
        <v>20251211</v>
      </c>
      <c r="C847">
        <f>_xlfn.XLOOKUP(clean_sales!C847,Dim_Customer!B:B,Dim_Customer!A:A)</f>
        <v>316</v>
      </c>
      <c r="D847">
        <f>_xlfn.XLOOKUP(clean_sales!I847,Dim_Product!B:B,Dim_Product!A:A)</f>
        <v>4</v>
      </c>
      <c r="E847">
        <f>clean_sales!L847</f>
        <v>2</v>
      </c>
      <c r="F847">
        <f>clean_sales!T847</f>
        <v>9000</v>
      </c>
    </row>
    <row r="848" spans="1:6" x14ac:dyDescent="0.35">
      <c r="A848" t="str">
        <v>TXN100846</v>
      </c>
      <c r="B848">
        <f>_xlfn.XLOOKUP(clean_sales!P848,Dim_Date!B:B,Dim_Date!A:A)</f>
        <v>20250910</v>
      </c>
      <c r="C848">
        <f>_xlfn.XLOOKUP(clean_sales!C848,Dim_Customer!B:B,Dim_Customer!A:A)</f>
        <v>496</v>
      </c>
      <c r="D848">
        <f>_xlfn.XLOOKUP(clean_sales!I848,Dim_Product!B:B,Dim_Product!A:A)</f>
        <v>4</v>
      </c>
      <c r="E848">
        <f>clean_sales!L848</f>
        <v>3</v>
      </c>
      <c r="F848">
        <f>clean_sales!T848</f>
        <v>13500</v>
      </c>
    </row>
    <row r="849" spans="1:6" x14ac:dyDescent="0.35">
      <c r="A849" t="str">
        <v>TXN100847</v>
      </c>
      <c r="B849">
        <f>_xlfn.XLOOKUP(clean_sales!P849,Dim_Date!B:B,Dim_Date!A:A)</f>
        <v>20250531</v>
      </c>
      <c r="C849">
        <f>_xlfn.XLOOKUP(clean_sales!C849,Dim_Customer!B:B,Dim_Customer!A:A)</f>
        <v>582</v>
      </c>
      <c r="D849">
        <f>_xlfn.XLOOKUP(clean_sales!I849,Dim_Product!B:B,Dim_Product!A:A)</f>
        <v>2</v>
      </c>
      <c r="E849">
        <f>clean_sales!L849</f>
        <v>4</v>
      </c>
      <c r="F849">
        <f>clean_sales!T849</f>
        <v>260000</v>
      </c>
    </row>
    <row r="850" spans="1:6" x14ac:dyDescent="0.35">
      <c r="A850" t="str">
        <v>TXN100848</v>
      </c>
      <c r="B850">
        <f>_xlfn.XLOOKUP(clean_sales!P850,Dim_Date!B:B,Dim_Date!A:A)</f>
        <v>20250206</v>
      </c>
      <c r="C850">
        <f>_xlfn.XLOOKUP(clean_sales!C850,Dim_Customer!B:B,Dim_Customer!A:A)</f>
        <v>382</v>
      </c>
      <c r="D850">
        <f>_xlfn.XLOOKUP(clean_sales!I850,Dim_Product!B:B,Dim_Product!A:A)</f>
        <v>3</v>
      </c>
      <c r="E850">
        <f>clean_sales!L850</f>
        <v>2</v>
      </c>
      <c r="F850">
        <f>clean_sales!T850</f>
        <v>10000</v>
      </c>
    </row>
    <row r="851" spans="1:6" x14ac:dyDescent="0.35">
      <c r="A851" t="str">
        <v>TXN100849</v>
      </c>
      <c r="B851">
        <f>_xlfn.XLOOKUP(clean_sales!P851,Dim_Date!B:B,Dim_Date!A:A)</f>
        <v>20250209</v>
      </c>
      <c r="C851">
        <f>_xlfn.XLOOKUP(clean_sales!C851,Dim_Customer!B:B,Dim_Customer!A:A)</f>
        <v>583</v>
      </c>
      <c r="D851">
        <f>_xlfn.XLOOKUP(clean_sales!I851,Dim_Product!B:B,Dim_Product!A:A)</f>
        <v>6</v>
      </c>
      <c r="E851">
        <f>clean_sales!L851</f>
        <v>3</v>
      </c>
      <c r="F851">
        <f>clean_sales!T851</f>
        <v>216000</v>
      </c>
    </row>
    <row r="852" spans="1:6" x14ac:dyDescent="0.35">
      <c r="A852" t="str">
        <v>TXN100850</v>
      </c>
      <c r="B852">
        <f>_xlfn.XLOOKUP(clean_sales!P852,Dim_Date!B:B,Dim_Date!A:A)</f>
        <v>20250529</v>
      </c>
      <c r="C852">
        <f>_xlfn.XLOOKUP(clean_sales!C852,Dim_Customer!B:B,Dim_Customer!A:A)</f>
        <v>97</v>
      </c>
      <c r="D852">
        <f>_xlfn.XLOOKUP(clean_sales!I852,Dim_Product!B:B,Dim_Product!A:A)</f>
        <v>2</v>
      </c>
      <c r="E852">
        <f>clean_sales!L852</f>
        <v>2</v>
      </c>
      <c r="F852">
        <f>clean_sales!T852</f>
        <v>130000</v>
      </c>
    </row>
    <row r="853" spans="1:6" x14ac:dyDescent="0.35">
      <c r="A853" t="str">
        <v>TXN100851</v>
      </c>
      <c r="B853">
        <f>_xlfn.XLOOKUP(clean_sales!P853,Dim_Date!B:B,Dim_Date!A:A)</f>
        <v>20250818</v>
      </c>
      <c r="C853">
        <f>_xlfn.XLOOKUP(clean_sales!C853,Dim_Customer!B:B,Dim_Customer!A:A)</f>
        <v>584</v>
      </c>
      <c r="D853">
        <f>_xlfn.XLOOKUP(clean_sales!I853,Dim_Product!B:B,Dim_Product!A:A)</f>
        <v>2</v>
      </c>
      <c r="E853">
        <f>clean_sales!L853</f>
        <v>3</v>
      </c>
      <c r="F853">
        <f>clean_sales!T853</f>
        <v>195000</v>
      </c>
    </row>
    <row r="854" spans="1:6" x14ac:dyDescent="0.35">
      <c r="A854" t="str">
        <v>TXN100852</v>
      </c>
      <c r="B854">
        <f>_xlfn.XLOOKUP(clean_sales!P854,Dim_Date!B:B,Dim_Date!A:A)</f>
        <v>20250827</v>
      </c>
      <c r="C854">
        <f>_xlfn.XLOOKUP(clean_sales!C854,Dim_Customer!B:B,Dim_Customer!A:A)</f>
        <v>338</v>
      </c>
      <c r="D854">
        <f>_xlfn.XLOOKUP(clean_sales!I854,Dim_Product!B:B,Dim_Product!A:A)</f>
        <v>5</v>
      </c>
      <c r="E854">
        <f>clean_sales!L854</f>
        <v>2</v>
      </c>
      <c r="F854">
        <f>clean_sales!T854</f>
        <v>3600</v>
      </c>
    </row>
    <row r="855" spans="1:6" x14ac:dyDescent="0.35">
      <c r="A855" t="str">
        <v>TXN100853</v>
      </c>
      <c r="B855">
        <f>_xlfn.XLOOKUP(clean_sales!P855,Dim_Date!B:B,Dim_Date!A:A)</f>
        <v>20251227</v>
      </c>
      <c r="C855">
        <f>_xlfn.XLOOKUP(clean_sales!C855,Dim_Customer!B:B,Dim_Customer!A:A)</f>
        <v>485</v>
      </c>
      <c r="D855">
        <f>_xlfn.XLOOKUP(clean_sales!I855,Dim_Product!B:B,Dim_Product!A:A)</f>
        <v>3</v>
      </c>
      <c r="E855">
        <f>clean_sales!L855</f>
        <v>2</v>
      </c>
      <c r="F855">
        <f>clean_sales!T855</f>
        <v>10000</v>
      </c>
    </row>
    <row r="856" spans="1:6" x14ac:dyDescent="0.35">
      <c r="A856" t="str">
        <v>TXN100854</v>
      </c>
      <c r="B856">
        <f>_xlfn.XLOOKUP(clean_sales!P856,Dim_Date!B:B,Dim_Date!A:A)</f>
        <v>20251104</v>
      </c>
      <c r="C856">
        <f>_xlfn.XLOOKUP(clean_sales!C856,Dim_Customer!B:B,Dim_Customer!A:A)</f>
        <v>585</v>
      </c>
      <c r="D856">
        <f>_xlfn.XLOOKUP(clean_sales!I856,Dim_Product!B:B,Dim_Product!A:A)</f>
        <v>3</v>
      </c>
      <c r="E856">
        <f>clean_sales!L856</f>
        <v>3</v>
      </c>
      <c r="F856">
        <f>clean_sales!T856</f>
        <v>15000</v>
      </c>
    </row>
    <row r="857" spans="1:6" x14ac:dyDescent="0.35">
      <c r="A857" t="str">
        <v>TXN100855</v>
      </c>
      <c r="B857">
        <f>_xlfn.XLOOKUP(clean_sales!P857,Dim_Date!B:B,Dim_Date!A:A)</f>
        <v>20250626</v>
      </c>
      <c r="C857">
        <f>_xlfn.XLOOKUP(clean_sales!C857,Dim_Customer!B:B,Dim_Customer!A:A)</f>
        <v>586</v>
      </c>
      <c r="D857">
        <f>_xlfn.XLOOKUP(clean_sales!I857,Dim_Product!B:B,Dim_Product!A:A)</f>
        <v>6</v>
      </c>
      <c r="E857">
        <f>clean_sales!L857</f>
        <v>4</v>
      </c>
      <c r="F857">
        <f>clean_sales!T857</f>
        <v>288000</v>
      </c>
    </row>
    <row r="858" spans="1:6" x14ac:dyDescent="0.35">
      <c r="A858" t="str">
        <v>TXN100856</v>
      </c>
      <c r="B858">
        <f>_xlfn.XLOOKUP(clean_sales!P858,Dim_Date!B:B,Dim_Date!A:A)</f>
        <v>20250331</v>
      </c>
      <c r="C858">
        <f>_xlfn.XLOOKUP(clean_sales!C858,Dim_Customer!B:B,Dim_Customer!A:A)</f>
        <v>96</v>
      </c>
      <c r="D858">
        <f>_xlfn.XLOOKUP(clean_sales!I858,Dim_Product!B:B,Dim_Product!A:A)</f>
        <v>4</v>
      </c>
      <c r="E858">
        <f>clean_sales!L858</f>
        <v>1</v>
      </c>
      <c r="F858">
        <f>clean_sales!T858</f>
        <v>4500</v>
      </c>
    </row>
    <row r="859" spans="1:6" x14ac:dyDescent="0.35">
      <c r="A859" t="str">
        <v>TXN100857</v>
      </c>
      <c r="B859">
        <f>_xlfn.XLOOKUP(clean_sales!P859,Dim_Date!B:B,Dim_Date!A:A)</f>
        <v>20250909</v>
      </c>
      <c r="C859">
        <f>_xlfn.XLOOKUP(clean_sales!C859,Dim_Customer!B:B,Dim_Customer!A:A)</f>
        <v>332</v>
      </c>
      <c r="D859">
        <f>_xlfn.XLOOKUP(clean_sales!I859,Dim_Product!B:B,Dim_Product!A:A)</f>
        <v>6</v>
      </c>
      <c r="E859">
        <f>clean_sales!L859</f>
        <v>3</v>
      </c>
      <c r="F859">
        <f>clean_sales!T859</f>
        <v>216000</v>
      </c>
    </row>
    <row r="860" spans="1:6" x14ac:dyDescent="0.35">
      <c r="A860" t="str">
        <v>TXN100858</v>
      </c>
      <c r="B860">
        <f>_xlfn.XLOOKUP(clean_sales!P860,Dim_Date!B:B,Dim_Date!A:A)</f>
        <v>20251008</v>
      </c>
      <c r="C860">
        <f>_xlfn.XLOOKUP(clean_sales!C860,Dim_Customer!B:B,Dim_Customer!A:A)</f>
        <v>2</v>
      </c>
      <c r="D860">
        <f>_xlfn.XLOOKUP(clean_sales!I860,Dim_Product!B:B,Dim_Product!A:A)</f>
        <v>5</v>
      </c>
      <c r="E860">
        <f>clean_sales!L860</f>
        <v>3</v>
      </c>
      <c r="F860">
        <f>clean_sales!T860</f>
        <v>5400</v>
      </c>
    </row>
    <row r="861" spans="1:6" x14ac:dyDescent="0.35">
      <c r="A861" t="str">
        <v>TXN100859</v>
      </c>
      <c r="B861">
        <f>_xlfn.XLOOKUP(clean_sales!P861,Dim_Date!B:B,Dim_Date!A:A)</f>
        <v>20250825</v>
      </c>
      <c r="C861">
        <f>_xlfn.XLOOKUP(clean_sales!C861,Dim_Customer!B:B,Dim_Customer!A:A)</f>
        <v>77</v>
      </c>
      <c r="D861">
        <f>_xlfn.XLOOKUP(clean_sales!I861,Dim_Product!B:B,Dim_Product!A:A)</f>
        <v>4</v>
      </c>
      <c r="E861">
        <f>clean_sales!L861</f>
        <v>4</v>
      </c>
      <c r="F861">
        <f>clean_sales!T861</f>
        <v>18000</v>
      </c>
    </row>
    <row r="862" spans="1:6" x14ac:dyDescent="0.35">
      <c r="A862" t="str">
        <v>TXN100860</v>
      </c>
      <c r="B862">
        <f>_xlfn.XLOOKUP(clean_sales!P862,Dim_Date!B:B,Dim_Date!A:A)</f>
        <v>20250806</v>
      </c>
      <c r="C862">
        <f>_xlfn.XLOOKUP(clean_sales!C862,Dim_Customer!B:B,Dim_Customer!A:A)</f>
        <v>587</v>
      </c>
      <c r="D862">
        <f>_xlfn.XLOOKUP(clean_sales!I862,Dim_Product!B:B,Dim_Product!A:A)</f>
        <v>1</v>
      </c>
      <c r="E862">
        <f>clean_sales!L862</f>
        <v>3</v>
      </c>
      <c r="F862">
        <f>clean_sales!T862</f>
        <v>36000</v>
      </c>
    </row>
    <row r="863" spans="1:6" x14ac:dyDescent="0.35">
      <c r="A863" t="str">
        <v>TXN100861</v>
      </c>
      <c r="B863">
        <f>_xlfn.XLOOKUP(clean_sales!P863,Dim_Date!B:B,Dim_Date!A:A)</f>
        <v>20250521</v>
      </c>
      <c r="C863">
        <f>_xlfn.XLOOKUP(clean_sales!C863,Dim_Customer!B:B,Dim_Customer!A:A)</f>
        <v>518</v>
      </c>
      <c r="D863">
        <f>_xlfn.XLOOKUP(clean_sales!I863,Dim_Product!B:B,Dim_Product!A:A)</f>
        <v>6</v>
      </c>
      <c r="E863">
        <f>clean_sales!L863</f>
        <v>3</v>
      </c>
      <c r="F863">
        <f>clean_sales!T863</f>
        <v>216000</v>
      </c>
    </row>
    <row r="864" spans="1:6" x14ac:dyDescent="0.35">
      <c r="A864" t="str">
        <v>TXN100862</v>
      </c>
      <c r="B864">
        <f>_xlfn.XLOOKUP(clean_sales!P864,Dim_Date!B:B,Dim_Date!A:A)</f>
        <v>20250702</v>
      </c>
      <c r="C864">
        <f>_xlfn.XLOOKUP(clean_sales!C864,Dim_Customer!B:B,Dim_Customer!A:A)</f>
        <v>364</v>
      </c>
      <c r="D864">
        <f>_xlfn.XLOOKUP(clean_sales!I864,Dim_Product!B:B,Dim_Product!A:A)</f>
        <v>3</v>
      </c>
      <c r="E864">
        <f>clean_sales!L864</f>
        <v>5</v>
      </c>
      <c r="F864">
        <f>clean_sales!T864</f>
        <v>25000</v>
      </c>
    </row>
    <row r="865" spans="1:6" x14ac:dyDescent="0.35">
      <c r="A865" t="str">
        <v>TXN100863</v>
      </c>
      <c r="B865">
        <f>_xlfn.XLOOKUP(clean_sales!P865,Dim_Date!B:B,Dim_Date!A:A)</f>
        <v>20250326</v>
      </c>
      <c r="C865">
        <f>_xlfn.XLOOKUP(clean_sales!C865,Dim_Customer!B:B,Dim_Customer!A:A)</f>
        <v>588</v>
      </c>
      <c r="D865">
        <f>_xlfn.XLOOKUP(clean_sales!I865,Dim_Product!B:B,Dim_Product!A:A)</f>
        <v>7</v>
      </c>
      <c r="E865">
        <f>clean_sales!L865</f>
        <v>3</v>
      </c>
      <c r="F865">
        <f>clean_sales!T865</f>
        <v>174000</v>
      </c>
    </row>
    <row r="866" spans="1:6" x14ac:dyDescent="0.35">
      <c r="A866" t="str">
        <v>TXN100864</v>
      </c>
      <c r="B866">
        <f>_xlfn.XLOOKUP(clean_sales!P866,Dim_Date!B:B,Dim_Date!A:A)</f>
        <v>20250222</v>
      </c>
      <c r="C866">
        <f>_xlfn.XLOOKUP(clean_sales!C866,Dim_Customer!B:B,Dim_Customer!A:A)</f>
        <v>55</v>
      </c>
      <c r="D866">
        <f>_xlfn.XLOOKUP(clean_sales!I866,Dim_Product!B:B,Dim_Product!A:A)</f>
        <v>3</v>
      </c>
      <c r="E866">
        <f>clean_sales!L866</f>
        <v>2</v>
      </c>
      <c r="F866">
        <f>clean_sales!T866</f>
        <v>10000</v>
      </c>
    </row>
    <row r="867" spans="1:6" x14ac:dyDescent="0.35">
      <c r="A867" t="str">
        <v>TXN100865</v>
      </c>
      <c r="B867">
        <f>_xlfn.XLOOKUP(clean_sales!P867,Dim_Date!B:B,Dim_Date!A:A)</f>
        <v>20250114</v>
      </c>
      <c r="C867">
        <f>_xlfn.XLOOKUP(clean_sales!C867,Dim_Customer!B:B,Dim_Customer!A:A)</f>
        <v>70</v>
      </c>
      <c r="D867">
        <f>_xlfn.XLOOKUP(clean_sales!I867,Dim_Product!B:B,Dim_Product!A:A)</f>
        <v>1</v>
      </c>
      <c r="E867">
        <f>clean_sales!L867</f>
        <v>5</v>
      </c>
      <c r="F867">
        <f>clean_sales!T867</f>
        <v>60000</v>
      </c>
    </row>
    <row r="868" spans="1:6" x14ac:dyDescent="0.35">
      <c r="A868" t="str">
        <v>TXN100866</v>
      </c>
      <c r="B868">
        <f>_xlfn.XLOOKUP(clean_sales!P868,Dim_Date!B:B,Dim_Date!A:A)</f>
        <v>20251223</v>
      </c>
      <c r="C868">
        <f>_xlfn.XLOOKUP(clean_sales!C868,Dim_Customer!B:B,Dim_Customer!A:A)</f>
        <v>589</v>
      </c>
      <c r="D868">
        <f>_xlfn.XLOOKUP(clean_sales!I868,Dim_Product!B:B,Dim_Product!A:A)</f>
        <v>5</v>
      </c>
      <c r="E868">
        <f>clean_sales!L868</f>
        <v>2</v>
      </c>
      <c r="F868">
        <f>clean_sales!T868</f>
        <v>3600</v>
      </c>
    </row>
    <row r="869" spans="1:6" x14ac:dyDescent="0.35">
      <c r="A869" t="str">
        <v>TXN100867</v>
      </c>
      <c r="B869">
        <f>_xlfn.XLOOKUP(clean_sales!P869,Dim_Date!B:B,Dim_Date!A:A)</f>
        <v>20250126</v>
      </c>
      <c r="C869">
        <f>_xlfn.XLOOKUP(clean_sales!C869,Dim_Customer!B:B,Dim_Customer!A:A)</f>
        <v>66</v>
      </c>
      <c r="D869">
        <f>_xlfn.XLOOKUP(clean_sales!I869,Dim_Product!B:B,Dim_Product!A:A)</f>
        <v>6</v>
      </c>
      <c r="E869">
        <f>clean_sales!L869</f>
        <v>4</v>
      </c>
      <c r="F869">
        <f>clean_sales!T869</f>
        <v>288000</v>
      </c>
    </row>
    <row r="870" spans="1:6" x14ac:dyDescent="0.35">
      <c r="A870" t="str">
        <v>TXN100868</v>
      </c>
      <c r="B870">
        <f>_xlfn.XLOOKUP(clean_sales!P870,Dim_Date!B:B,Dim_Date!A:A)</f>
        <v>20250914</v>
      </c>
      <c r="C870">
        <f>_xlfn.XLOOKUP(clean_sales!C870,Dim_Customer!B:B,Dim_Customer!A:A)</f>
        <v>590</v>
      </c>
      <c r="D870">
        <f>_xlfn.XLOOKUP(clean_sales!I870,Dim_Product!B:B,Dim_Product!A:A)</f>
        <v>1</v>
      </c>
      <c r="E870">
        <f>clean_sales!L870</f>
        <v>2</v>
      </c>
      <c r="F870">
        <f>clean_sales!T870</f>
        <v>24000</v>
      </c>
    </row>
    <row r="871" spans="1:6" x14ac:dyDescent="0.35">
      <c r="A871" t="str">
        <v>TXN100869</v>
      </c>
      <c r="B871">
        <f>_xlfn.XLOOKUP(clean_sales!P871,Dim_Date!B:B,Dim_Date!A:A)</f>
        <v>20250628</v>
      </c>
      <c r="C871">
        <f>_xlfn.XLOOKUP(clean_sales!C871,Dim_Customer!B:B,Dim_Customer!A:A)</f>
        <v>591</v>
      </c>
      <c r="D871">
        <f>_xlfn.XLOOKUP(clean_sales!I871,Dim_Product!B:B,Dim_Product!A:A)</f>
        <v>1</v>
      </c>
      <c r="E871">
        <f>clean_sales!L871</f>
        <v>1</v>
      </c>
      <c r="F871">
        <f>clean_sales!T871</f>
        <v>12000</v>
      </c>
    </row>
    <row r="872" spans="1:6" x14ac:dyDescent="0.35">
      <c r="A872" t="str">
        <v>TXN100870</v>
      </c>
      <c r="B872">
        <f>_xlfn.XLOOKUP(clean_sales!P872,Dim_Date!B:B,Dim_Date!A:A)</f>
        <v>20251124</v>
      </c>
      <c r="C872">
        <f>_xlfn.XLOOKUP(clean_sales!C872,Dim_Customer!B:B,Dim_Customer!A:A)</f>
        <v>464</v>
      </c>
      <c r="D872">
        <f>_xlfn.XLOOKUP(clean_sales!I872,Dim_Product!B:B,Dim_Product!A:A)</f>
        <v>3</v>
      </c>
      <c r="E872">
        <f>clean_sales!L872</f>
        <v>1</v>
      </c>
      <c r="F872">
        <f>clean_sales!T872</f>
        <v>5000</v>
      </c>
    </row>
    <row r="873" spans="1:6" x14ac:dyDescent="0.35">
      <c r="A873" t="str">
        <v>TXN100871</v>
      </c>
      <c r="B873">
        <f>_xlfn.XLOOKUP(clean_sales!P873,Dim_Date!B:B,Dim_Date!A:A)</f>
        <v>20250302</v>
      </c>
      <c r="C873">
        <f>_xlfn.XLOOKUP(clean_sales!C873,Dim_Customer!B:B,Dim_Customer!A:A)</f>
        <v>84</v>
      </c>
      <c r="D873">
        <f>_xlfn.XLOOKUP(clean_sales!I873,Dim_Product!B:B,Dim_Product!A:A)</f>
        <v>6</v>
      </c>
      <c r="E873">
        <f>clean_sales!L873</f>
        <v>5</v>
      </c>
      <c r="F873">
        <f>clean_sales!T873</f>
        <v>360000</v>
      </c>
    </row>
    <row r="874" spans="1:6" x14ac:dyDescent="0.35">
      <c r="A874" t="str">
        <v>TXN100872</v>
      </c>
      <c r="B874">
        <f>_xlfn.XLOOKUP(clean_sales!P874,Dim_Date!B:B,Dim_Date!A:A)</f>
        <v>20251010</v>
      </c>
      <c r="C874">
        <f>_xlfn.XLOOKUP(clean_sales!C874,Dim_Customer!B:B,Dim_Customer!A:A)</f>
        <v>211</v>
      </c>
      <c r="D874">
        <f>_xlfn.XLOOKUP(clean_sales!I874,Dim_Product!B:B,Dim_Product!A:A)</f>
        <v>2</v>
      </c>
      <c r="E874">
        <f>clean_sales!L874</f>
        <v>3</v>
      </c>
      <c r="F874">
        <f>clean_sales!T874</f>
        <v>195000</v>
      </c>
    </row>
    <row r="875" spans="1:6" x14ac:dyDescent="0.35">
      <c r="A875" t="str">
        <v>TXN100873</v>
      </c>
      <c r="B875">
        <f>_xlfn.XLOOKUP(clean_sales!P875,Dim_Date!B:B,Dim_Date!A:A)</f>
        <v>20251025</v>
      </c>
      <c r="C875">
        <f>_xlfn.XLOOKUP(clean_sales!C875,Dim_Customer!B:B,Dim_Customer!A:A)</f>
        <v>592</v>
      </c>
      <c r="D875">
        <f>_xlfn.XLOOKUP(clean_sales!I875,Dim_Product!B:B,Dim_Product!A:A)</f>
        <v>4</v>
      </c>
      <c r="E875">
        <f>clean_sales!L875</f>
        <v>1</v>
      </c>
      <c r="F875">
        <f>clean_sales!T875</f>
        <v>4500</v>
      </c>
    </row>
    <row r="876" spans="1:6" x14ac:dyDescent="0.35">
      <c r="A876" t="str">
        <v>TXN100874</v>
      </c>
      <c r="B876">
        <f>_xlfn.XLOOKUP(clean_sales!P876,Dim_Date!B:B,Dim_Date!A:A)</f>
        <v>20250327</v>
      </c>
      <c r="C876">
        <f>_xlfn.XLOOKUP(clean_sales!C876,Dim_Customer!B:B,Dim_Customer!A:A)</f>
        <v>593</v>
      </c>
      <c r="D876">
        <f>_xlfn.XLOOKUP(clean_sales!I876,Dim_Product!B:B,Dim_Product!A:A)</f>
        <v>6</v>
      </c>
      <c r="E876">
        <f>clean_sales!L876</f>
        <v>2</v>
      </c>
      <c r="F876">
        <f>clean_sales!T876</f>
        <v>144000</v>
      </c>
    </row>
    <row r="877" spans="1:6" x14ac:dyDescent="0.35">
      <c r="A877" t="str">
        <v>TXN100875</v>
      </c>
      <c r="B877">
        <f>_xlfn.XLOOKUP(clean_sales!P877,Dim_Date!B:B,Dim_Date!A:A)</f>
        <v>20250619</v>
      </c>
      <c r="C877">
        <f>_xlfn.XLOOKUP(clean_sales!C877,Dim_Customer!B:B,Dim_Customer!A:A)</f>
        <v>554</v>
      </c>
      <c r="D877">
        <f>_xlfn.XLOOKUP(clean_sales!I877,Dim_Product!B:B,Dim_Product!A:A)</f>
        <v>2</v>
      </c>
      <c r="E877">
        <f>clean_sales!L877</f>
        <v>4</v>
      </c>
      <c r="F877">
        <f>clean_sales!T877</f>
        <v>260000</v>
      </c>
    </row>
    <row r="878" spans="1:6" x14ac:dyDescent="0.35">
      <c r="A878" t="str">
        <v>TXN100876</v>
      </c>
      <c r="B878">
        <f>_xlfn.XLOOKUP(clean_sales!P878,Dim_Date!B:B,Dim_Date!A:A)</f>
        <v>20250504</v>
      </c>
      <c r="C878">
        <f>_xlfn.XLOOKUP(clean_sales!C878,Dim_Customer!B:B,Dim_Customer!A:A)</f>
        <v>594</v>
      </c>
      <c r="D878">
        <f>_xlfn.XLOOKUP(clean_sales!I878,Dim_Product!B:B,Dim_Product!A:A)</f>
        <v>3</v>
      </c>
      <c r="E878">
        <f>clean_sales!L878</f>
        <v>4</v>
      </c>
      <c r="F878">
        <f>clean_sales!T878</f>
        <v>20000</v>
      </c>
    </row>
    <row r="879" spans="1:6" x14ac:dyDescent="0.35">
      <c r="A879" t="str">
        <v>TXN100877</v>
      </c>
      <c r="B879">
        <f>_xlfn.XLOOKUP(clean_sales!P879,Dim_Date!B:B,Dim_Date!A:A)</f>
        <v>20250706</v>
      </c>
      <c r="C879">
        <f>_xlfn.XLOOKUP(clean_sales!C879,Dim_Customer!B:B,Dim_Customer!A:A)</f>
        <v>23</v>
      </c>
      <c r="D879">
        <f>_xlfn.XLOOKUP(clean_sales!I879,Dim_Product!B:B,Dim_Product!A:A)</f>
        <v>1</v>
      </c>
      <c r="E879">
        <f>clean_sales!L879</f>
        <v>3</v>
      </c>
      <c r="F879">
        <f>clean_sales!T879</f>
        <v>36000</v>
      </c>
    </row>
    <row r="880" spans="1:6" x14ac:dyDescent="0.35">
      <c r="A880" t="str">
        <v>TXN100878</v>
      </c>
      <c r="B880">
        <f>_xlfn.XLOOKUP(clean_sales!P880,Dim_Date!B:B,Dim_Date!A:A)</f>
        <v>20251026</v>
      </c>
      <c r="C880">
        <f>_xlfn.XLOOKUP(clean_sales!C880,Dim_Customer!B:B,Dim_Customer!A:A)</f>
        <v>146</v>
      </c>
      <c r="D880">
        <f>_xlfn.XLOOKUP(clean_sales!I880,Dim_Product!B:B,Dim_Product!A:A)</f>
        <v>1</v>
      </c>
      <c r="E880">
        <f>clean_sales!L880</f>
        <v>3</v>
      </c>
      <c r="F880">
        <f>clean_sales!T880</f>
        <v>36000</v>
      </c>
    </row>
    <row r="881" spans="1:6" x14ac:dyDescent="0.35">
      <c r="A881" t="str">
        <v>TXN100879</v>
      </c>
      <c r="B881">
        <f>_xlfn.XLOOKUP(clean_sales!P881,Dim_Date!B:B,Dim_Date!A:A)</f>
        <v>20251031</v>
      </c>
      <c r="C881">
        <f>_xlfn.XLOOKUP(clean_sales!C881,Dim_Customer!B:B,Dim_Customer!A:A)</f>
        <v>140</v>
      </c>
      <c r="D881">
        <f>_xlfn.XLOOKUP(clean_sales!I881,Dim_Product!B:B,Dim_Product!A:A)</f>
        <v>2</v>
      </c>
      <c r="E881">
        <f>clean_sales!L881</f>
        <v>5</v>
      </c>
      <c r="F881">
        <f>clean_sales!T881</f>
        <v>325000</v>
      </c>
    </row>
    <row r="882" spans="1:6" x14ac:dyDescent="0.35">
      <c r="A882" t="str">
        <v>TXN100880</v>
      </c>
      <c r="B882">
        <f>_xlfn.XLOOKUP(clean_sales!P882,Dim_Date!B:B,Dim_Date!A:A)</f>
        <v>20250307</v>
      </c>
      <c r="C882">
        <f>_xlfn.XLOOKUP(clean_sales!C882,Dim_Customer!B:B,Dim_Customer!A:A)</f>
        <v>472</v>
      </c>
      <c r="D882">
        <f>_xlfn.XLOOKUP(clean_sales!I882,Dim_Product!B:B,Dim_Product!A:A)</f>
        <v>5</v>
      </c>
      <c r="E882">
        <f>clean_sales!L882</f>
        <v>5</v>
      </c>
      <c r="F882">
        <f>clean_sales!T882</f>
        <v>9000</v>
      </c>
    </row>
    <row r="883" spans="1:6" x14ac:dyDescent="0.35">
      <c r="A883" t="str">
        <v>TXN100881</v>
      </c>
      <c r="B883">
        <f>_xlfn.XLOOKUP(clean_sales!P883,Dim_Date!B:B,Dim_Date!A:A)</f>
        <v>20250303</v>
      </c>
      <c r="C883">
        <f>_xlfn.XLOOKUP(clean_sales!C883,Dim_Customer!B:B,Dim_Customer!A:A)</f>
        <v>175</v>
      </c>
      <c r="D883">
        <f>_xlfn.XLOOKUP(clean_sales!I883,Dim_Product!B:B,Dim_Product!A:A)</f>
        <v>2</v>
      </c>
      <c r="E883">
        <f>clean_sales!L883</f>
        <v>4</v>
      </c>
      <c r="F883">
        <f>clean_sales!T883</f>
        <v>260000</v>
      </c>
    </row>
    <row r="884" spans="1:6" x14ac:dyDescent="0.35">
      <c r="A884" t="str">
        <v>TXN100882</v>
      </c>
      <c r="B884">
        <f>_xlfn.XLOOKUP(clean_sales!P884,Dim_Date!B:B,Dim_Date!A:A)</f>
        <v>20250511</v>
      </c>
      <c r="C884">
        <f>_xlfn.XLOOKUP(clean_sales!C884,Dim_Customer!B:B,Dim_Customer!A:A)</f>
        <v>246</v>
      </c>
      <c r="D884">
        <f>_xlfn.XLOOKUP(clean_sales!I884,Dim_Product!B:B,Dim_Product!A:A)</f>
        <v>4</v>
      </c>
      <c r="E884">
        <f>clean_sales!L884</f>
        <v>2</v>
      </c>
      <c r="F884">
        <f>clean_sales!T884</f>
        <v>9000</v>
      </c>
    </row>
    <row r="885" spans="1:6" x14ac:dyDescent="0.35">
      <c r="A885" t="str">
        <v>TXN100883</v>
      </c>
      <c r="B885">
        <f>_xlfn.XLOOKUP(clean_sales!P885,Dim_Date!B:B,Dim_Date!A:A)</f>
        <v>20251202</v>
      </c>
      <c r="C885">
        <f>_xlfn.XLOOKUP(clean_sales!C885,Dim_Customer!B:B,Dim_Customer!A:A)</f>
        <v>251</v>
      </c>
      <c r="D885">
        <f>_xlfn.XLOOKUP(clean_sales!I885,Dim_Product!B:B,Dim_Product!A:A)</f>
        <v>7</v>
      </c>
      <c r="E885">
        <f>clean_sales!L885</f>
        <v>1</v>
      </c>
      <c r="F885">
        <f>clean_sales!T885</f>
        <v>58000</v>
      </c>
    </row>
    <row r="886" spans="1:6" x14ac:dyDescent="0.35">
      <c r="A886" t="str">
        <v>TXN100884</v>
      </c>
      <c r="B886">
        <f>_xlfn.XLOOKUP(clean_sales!P886,Dim_Date!B:B,Dim_Date!A:A)</f>
        <v>20250703</v>
      </c>
      <c r="C886">
        <f>_xlfn.XLOOKUP(clean_sales!C886,Dim_Customer!B:B,Dim_Customer!A:A)</f>
        <v>566</v>
      </c>
      <c r="D886">
        <f>_xlfn.XLOOKUP(clean_sales!I886,Dim_Product!B:B,Dim_Product!A:A)</f>
        <v>3</v>
      </c>
      <c r="E886">
        <f>clean_sales!L886</f>
        <v>1</v>
      </c>
      <c r="F886">
        <f>clean_sales!T886</f>
        <v>5000</v>
      </c>
    </row>
    <row r="887" spans="1:6" x14ac:dyDescent="0.35">
      <c r="A887" t="str">
        <v>TXN100885</v>
      </c>
      <c r="B887">
        <f>_xlfn.XLOOKUP(clean_sales!P887,Dim_Date!B:B,Dim_Date!A:A)</f>
        <v>20250519</v>
      </c>
      <c r="C887">
        <f>_xlfn.XLOOKUP(clean_sales!C887,Dim_Customer!B:B,Dim_Customer!A:A)</f>
        <v>85</v>
      </c>
      <c r="D887">
        <f>_xlfn.XLOOKUP(clean_sales!I887,Dim_Product!B:B,Dim_Product!A:A)</f>
        <v>5</v>
      </c>
      <c r="E887">
        <f>clean_sales!L887</f>
        <v>3</v>
      </c>
      <c r="F887">
        <f>clean_sales!T887</f>
        <v>5400</v>
      </c>
    </row>
    <row r="888" spans="1:6" x14ac:dyDescent="0.35">
      <c r="A888" t="str">
        <v>TXN100886</v>
      </c>
      <c r="B888">
        <f>_xlfn.XLOOKUP(clean_sales!P888,Dim_Date!B:B,Dim_Date!A:A)</f>
        <v>20251105</v>
      </c>
      <c r="C888">
        <f>_xlfn.XLOOKUP(clean_sales!C888,Dim_Customer!B:B,Dim_Customer!A:A)</f>
        <v>595</v>
      </c>
      <c r="D888">
        <f>_xlfn.XLOOKUP(clean_sales!I888,Dim_Product!B:B,Dim_Product!A:A)</f>
        <v>5</v>
      </c>
      <c r="E888">
        <f>clean_sales!L888</f>
        <v>2</v>
      </c>
      <c r="F888">
        <f>clean_sales!T888</f>
        <v>3600</v>
      </c>
    </row>
    <row r="889" spans="1:6" x14ac:dyDescent="0.35">
      <c r="A889" t="str">
        <v>TXN100887</v>
      </c>
      <c r="B889">
        <f>_xlfn.XLOOKUP(clean_sales!P889,Dim_Date!B:B,Dim_Date!A:A)</f>
        <v>20251130</v>
      </c>
      <c r="C889">
        <f>_xlfn.XLOOKUP(clean_sales!C889,Dim_Customer!B:B,Dim_Customer!A:A)</f>
        <v>596</v>
      </c>
      <c r="D889">
        <f>_xlfn.XLOOKUP(clean_sales!I889,Dim_Product!B:B,Dim_Product!A:A)</f>
        <v>1</v>
      </c>
      <c r="E889">
        <f>clean_sales!L889</f>
        <v>1</v>
      </c>
      <c r="F889">
        <f>clean_sales!T889</f>
        <v>12000</v>
      </c>
    </row>
    <row r="890" spans="1:6" x14ac:dyDescent="0.35">
      <c r="A890" t="str">
        <v>TXN100888</v>
      </c>
      <c r="B890">
        <f>_xlfn.XLOOKUP(clean_sales!P890,Dim_Date!B:B,Dim_Date!A:A)</f>
        <v>20250202</v>
      </c>
      <c r="C890">
        <f>_xlfn.XLOOKUP(clean_sales!C890,Dim_Customer!B:B,Dim_Customer!A:A)</f>
        <v>258</v>
      </c>
      <c r="D890">
        <f>_xlfn.XLOOKUP(clean_sales!I890,Dim_Product!B:B,Dim_Product!A:A)</f>
        <v>4</v>
      </c>
      <c r="E890">
        <f>clean_sales!L890</f>
        <v>4</v>
      </c>
      <c r="F890">
        <f>clean_sales!T890</f>
        <v>18000</v>
      </c>
    </row>
    <row r="891" spans="1:6" x14ac:dyDescent="0.35">
      <c r="A891" t="str">
        <v>TXN100889</v>
      </c>
      <c r="B891">
        <f>_xlfn.XLOOKUP(clean_sales!P891,Dim_Date!B:B,Dim_Date!A:A)</f>
        <v>20250501</v>
      </c>
      <c r="C891">
        <f>_xlfn.XLOOKUP(clean_sales!C891,Dim_Customer!B:B,Dim_Customer!A:A)</f>
        <v>72</v>
      </c>
      <c r="D891">
        <f>_xlfn.XLOOKUP(clean_sales!I891,Dim_Product!B:B,Dim_Product!A:A)</f>
        <v>5</v>
      </c>
      <c r="E891">
        <f>clean_sales!L891</f>
        <v>2</v>
      </c>
      <c r="F891">
        <f>clean_sales!T891</f>
        <v>3600</v>
      </c>
    </row>
    <row r="892" spans="1:6" x14ac:dyDescent="0.35">
      <c r="A892" t="str">
        <v>TXN100890</v>
      </c>
      <c r="B892">
        <f>_xlfn.XLOOKUP(clean_sales!P892,Dim_Date!B:B,Dim_Date!A:A)</f>
        <v>20250114</v>
      </c>
      <c r="C892">
        <f>_xlfn.XLOOKUP(clean_sales!C892,Dim_Customer!B:B,Dim_Customer!A:A)</f>
        <v>597</v>
      </c>
      <c r="D892">
        <f>_xlfn.XLOOKUP(clean_sales!I892,Dim_Product!B:B,Dim_Product!A:A)</f>
        <v>5</v>
      </c>
      <c r="E892">
        <f>clean_sales!L892</f>
        <v>1</v>
      </c>
      <c r="F892">
        <f>clean_sales!T892</f>
        <v>1800</v>
      </c>
    </row>
    <row r="893" spans="1:6" x14ac:dyDescent="0.35">
      <c r="A893" t="str">
        <v>TXN100891</v>
      </c>
      <c r="B893">
        <f>_xlfn.XLOOKUP(clean_sales!P893,Dim_Date!B:B,Dim_Date!A:A)</f>
        <v>20250109</v>
      </c>
      <c r="C893">
        <f>_xlfn.XLOOKUP(clean_sales!C893,Dim_Customer!B:B,Dim_Customer!A:A)</f>
        <v>482</v>
      </c>
      <c r="D893">
        <f>_xlfn.XLOOKUP(clean_sales!I893,Dim_Product!B:B,Dim_Product!A:A)</f>
        <v>1</v>
      </c>
      <c r="E893">
        <f>clean_sales!L893</f>
        <v>4</v>
      </c>
      <c r="F893">
        <f>clean_sales!T893</f>
        <v>48000</v>
      </c>
    </row>
    <row r="894" spans="1:6" x14ac:dyDescent="0.35">
      <c r="A894" t="str">
        <v>TXN100892</v>
      </c>
      <c r="B894">
        <f>_xlfn.XLOOKUP(clean_sales!P894,Dim_Date!B:B,Dim_Date!A:A)</f>
        <v>20250731</v>
      </c>
      <c r="C894">
        <f>_xlfn.XLOOKUP(clean_sales!C894,Dim_Customer!B:B,Dim_Customer!A:A)</f>
        <v>598</v>
      </c>
      <c r="D894">
        <f>_xlfn.XLOOKUP(clean_sales!I894,Dim_Product!B:B,Dim_Product!A:A)</f>
        <v>4</v>
      </c>
      <c r="E894">
        <f>clean_sales!L894</f>
        <v>3</v>
      </c>
      <c r="F894">
        <f>clean_sales!T894</f>
        <v>13500</v>
      </c>
    </row>
    <row r="895" spans="1:6" x14ac:dyDescent="0.35">
      <c r="A895" t="str">
        <v>TXN100893</v>
      </c>
      <c r="B895">
        <f>_xlfn.XLOOKUP(clean_sales!P895,Dim_Date!B:B,Dim_Date!A:A)</f>
        <v>20250605</v>
      </c>
      <c r="C895">
        <f>_xlfn.XLOOKUP(clean_sales!C895,Dim_Customer!B:B,Dim_Customer!A:A)</f>
        <v>599</v>
      </c>
      <c r="D895">
        <f>_xlfn.XLOOKUP(clean_sales!I895,Dim_Product!B:B,Dim_Product!A:A)</f>
        <v>4</v>
      </c>
      <c r="E895">
        <f>clean_sales!L895</f>
        <v>3</v>
      </c>
      <c r="F895">
        <f>clean_sales!T895</f>
        <v>13500</v>
      </c>
    </row>
    <row r="896" spans="1:6" x14ac:dyDescent="0.35">
      <c r="A896" t="str">
        <v>TXN100894</v>
      </c>
      <c r="B896">
        <f>_xlfn.XLOOKUP(clean_sales!P896,Dim_Date!B:B,Dim_Date!A:A)</f>
        <v>20250806</v>
      </c>
      <c r="C896">
        <f>_xlfn.XLOOKUP(clean_sales!C896,Dim_Customer!B:B,Dim_Customer!A:A)</f>
        <v>552</v>
      </c>
      <c r="D896">
        <f>_xlfn.XLOOKUP(clean_sales!I896,Dim_Product!B:B,Dim_Product!A:A)</f>
        <v>7</v>
      </c>
      <c r="E896">
        <f>clean_sales!L896</f>
        <v>5</v>
      </c>
      <c r="F896">
        <f>clean_sales!T896</f>
        <v>290000</v>
      </c>
    </row>
    <row r="897" spans="1:6" x14ac:dyDescent="0.35">
      <c r="A897" t="str">
        <v>TXN100895</v>
      </c>
      <c r="B897">
        <f>_xlfn.XLOOKUP(clean_sales!P897,Dim_Date!B:B,Dim_Date!A:A)</f>
        <v>20251206</v>
      </c>
      <c r="C897">
        <f>_xlfn.XLOOKUP(clean_sales!C897,Dim_Customer!B:B,Dim_Customer!A:A)</f>
        <v>474</v>
      </c>
      <c r="D897">
        <f>_xlfn.XLOOKUP(clean_sales!I897,Dim_Product!B:B,Dim_Product!A:A)</f>
        <v>2</v>
      </c>
      <c r="E897">
        <f>clean_sales!L897</f>
        <v>5</v>
      </c>
      <c r="F897">
        <f>clean_sales!T897</f>
        <v>325000</v>
      </c>
    </row>
    <row r="898" spans="1:6" x14ac:dyDescent="0.35">
      <c r="A898" t="str">
        <v>TXN100896</v>
      </c>
      <c r="B898">
        <f>_xlfn.XLOOKUP(clean_sales!P898,Dim_Date!B:B,Dim_Date!A:A)</f>
        <v>20250611</v>
      </c>
      <c r="C898">
        <f>_xlfn.XLOOKUP(clean_sales!C898,Dim_Customer!B:B,Dim_Customer!A:A)</f>
        <v>600</v>
      </c>
      <c r="D898">
        <f>_xlfn.XLOOKUP(clean_sales!I898,Dim_Product!B:B,Dim_Product!A:A)</f>
        <v>5</v>
      </c>
      <c r="E898">
        <f>clean_sales!L898</f>
        <v>5</v>
      </c>
      <c r="F898">
        <f>clean_sales!T898</f>
        <v>9000</v>
      </c>
    </row>
    <row r="899" spans="1:6" x14ac:dyDescent="0.35">
      <c r="A899" t="str">
        <v>TXN100897</v>
      </c>
      <c r="B899">
        <f>_xlfn.XLOOKUP(clean_sales!P899,Dim_Date!B:B,Dim_Date!A:A)</f>
        <v>20250822</v>
      </c>
      <c r="C899">
        <f>_xlfn.XLOOKUP(clean_sales!C899,Dim_Customer!B:B,Dim_Customer!A:A)</f>
        <v>315</v>
      </c>
      <c r="D899">
        <f>_xlfn.XLOOKUP(clean_sales!I899,Dim_Product!B:B,Dim_Product!A:A)</f>
        <v>4</v>
      </c>
      <c r="E899">
        <f>clean_sales!L899</f>
        <v>2</v>
      </c>
      <c r="F899">
        <f>clean_sales!T899</f>
        <v>9000</v>
      </c>
    </row>
    <row r="900" spans="1:6" x14ac:dyDescent="0.35">
      <c r="A900" t="str">
        <v>TXN100898</v>
      </c>
      <c r="B900">
        <f>_xlfn.XLOOKUP(clean_sales!P900,Dim_Date!B:B,Dim_Date!A:A)</f>
        <v>20250121</v>
      </c>
      <c r="C900">
        <f>_xlfn.XLOOKUP(clean_sales!C900,Dim_Customer!B:B,Dim_Customer!A:A)</f>
        <v>601</v>
      </c>
      <c r="D900">
        <f>_xlfn.XLOOKUP(clean_sales!I900,Dim_Product!B:B,Dim_Product!A:A)</f>
        <v>5</v>
      </c>
      <c r="E900">
        <f>clean_sales!L900</f>
        <v>4</v>
      </c>
      <c r="F900">
        <f>clean_sales!T900</f>
        <v>7200</v>
      </c>
    </row>
    <row r="901" spans="1:6" x14ac:dyDescent="0.35">
      <c r="A901" t="str">
        <v>TXN100899</v>
      </c>
      <c r="B901">
        <f>_xlfn.XLOOKUP(clean_sales!P901,Dim_Date!B:B,Dim_Date!A:A)</f>
        <v>20250301</v>
      </c>
      <c r="C901">
        <f>_xlfn.XLOOKUP(clean_sales!C901,Dim_Customer!B:B,Dim_Customer!A:A)</f>
        <v>329</v>
      </c>
      <c r="D901">
        <f>_xlfn.XLOOKUP(clean_sales!I901,Dim_Product!B:B,Dim_Product!A:A)</f>
        <v>7</v>
      </c>
      <c r="E901">
        <f>clean_sales!L901</f>
        <v>4</v>
      </c>
      <c r="F901">
        <f>clean_sales!T901</f>
        <v>232000</v>
      </c>
    </row>
    <row r="902" spans="1:6" x14ac:dyDescent="0.35">
      <c r="A902" t="str">
        <v>TXN100900</v>
      </c>
      <c r="B902">
        <f>_xlfn.XLOOKUP(clean_sales!P902,Dim_Date!B:B,Dim_Date!A:A)</f>
        <v>20250616</v>
      </c>
      <c r="C902">
        <f>_xlfn.XLOOKUP(clean_sales!C902,Dim_Customer!B:B,Dim_Customer!A:A)</f>
        <v>602</v>
      </c>
      <c r="D902">
        <f>_xlfn.XLOOKUP(clean_sales!I902,Dim_Product!B:B,Dim_Product!A:A)</f>
        <v>1</v>
      </c>
      <c r="E902">
        <f>clean_sales!L902</f>
        <v>5</v>
      </c>
      <c r="F902">
        <f>clean_sales!T902</f>
        <v>60000</v>
      </c>
    </row>
    <row r="903" spans="1:6" x14ac:dyDescent="0.35">
      <c r="A903" t="str">
        <v>TXN100901</v>
      </c>
      <c r="B903">
        <f>_xlfn.XLOOKUP(clean_sales!P903,Dim_Date!B:B,Dim_Date!A:A)</f>
        <v>20250308</v>
      </c>
      <c r="C903">
        <f>_xlfn.XLOOKUP(clean_sales!C903,Dim_Customer!B:B,Dim_Customer!A:A)</f>
        <v>292</v>
      </c>
      <c r="D903">
        <f>_xlfn.XLOOKUP(clean_sales!I903,Dim_Product!B:B,Dim_Product!A:A)</f>
        <v>4</v>
      </c>
      <c r="E903">
        <f>clean_sales!L903</f>
        <v>1</v>
      </c>
      <c r="F903">
        <f>clean_sales!T903</f>
        <v>4500</v>
      </c>
    </row>
    <row r="904" spans="1:6" x14ac:dyDescent="0.35">
      <c r="A904" t="str">
        <v>TXN100902</v>
      </c>
      <c r="B904">
        <f>_xlfn.XLOOKUP(clean_sales!P904,Dim_Date!B:B,Dim_Date!A:A)</f>
        <v>20250906</v>
      </c>
      <c r="C904">
        <f>_xlfn.XLOOKUP(clean_sales!C904,Dim_Customer!B:B,Dim_Customer!A:A)</f>
        <v>603</v>
      </c>
      <c r="D904">
        <f>_xlfn.XLOOKUP(clean_sales!I904,Dim_Product!B:B,Dim_Product!A:A)</f>
        <v>2</v>
      </c>
      <c r="E904">
        <f>clean_sales!L904</f>
        <v>2</v>
      </c>
      <c r="F904">
        <f>clean_sales!T904</f>
        <v>130000</v>
      </c>
    </row>
    <row r="905" spans="1:6" x14ac:dyDescent="0.35">
      <c r="A905" t="str">
        <v>TXN100903</v>
      </c>
      <c r="B905">
        <f>_xlfn.XLOOKUP(clean_sales!P905,Dim_Date!B:B,Dim_Date!A:A)</f>
        <v>20251009</v>
      </c>
      <c r="C905">
        <f>_xlfn.XLOOKUP(clean_sales!C905,Dim_Customer!B:B,Dim_Customer!A:A)</f>
        <v>604</v>
      </c>
      <c r="D905">
        <f>_xlfn.XLOOKUP(clean_sales!I905,Dim_Product!B:B,Dim_Product!A:A)</f>
        <v>1</v>
      </c>
      <c r="E905">
        <f>clean_sales!L905</f>
        <v>4</v>
      </c>
      <c r="F905">
        <f>clean_sales!T905</f>
        <v>48000</v>
      </c>
    </row>
    <row r="906" spans="1:6" x14ac:dyDescent="0.35">
      <c r="A906" t="str">
        <v>TXN100904</v>
      </c>
      <c r="B906">
        <f>_xlfn.XLOOKUP(clean_sales!P906,Dim_Date!B:B,Dim_Date!A:A)</f>
        <v>20250625</v>
      </c>
      <c r="C906">
        <f>_xlfn.XLOOKUP(clean_sales!C906,Dim_Customer!B:B,Dim_Customer!A:A)</f>
        <v>605</v>
      </c>
      <c r="D906">
        <f>_xlfn.XLOOKUP(clean_sales!I906,Dim_Product!B:B,Dim_Product!A:A)</f>
        <v>7</v>
      </c>
      <c r="E906">
        <f>clean_sales!L906</f>
        <v>5</v>
      </c>
      <c r="F906">
        <f>clean_sales!T906</f>
        <v>290000</v>
      </c>
    </row>
    <row r="907" spans="1:6" x14ac:dyDescent="0.35">
      <c r="A907" t="str">
        <v>TXN100905</v>
      </c>
      <c r="B907">
        <f>_xlfn.XLOOKUP(clean_sales!P907,Dim_Date!B:B,Dim_Date!A:A)</f>
        <v>20250302</v>
      </c>
      <c r="C907">
        <f>_xlfn.XLOOKUP(clean_sales!C907,Dim_Customer!B:B,Dim_Customer!A:A)</f>
        <v>606</v>
      </c>
      <c r="D907">
        <f>_xlfn.XLOOKUP(clean_sales!I907,Dim_Product!B:B,Dim_Product!A:A)</f>
        <v>6</v>
      </c>
      <c r="E907">
        <f>clean_sales!L907</f>
        <v>2</v>
      </c>
      <c r="F907">
        <f>clean_sales!T907</f>
        <v>144000</v>
      </c>
    </row>
    <row r="908" spans="1:6" x14ac:dyDescent="0.35">
      <c r="A908" t="str">
        <v>TXN100906</v>
      </c>
      <c r="B908">
        <f>_xlfn.XLOOKUP(clean_sales!P908,Dim_Date!B:B,Dim_Date!A:A)</f>
        <v>20250624</v>
      </c>
      <c r="C908">
        <f>_xlfn.XLOOKUP(clean_sales!C908,Dim_Customer!B:B,Dim_Customer!A:A)</f>
        <v>533</v>
      </c>
      <c r="D908">
        <f>_xlfn.XLOOKUP(clean_sales!I908,Dim_Product!B:B,Dim_Product!A:A)</f>
        <v>3</v>
      </c>
      <c r="E908">
        <f>clean_sales!L908</f>
        <v>1</v>
      </c>
      <c r="F908">
        <f>clean_sales!T908</f>
        <v>5000</v>
      </c>
    </row>
    <row r="909" spans="1:6" x14ac:dyDescent="0.35">
      <c r="A909" t="str">
        <v>TXN100907</v>
      </c>
      <c r="B909">
        <f>_xlfn.XLOOKUP(clean_sales!P909,Dim_Date!B:B,Dim_Date!A:A)</f>
        <v>20250726</v>
      </c>
      <c r="C909">
        <f>_xlfn.XLOOKUP(clean_sales!C909,Dim_Customer!B:B,Dim_Customer!A:A)</f>
        <v>502</v>
      </c>
      <c r="D909">
        <f>_xlfn.XLOOKUP(clean_sales!I909,Dim_Product!B:B,Dim_Product!A:A)</f>
        <v>4</v>
      </c>
      <c r="E909">
        <f>clean_sales!L909</f>
        <v>3</v>
      </c>
      <c r="F909">
        <f>clean_sales!T909</f>
        <v>13500</v>
      </c>
    </row>
    <row r="910" spans="1:6" x14ac:dyDescent="0.35">
      <c r="A910" t="str">
        <v>TXN100908</v>
      </c>
      <c r="B910">
        <f>_xlfn.XLOOKUP(clean_sales!P910,Dim_Date!B:B,Dim_Date!A:A)</f>
        <v>20250329</v>
      </c>
      <c r="C910">
        <f>_xlfn.XLOOKUP(clean_sales!C910,Dim_Customer!B:B,Dim_Customer!A:A)</f>
        <v>9</v>
      </c>
      <c r="D910">
        <f>_xlfn.XLOOKUP(clean_sales!I910,Dim_Product!B:B,Dim_Product!A:A)</f>
        <v>3</v>
      </c>
      <c r="E910">
        <f>clean_sales!L910</f>
        <v>3</v>
      </c>
      <c r="F910">
        <f>clean_sales!T910</f>
        <v>15000</v>
      </c>
    </row>
    <row r="911" spans="1:6" x14ac:dyDescent="0.35">
      <c r="A911" t="str">
        <v>TXN100909</v>
      </c>
      <c r="B911">
        <f>_xlfn.XLOOKUP(clean_sales!P911,Dim_Date!B:B,Dim_Date!A:A)</f>
        <v>20250418</v>
      </c>
      <c r="C911">
        <f>_xlfn.XLOOKUP(clean_sales!C911,Dim_Customer!B:B,Dim_Customer!A:A)</f>
        <v>525</v>
      </c>
      <c r="D911">
        <f>_xlfn.XLOOKUP(clean_sales!I911,Dim_Product!B:B,Dim_Product!A:A)</f>
        <v>7</v>
      </c>
      <c r="E911">
        <f>clean_sales!L911</f>
        <v>3</v>
      </c>
      <c r="F911">
        <f>clean_sales!T911</f>
        <v>174000</v>
      </c>
    </row>
    <row r="912" spans="1:6" x14ac:dyDescent="0.35">
      <c r="A912" t="str">
        <v>TXN100910</v>
      </c>
      <c r="B912">
        <f>_xlfn.XLOOKUP(clean_sales!P912,Dim_Date!B:B,Dim_Date!A:A)</f>
        <v>20250518</v>
      </c>
      <c r="C912">
        <f>_xlfn.XLOOKUP(clean_sales!C912,Dim_Customer!B:B,Dim_Customer!A:A)</f>
        <v>457</v>
      </c>
      <c r="D912">
        <f>_xlfn.XLOOKUP(clean_sales!I912,Dim_Product!B:B,Dim_Product!A:A)</f>
        <v>4</v>
      </c>
      <c r="E912">
        <f>clean_sales!L912</f>
        <v>2</v>
      </c>
      <c r="F912">
        <f>clean_sales!T912</f>
        <v>9000</v>
      </c>
    </row>
    <row r="913" spans="1:6" x14ac:dyDescent="0.35">
      <c r="A913" t="str">
        <v>TXN100911</v>
      </c>
      <c r="B913">
        <f>_xlfn.XLOOKUP(clean_sales!P913,Dim_Date!B:B,Dim_Date!A:A)</f>
        <v>20250621</v>
      </c>
      <c r="C913">
        <f>_xlfn.XLOOKUP(clean_sales!C913,Dim_Customer!B:B,Dim_Customer!A:A)</f>
        <v>373</v>
      </c>
      <c r="D913">
        <f>_xlfn.XLOOKUP(clean_sales!I913,Dim_Product!B:B,Dim_Product!A:A)</f>
        <v>5</v>
      </c>
      <c r="E913">
        <f>clean_sales!L913</f>
        <v>3</v>
      </c>
      <c r="F913">
        <f>clean_sales!T913</f>
        <v>5400</v>
      </c>
    </row>
    <row r="914" spans="1:6" x14ac:dyDescent="0.35">
      <c r="A914" t="str">
        <v>TXN100912</v>
      </c>
      <c r="B914">
        <f>_xlfn.XLOOKUP(clean_sales!P914,Dim_Date!B:B,Dim_Date!A:A)</f>
        <v>20250212</v>
      </c>
      <c r="C914">
        <f>_xlfn.XLOOKUP(clean_sales!C914,Dim_Customer!B:B,Dim_Customer!A:A)</f>
        <v>190</v>
      </c>
      <c r="D914">
        <f>_xlfn.XLOOKUP(clean_sales!I914,Dim_Product!B:B,Dim_Product!A:A)</f>
        <v>1</v>
      </c>
      <c r="E914">
        <f>clean_sales!L914</f>
        <v>1</v>
      </c>
      <c r="F914">
        <f>clean_sales!T914</f>
        <v>12000</v>
      </c>
    </row>
    <row r="915" spans="1:6" x14ac:dyDescent="0.35">
      <c r="A915" t="str">
        <v>TXN100913</v>
      </c>
      <c r="B915">
        <f>_xlfn.XLOOKUP(clean_sales!P915,Dim_Date!B:B,Dim_Date!A:A)</f>
        <v>20250121</v>
      </c>
      <c r="C915">
        <f>_xlfn.XLOOKUP(clean_sales!C915,Dim_Customer!B:B,Dim_Customer!A:A)</f>
        <v>35</v>
      </c>
      <c r="D915">
        <f>_xlfn.XLOOKUP(clean_sales!I915,Dim_Product!B:B,Dim_Product!A:A)</f>
        <v>5</v>
      </c>
      <c r="E915">
        <f>clean_sales!L915</f>
        <v>3</v>
      </c>
      <c r="F915">
        <f>clean_sales!T915</f>
        <v>5400</v>
      </c>
    </row>
    <row r="916" spans="1:6" x14ac:dyDescent="0.35">
      <c r="A916" t="str">
        <v>TXN100914</v>
      </c>
      <c r="B916">
        <f>_xlfn.XLOOKUP(clean_sales!P916,Dim_Date!B:B,Dim_Date!A:A)</f>
        <v>20250915</v>
      </c>
      <c r="C916">
        <f>_xlfn.XLOOKUP(clean_sales!C916,Dim_Customer!B:B,Dim_Customer!A:A)</f>
        <v>275</v>
      </c>
      <c r="D916">
        <f>_xlfn.XLOOKUP(clean_sales!I916,Dim_Product!B:B,Dim_Product!A:A)</f>
        <v>2</v>
      </c>
      <c r="E916">
        <f>clean_sales!L916</f>
        <v>1</v>
      </c>
      <c r="F916">
        <f>clean_sales!T916</f>
        <v>65000</v>
      </c>
    </row>
    <row r="917" spans="1:6" x14ac:dyDescent="0.35">
      <c r="A917" t="str">
        <v>TXN100915</v>
      </c>
      <c r="B917">
        <f>_xlfn.XLOOKUP(clean_sales!P917,Dim_Date!B:B,Dim_Date!A:A)</f>
        <v>20250107</v>
      </c>
      <c r="C917">
        <f>_xlfn.XLOOKUP(clean_sales!C917,Dim_Customer!B:B,Dim_Customer!A:A)</f>
        <v>607</v>
      </c>
      <c r="D917">
        <f>_xlfn.XLOOKUP(clean_sales!I917,Dim_Product!B:B,Dim_Product!A:A)</f>
        <v>6</v>
      </c>
      <c r="E917">
        <f>clean_sales!L917</f>
        <v>2</v>
      </c>
      <c r="F917">
        <f>clean_sales!T917</f>
        <v>144000</v>
      </c>
    </row>
    <row r="918" spans="1:6" x14ac:dyDescent="0.35">
      <c r="A918" t="str">
        <v>TXN100916</v>
      </c>
      <c r="B918">
        <f>_xlfn.XLOOKUP(clean_sales!P918,Dim_Date!B:B,Dim_Date!A:A)</f>
        <v>20250620</v>
      </c>
      <c r="C918">
        <f>_xlfn.XLOOKUP(clean_sales!C918,Dim_Customer!B:B,Dim_Customer!A:A)</f>
        <v>508</v>
      </c>
      <c r="D918">
        <f>_xlfn.XLOOKUP(clean_sales!I918,Dim_Product!B:B,Dim_Product!A:A)</f>
        <v>4</v>
      </c>
      <c r="E918">
        <f>clean_sales!L918</f>
        <v>2</v>
      </c>
      <c r="F918">
        <f>clean_sales!T918</f>
        <v>9000</v>
      </c>
    </row>
    <row r="919" spans="1:6" x14ac:dyDescent="0.35">
      <c r="A919" t="str">
        <v>TXN100917</v>
      </c>
      <c r="B919">
        <f>_xlfn.XLOOKUP(clean_sales!P919,Dim_Date!B:B,Dim_Date!A:A)</f>
        <v>20251126</v>
      </c>
      <c r="C919">
        <f>_xlfn.XLOOKUP(clean_sales!C919,Dim_Customer!B:B,Dim_Customer!A:A)</f>
        <v>563</v>
      </c>
      <c r="D919">
        <f>_xlfn.XLOOKUP(clean_sales!I919,Dim_Product!B:B,Dim_Product!A:A)</f>
        <v>2</v>
      </c>
      <c r="E919">
        <f>clean_sales!L919</f>
        <v>3</v>
      </c>
      <c r="F919">
        <f>clean_sales!T919</f>
        <v>195000</v>
      </c>
    </row>
    <row r="920" spans="1:6" x14ac:dyDescent="0.35">
      <c r="A920" t="str">
        <v>TXN100918</v>
      </c>
      <c r="B920">
        <f>_xlfn.XLOOKUP(clean_sales!P920,Dim_Date!B:B,Dim_Date!A:A)</f>
        <v>20260101</v>
      </c>
      <c r="C920">
        <f>_xlfn.XLOOKUP(clean_sales!C920,Dim_Customer!B:B,Dim_Customer!A:A)</f>
        <v>353</v>
      </c>
      <c r="D920">
        <f>_xlfn.XLOOKUP(clean_sales!I920,Dim_Product!B:B,Dim_Product!A:A)</f>
        <v>3</v>
      </c>
      <c r="E920">
        <f>clean_sales!L920</f>
        <v>4</v>
      </c>
      <c r="F920">
        <f>clean_sales!T920</f>
        <v>20000</v>
      </c>
    </row>
    <row r="921" spans="1:6" x14ac:dyDescent="0.35">
      <c r="A921" t="str">
        <v>TXN100919</v>
      </c>
      <c r="B921">
        <f>_xlfn.XLOOKUP(clean_sales!P921,Dim_Date!B:B,Dim_Date!A:A)</f>
        <v>20250128</v>
      </c>
      <c r="C921">
        <f>_xlfn.XLOOKUP(clean_sales!C921,Dim_Customer!B:B,Dim_Customer!A:A)</f>
        <v>608</v>
      </c>
      <c r="D921">
        <f>_xlfn.XLOOKUP(clean_sales!I921,Dim_Product!B:B,Dim_Product!A:A)</f>
        <v>3</v>
      </c>
      <c r="E921">
        <f>clean_sales!L921</f>
        <v>4</v>
      </c>
      <c r="F921">
        <f>clean_sales!T921</f>
        <v>20000</v>
      </c>
    </row>
    <row r="922" spans="1:6" x14ac:dyDescent="0.35">
      <c r="A922" t="str">
        <v>TXN100920</v>
      </c>
      <c r="B922">
        <f>_xlfn.XLOOKUP(clean_sales!P922,Dim_Date!B:B,Dim_Date!A:A)</f>
        <v>20250302</v>
      </c>
      <c r="C922">
        <f>_xlfn.XLOOKUP(clean_sales!C922,Dim_Customer!B:B,Dim_Customer!A:A)</f>
        <v>49</v>
      </c>
      <c r="D922">
        <f>_xlfn.XLOOKUP(clean_sales!I922,Dim_Product!B:B,Dim_Product!A:A)</f>
        <v>7</v>
      </c>
      <c r="E922">
        <f>clean_sales!L922</f>
        <v>3</v>
      </c>
      <c r="F922">
        <f>clean_sales!T922</f>
        <v>174000</v>
      </c>
    </row>
    <row r="923" spans="1:6" x14ac:dyDescent="0.35">
      <c r="A923" t="str">
        <v>TXN100921</v>
      </c>
      <c r="B923">
        <f>_xlfn.XLOOKUP(clean_sales!P923,Dim_Date!B:B,Dim_Date!A:A)</f>
        <v>20251015</v>
      </c>
      <c r="C923">
        <f>_xlfn.XLOOKUP(clean_sales!C923,Dim_Customer!B:B,Dim_Customer!A:A)</f>
        <v>125</v>
      </c>
      <c r="D923">
        <f>_xlfn.XLOOKUP(clean_sales!I923,Dim_Product!B:B,Dim_Product!A:A)</f>
        <v>6</v>
      </c>
      <c r="E923">
        <f>clean_sales!L923</f>
        <v>5</v>
      </c>
      <c r="F923">
        <f>clean_sales!T923</f>
        <v>360000</v>
      </c>
    </row>
    <row r="924" spans="1:6" x14ac:dyDescent="0.35">
      <c r="A924" t="str">
        <v>TXN100922</v>
      </c>
      <c r="B924">
        <f>_xlfn.XLOOKUP(clean_sales!P924,Dim_Date!B:B,Dim_Date!A:A)</f>
        <v>20250518</v>
      </c>
      <c r="C924">
        <f>_xlfn.XLOOKUP(clean_sales!C924,Dim_Customer!B:B,Dim_Customer!A:A)</f>
        <v>150</v>
      </c>
      <c r="D924">
        <f>_xlfn.XLOOKUP(clean_sales!I924,Dim_Product!B:B,Dim_Product!A:A)</f>
        <v>5</v>
      </c>
      <c r="E924">
        <f>clean_sales!L924</f>
        <v>1</v>
      </c>
      <c r="F924">
        <f>clean_sales!T924</f>
        <v>1800</v>
      </c>
    </row>
    <row r="925" spans="1:6" x14ac:dyDescent="0.35">
      <c r="A925" t="str">
        <v>TXN100923</v>
      </c>
      <c r="B925">
        <f>_xlfn.XLOOKUP(clean_sales!P925,Dim_Date!B:B,Dim_Date!A:A)</f>
        <v>20251214</v>
      </c>
      <c r="C925">
        <f>_xlfn.XLOOKUP(clean_sales!C925,Dim_Customer!B:B,Dim_Customer!A:A)</f>
        <v>609</v>
      </c>
      <c r="D925">
        <f>_xlfn.XLOOKUP(clean_sales!I925,Dim_Product!B:B,Dim_Product!A:A)</f>
        <v>3</v>
      </c>
      <c r="E925">
        <f>clean_sales!L925</f>
        <v>1</v>
      </c>
      <c r="F925">
        <f>clean_sales!T925</f>
        <v>5000</v>
      </c>
    </row>
    <row r="926" spans="1:6" x14ac:dyDescent="0.35">
      <c r="A926" t="str">
        <v>TXN100924</v>
      </c>
      <c r="B926">
        <f>_xlfn.XLOOKUP(clean_sales!P926,Dim_Date!B:B,Dim_Date!A:A)</f>
        <v>20251127</v>
      </c>
      <c r="C926">
        <f>_xlfn.XLOOKUP(clean_sales!C926,Dim_Customer!B:B,Dim_Customer!A:A)</f>
        <v>610</v>
      </c>
      <c r="D926">
        <f>_xlfn.XLOOKUP(clean_sales!I926,Dim_Product!B:B,Dim_Product!A:A)</f>
        <v>2</v>
      </c>
      <c r="E926">
        <f>clean_sales!L926</f>
        <v>3</v>
      </c>
      <c r="F926">
        <f>clean_sales!T926</f>
        <v>195000</v>
      </c>
    </row>
    <row r="927" spans="1:6" x14ac:dyDescent="0.35">
      <c r="A927" t="str">
        <v>TXN100925</v>
      </c>
      <c r="B927">
        <f>_xlfn.XLOOKUP(clean_sales!P927,Dim_Date!B:B,Dim_Date!A:A)</f>
        <v>20250529</v>
      </c>
      <c r="C927">
        <f>_xlfn.XLOOKUP(clean_sales!C927,Dim_Customer!B:B,Dim_Customer!A:A)</f>
        <v>611</v>
      </c>
      <c r="D927">
        <f>_xlfn.XLOOKUP(clean_sales!I927,Dim_Product!B:B,Dim_Product!A:A)</f>
        <v>7</v>
      </c>
      <c r="E927">
        <f>clean_sales!L927</f>
        <v>4</v>
      </c>
      <c r="F927">
        <f>clean_sales!T927</f>
        <v>232000</v>
      </c>
    </row>
    <row r="928" spans="1:6" x14ac:dyDescent="0.35">
      <c r="A928" t="str">
        <v>TXN100926</v>
      </c>
      <c r="B928">
        <f>_xlfn.XLOOKUP(clean_sales!P928,Dim_Date!B:B,Dim_Date!A:A)</f>
        <v>20250525</v>
      </c>
      <c r="C928">
        <f>_xlfn.XLOOKUP(clean_sales!C928,Dim_Customer!B:B,Dim_Customer!A:A)</f>
        <v>575</v>
      </c>
      <c r="D928">
        <f>_xlfn.XLOOKUP(clean_sales!I928,Dim_Product!B:B,Dim_Product!A:A)</f>
        <v>3</v>
      </c>
      <c r="E928">
        <f>clean_sales!L928</f>
        <v>1</v>
      </c>
      <c r="F928">
        <f>clean_sales!T928</f>
        <v>5000</v>
      </c>
    </row>
    <row r="929" spans="1:6" x14ac:dyDescent="0.35">
      <c r="A929" t="str">
        <v>TXN100927</v>
      </c>
      <c r="B929">
        <f>_xlfn.XLOOKUP(clean_sales!P929,Dim_Date!B:B,Dim_Date!A:A)</f>
        <v>20250715</v>
      </c>
      <c r="C929">
        <f>_xlfn.XLOOKUP(clean_sales!C929,Dim_Customer!B:B,Dim_Customer!A:A)</f>
        <v>612</v>
      </c>
      <c r="D929">
        <f>_xlfn.XLOOKUP(clean_sales!I929,Dim_Product!B:B,Dim_Product!A:A)</f>
        <v>7</v>
      </c>
      <c r="E929">
        <f>clean_sales!L929</f>
        <v>5</v>
      </c>
      <c r="F929">
        <f>clean_sales!T929</f>
        <v>290000</v>
      </c>
    </row>
    <row r="930" spans="1:6" x14ac:dyDescent="0.35">
      <c r="A930" t="str">
        <v>TXN100928</v>
      </c>
      <c r="B930">
        <f>_xlfn.XLOOKUP(clean_sales!P930,Dim_Date!B:B,Dim_Date!A:A)</f>
        <v>20251207</v>
      </c>
      <c r="C930">
        <f>_xlfn.XLOOKUP(clean_sales!C930,Dim_Customer!B:B,Dim_Customer!A:A)</f>
        <v>454</v>
      </c>
      <c r="D930">
        <f>_xlfn.XLOOKUP(clean_sales!I930,Dim_Product!B:B,Dim_Product!A:A)</f>
        <v>2</v>
      </c>
      <c r="E930">
        <f>clean_sales!L930</f>
        <v>2</v>
      </c>
      <c r="F930">
        <f>clean_sales!T930</f>
        <v>130000</v>
      </c>
    </row>
    <row r="931" spans="1:6" x14ac:dyDescent="0.35">
      <c r="A931" t="str">
        <v>TXN100929</v>
      </c>
      <c r="B931">
        <f>_xlfn.XLOOKUP(clean_sales!P931,Dim_Date!B:B,Dim_Date!A:A)</f>
        <v>20251104</v>
      </c>
      <c r="C931">
        <f>_xlfn.XLOOKUP(clean_sales!C931,Dim_Customer!B:B,Dim_Customer!A:A)</f>
        <v>296</v>
      </c>
      <c r="D931">
        <f>_xlfn.XLOOKUP(clean_sales!I931,Dim_Product!B:B,Dim_Product!A:A)</f>
        <v>2</v>
      </c>
      <c r="E931">
        <f>clean_sales!L931</f>
        <v>4</v>
      </c>
      <c r="F931">
        <f>clean_sales!T931</f>
        <v>260000</v>
      </c>
    </row>
    <row r="932" spans="1:6" x14ac:dyDescent="0.35">
      <c r="A932" t="str">
        <v>TXN100930</v>
      </c>
      <c r="B932">
        <f>_xlfn.XLOOKUP(clean_sales!P932,Dim_Date!B:B,Dim_Date!A:A)</f>
        <v>20250330</v>
      </c>
      <c r="C932">
        <f>_xlfn.XLOOKUP(clean_sales!C932,Dim_Customer!B:B,Dim_Customer!A:A)</f>
        <v>11</v>
      </c>
      <c r="D932">
        <f>_xlfn.XLOOKUP(clean_sales!I932,Dim_Product!B:B,Dim_Product!A:A)</f>
        <v>2</v>
      </c>
      <c r="E932">
        <f>clean_sales!L932</f>
        <v>2</v>
      </c>
      <c r="F932">
        <f>clean_sales!T932</f>
        <v>130000</v>
      </c>
    </row>
    <row r="933" spans="1:6" x14ac:dyDescent="0.35">
      <c r="A933" t="str">
        <v>TXN100931</v>
      </c>
      <c r="B933">
        <f>_xlfn.XLOOKUP(clean_sales!P933,Dim_Date!B:B,Dim_Date!A:A)</f>
        <v>20250522</v>
      </c>
      <c r="C933">
        <f>_xlfn.XLOOKUP(clean_sales!C933,Dim_Customer!B:B,Dim_Customer!A:A)</f>
        <v>613</v>
      </c>
      <c r="D933">
        <f>_xlfn.XLOOKUP(clean_sales!I933,Dim_Product!B:B,Dim_Product!A:A)</f>
        <v>1</v>
      </c>
      <c r="E933">
        <f>clean_sales!L933</f>
        <v>4</v>
      </c>
      <c r="F933">
        <f>clean_sales!T933</f>
        <v>48000</v>
      </c>
    </row>
    <row r="934" spans="1:6" x14ac:dyDescent="0.35">
      <c r="A934" t="str">
        <v>TXN100932</v>
      </c>
      <c r="B934">
        <f>_xlfn.XLOOKUP(clean_sales!P934,Dim_Date!B:B,Dim_Date!A:A)</f>
        <v>20250811</v>
      </c>
      <c r="C934">
        <f>_xlfn.XLOOKUP(clean_sales!C934,Dim_Customer!B:B,Dim_Customer!A:A)</f>
        <v>360</v>
      </c>
      <c r="D934">
        <f>_xlfn.XLOOKUP(clean_sales!I934,Dim_Product!B:B,Dim_Product!A:A)</f>
        <v>4</v>
      </c>
      <c r="E934">
        <f>clean_sales!L934</f>
        <v>4</v>
      </c>
      <c r="F934">
        <f>clean_sales!T934</f>
        <v>18000</v>
      </c>
    </row>
    <row r="935" spans="1:6" x14ac:dyDescent="0.35">
      <c r="A935" t="str">
        <v>TXN100933</v>
      </c>
      <c r="B935">
        <f>_xlfn.XLOOKUP(clean_sales!P935,Dim_Date!B:B,Dim_Date!A:A)</f>
        <v>20251205</v>
      </c>
      <c r="C935">
        <f>_xlfn.XLOOKUP(clean_sales!C935,Dim_Customer!B:B,Dim_Customer!A:A)</f>
        <v>216</v>
      </c>
      <c r="D935">
        <f>_xlfn.XLOOKUP(clean_sales!I935,Dim_Product!B:B,Dim_Product!A:A)</f>
        <v>5</v>
      </c>
      <c r="E935">
        <f>clean_sales!L935</f>
        <v>4</v>
      </c>
      <c r="F935">
        <f>clean_sales!T935</f>
        <v>7200</v>
      </c>
    </row>
    <row r="936" spans="1:6" x14ac:dyDescent="0.35">
      <c r="A936" t="str">
        <v>TXN100934</v>
      </c>
      <c r="B936">
        <f>_xlfn.XLOOKUP(clean_sales!P936,Dim_Date!B:B,Dim_Date!A:A)</f>
        <v>20250416</v>
      </c>
      <c r="C936">
        <f>_xlfn.XLOOKUP(clean_sales!C936,Dim_Customer!B:B,Dim_Customer!A:A)</f>
        <v>614</v>
      </c>
      <c r="D936">
        <f>_xlfn.XLOOKUP(clean_sales!I936,Dim_Product!B:B,Dim_Product!A:A)</f>
        <v>1</v>
      </c>
      <c r="E936">
        <f>clean_sales!L936</f>
        <v>3</v>
      </c>
      <c r="F936">
        <f>clean_sales!T936</f>
        <v>36000</v>
      </c>
    </row>
    <row r="937" spans="1:6" x14ac:dyDescent="0.35">
      <c r="A937" t="str">
        <v>TXN100935</v>
      </c>
      <c r="B937">
        <f>_xlfn.XLOOKUP(clean_sales!P937,Dim_Date!B:B,Dim_Date!A:A)</f>
        <v>20251023</v>
      </c>
      <c r="C937">
        <f>_xlfn.XLOOKUP(clean_sales!C937,Dim_Customer!B:B,Dim_Customer!A:A)</f>
        <v>58</v>
      </c>
      <c r="D937">
        <f>_xlfn.XLOOKUP(clean_sales!I937,Dim_Product!B:B,Dim_Product!A:A)</f>
        <v>7</v>
      </c>
      <c r="E937">
        <f>clean_sales!L937</f>
        <v>1</v>
      </c>
      <c r="F937">
        <f>clean_sales!T937</f>
        <v>58000</v>
      </c>
    </row>
    <row r="938" spans="1:6" x14ac:dyDescent="0.35">
      <c r="A938" t="str">
        <v>TXN100936</v>
      </c>
      <c r="B938">
        <f>_xlfn.XLOOKUP(clean_sales!P938,Dim_Date!B:B,Dim_Date!A:A)</f>
        <v>20250503</v>
      </c>
      <c r="C938">
        <f>_xlfn.XLOOKUP(clean_sales!C938,Dim_Customer!B:B,Dim_Customer!A:A)</f>
        <v>615</v>
      </c>
      <c r="D938">
        <f>_xlfn.XLOOKUP(clean_sales!I938,Dim_Product!B:B,Dim_Product!A:A)</f>
        <v>6</v>
      </c>
      <c r="E938">
        <f>clean_sales!L938</f>
        <v>1</v>
      </c>
      <c r="F938">
        <f>clean_sales!T938</f>
        <v>72000</v>
      </c>
    </row>
    <row r="939" spans="1:6" x14ac:dyDescent="0.35">
      <c r="A939" t="str">
        <v>TXN100937</v>
      </c>
      <c r="B939">
        <f>_xlfn.XLOOKUP(clean_sales!P939,Dim_Date!B:B,Dim_Date!A:A)</f>
        <v>20250314</v>
      </c>
      <c r="C939">
        <f>_xlfn.XLOOKUP(clean_sales!C939,Dim_Customer!B:B,Dim_Customer!A:A)</f>
        <v>616</v>
      </c>
      <c r="D939">
        <f>_xlfn.XLOOKUP(clean_sales!I939,Dim_Product!B:B,Dim_Product!A:A)</f>
        <v>3</v>
      </c>
      <c r="E939">
        <f>clean_sales!L939</f>
        <v>4</v>
      </c>
      <c r="F939">
        <f>clean_sales!T939</f>
        <v>20000</v>
      </c>
    </row>
    <row r="940" spans="1:6" x14ac:dyDescent="0.35">
      <c r="A940" t="str">
        <v>TXN100938</v>
      </c>
      <c r="B940">
        <f>_xlfn.XLOOKUP(clean_sales!P940,Dim_Date!B:B,Dim_Date!A:A)</f>
        <v>20250502</v>
      </c>
      <c r="C940">
        <f>_xlfn.XLOOKUP(clean_sales!C940,Dim_Customer!B:B,Dim_Customer!A:A)</f>
        <v>412</v>
      </c>
      <c r="D940">
        <f>_xlfn.XLOOKUP(clean_sales!I940,Dim_Product!B:B,Dim_Product!A:A)</f>
        <v>4</v>
      </c>
      <c r="E940">
        <f>clean_sales!L940</f>
        <v>5</v>
      </c>
      <c r="F940">
        <f>clean_sales!T940</f>
        <v>22500</v>
      </c>
    </row>
    <row r="941" spans="1:6" x14ac:dyDescent="0.35">
      <c r="A941" t="str">
        <v>TXN100939</v>
      </c>
      <c r="B941">
        <f>_xlfn.XLOOKUP(clean_sales!P941,Dim_Date!B:B,Dim_Date!A:A)</f>
        <v>20250412</v>
      </c>
      <c r="C941">
        <f>_xlfn.XLOOKUP(clean_sales!C941,Dim_Customer!B:B,Dim_Customer!A:A)</f>
        <v>617</v>
      </c>
      <c r="D941">
        <f>_xlfn.XLOOKUP(clean_sales!I941,Dim_Product!B:B,Dim_Product!A:A)</f>
        <v>7</v>
      </c>
      <c r="E941">
        <f>clean_sales!L941</f>
        <v>2</v>
      </c>
      <c r="F941">
        <f>clean_sales!T941</f>
        <v>116000</v>
      </c>
    </row>
    <row r="942" spans="1:6" x14ac:dyDescent="0.35">
      <c r="A942" t="str">
        <v>TXN100940</v>
      </c>
      <c r="B942">
        <f>_xlfn.XLOOKUP(clean_sales!P942,Dim_Date!B:B,Dim_Date!A:A)</f>
        <v>20260103</v>
      </c>
      <c r="C942">
        <f>_xlfn.XLOOKUP(clean_sales!C942,Dim_Customer!B:B,Dim_Customer!A:A)</f>
        <v>401</v>
      </c>
      <c r="D942">
        <f>_xlfn.XLOOKUP(clean_sales!I942,Dim_Product!B:B,Dim_Product!A:A)</f>
        <v>5</v>
      </c>
      <c r="E942">
        <f>clean_sales!L942</f>
        <v>5</v>
      </c>
      <c r="F942">
        <f>clean_sales!T942</f>
        <v>9000</v>
      </c>
    </row>
    <row r="943" spans="1:6" x14ac:dyDescent="0.35">
      <c r="A943" t="str">
        <v>TXN100941</v>
      </c>
      <c r="B943">
        <f>_xlfn.XLOOKUP(clean_sales!P943,Dim_Date!B:B,Dim_Date!A:A)</f>
        <v>20250807</v>
      </c>
      <c r="C943">
        <f>_xlfn.XLOOKUP(clean_sales!C943,Dim_Customer!B:B,Dim_Customer!A:A)</f>
        <v>405</v>
      </c>
      <c r="D943">
        <f>_xlfn.XLOOKUP(clean_sales!I943,Dim_Product!B:B,Dim_Product!A:A)</f>
        <v>4</v>
      </c>
      <c r="E943">
        <f>clean_sales!L943</f>
        <v>5</v>
      </c>
      <c r="F943">
        <f>clean_sales!T943</f>
        <v>22500</v>
      </c>
    </row>
    <row r="944" spans="1:6" x14ac:dyDescent="0.35">
      <c r="A944" t="str">
        <v>TXN100942</v>
      </c>
      <c r="B944">
        <f>_xlfn.XLOOKUP(clean_sales!P944,Dim_Date!B:B,Dim_Date!A:A)</f>
        <v>20250918</v>
      </c>
      <c r="C944">
        <f>_xlfn.XLOOKUP(clean_sales!C944,Dim_Customer!B:B,Dim_Customer!A:A)</f>
        <v>618</v>
      </c>
      <c r="D944">
        <f>_xlfn.XLOOKUP(clean_sales!I944,Dim_Product!B:B,Dim_Product!A:A)</f>
        <v>3</v>
      </c>
      <c r="E944">
        <f>clean_sales!L944</f>
        <v>1</v>
      </c>
      <c r="F944">
        <f>clean_sales!T944</f>
        <v>5000</v>
      </c>
    </row>
    <row r="945" spans="1:6" x14ac:dyDescent="0.35">
      <c r="A945" t="str">
        <v>TXN100943</v>
      </c>
      <c r="B945">
        <f>_xlfn.XLOOKUP(clean_sales!P945,Dim_Date!B:B,Dim_Date!A:A)</f>
        <v>20250723</v>
      </c>
      <c r="C945">
        <f>_xlfn.XLOOKUP(clean_sales!C945,Dim_Customer!B:B,Dim_Customer!A:A)</f>
        <v>619</v>
      </c>
      <c r="D945">
        <f>_xlfn.XLOOKUP(clean_sales!I945,Dim_Product!B:B,Dim_Product!A:A)</f>
        <v>6</v>
      </c>
      <c r="E945">
        <f>clean_sales!L945</f>
        <v>5</v>
      </c>
      <c r="F945">
        <f>clean_sales!T945</f>
        <v>360000</v>
      </c>
    </row>
    <row r="946" spans="1:6" x14ac:dyDescent="0.35">
      <c r="A946" t="str">
        <v>TXN100944</v>
      </c>
      <c r="B946">
        <f>_xlfn.XLOOKUP(clean_sales!P946,Dim_Date!B:B,Dim_Date!A:A)</f>
        <v>20260102</v>
      </c>
      <c r="C946">
        <f>_xlfn.XLOOKUP(clean_sales!C946,Dim_Customer!B:B,Dim_Customer!A:A)</f>
        <v>620</v>
      </c>
      <c r="D946">
        <f>_xlfn.XLOOKUP(clean_sales!I946,Dim_Product!B:B,Dim_Product!A:A)</f>
        <v>7</v>
      </c>
      <c r="E946">
        <f>clean_sales!L946</f>
        <v>4</v>
      </c>
      <c r="F946">
        <f>clean_sales!T946</f>
        <v>232000</v>
      </c>
    </row>
    <row r="947" spans="1:6" x14ac:dyDescent="0.35">
      <c r="A947" t="str">
        <v>TXN100945</v>
      </c>
      <c r="B947">
        <f>_xlfn.XLOOKUP(clean_sales!P947,Dim_Date!B:B,Dim_Date!A:A)</f>
        <v>20250621</v>
      </c>
      <c r="C947">
        <f>_xlfn.XLOOKUP(clean_sales!C947,Dim_Customer!B:B,Dim_Customer!A:A)</f>
        <v>621</v>
      </c>
      <c r="D947">
        <f>_xlfn.XLOOKUP(clean_sales!I947,Dim_Product!B:B,Dim_Product!A:A)</f>
        <v>5</v>
      </c>
      <c r="E947">
        <f>clean_sales!L947</f>
        <v>5</v>
      </c>
      <c r="F947">
        <f>clean_sales!T947</f>
        <v>9000</v>
      </c>
    </row>
    <row r="948" spans="1:6" x14ac:dyDescent="0.35">
      <c r="A948" t="str">
        <v>TXN100946</v>
      </c>
      <c r="B948">
        <f>_xlfn.XLOOKUP(clean_sales!P948,Dim_Date!B:B,Dim_Date!A:A)</f>
        <v>20251101</v>
      </c>
      <c r="C948">
        <f>_xlfn.XLOOKUP(clean_sales!C948,Dim_Customer!B:B,Dim_Customer!A:A)</f>
        <v>622</v>
      </c>
      <c r="D948">
        <f>_xlfn.XLOOKUP(clean_sales!I948,Dim_Product!B:B,Dim_Product!A:A)</f>
        <v>1</v>
      </c>
      <c r="E948">
        <f>clean_sales!L948</f>
        <v>1</v>
      </c>
      <c r="F948">
        <f>clean_sales!T948</f>
        <v>12000</v>
      </c>
    </row>
    <row r="949" spans="1:6" x14ac:dyDescent="0.35">
      <c r="A949" t="str">
        <v>TXN100947</v>
      </c>
      <c r="B949">
        <f>_xlfn.XLOOKUP(clean_sales!P949,Dim_Date!B:B,Dim_Date!A:A)</f>
        <v>20250129</v>
      </c>
      <c r="C949">
        <f>_xlfn.XLOOKUP(clean_sales!C949,Dim_Customer!B:B,Dim_Customer!A:A)</f>
        <v>194</v>
      </c>
      <c r="D949">
        <f>_xlfn.XLOOKUP(clean_sales!I949,Dim_Product!B:B,Dim_Product!A:A)</f>
        <v>5</v>
      </c>
      <c r="E949">
        <f>clean_sales!L949</f>
        <v>5</v>
      </c>
      <c r="F949">
        <f>clean_sales!T949</f>
        <v>9000</v>
      </c>
    </row>
    <row r="950" spans="1:6" x14ac:dyDescent="0.35">
      <c r="A950" t="str">
        <v>TXN100948</v>
      </c>
      <c r="B950">
        <f>_xlfn.XLOOKUP(clean_sales!P950,Dim_Date!B:B,Dim_Date!A:A)</f>
        <v>20250705</v>
      </c>
      <c r="C950">
        <f>_xlfn.XLOOKUP(clean_sales!C950,Dim_Customer!B:B,Dim_Customer!A:A)</f>
        <v>620</v>
      </c>
      <c r="D950">
        <f>_xlfn.XLOOKUP(clean_sales!I950,Dim_Product!B:B,Dim_Product!A:A)</f>
        <v>1</v>
      </c>
      <c r="E950">
        <f>clean_sales!L950</f>
        <v>2</v>
      </c>
      <c r="F950">
        <f>clean_sales!T950</f>
        <v>24000</v>
      </c>
    </row>
    <row r="951" spans="1:6" x14ac:dyDescent="0.35">
      <c r="A951" t="str">
        <v>TXN100949</v>
      </c>
      <c r="B951">
        <f>_xlfn.XLOOKUP(clean_sales!P951,Dim_Date!B:B,Dim_Date!A:A)</f>
        <v>20250225</v>
      </c>
      <c r="C951">
        <f>_xlfn.XLOOKUP(clean_sales!C951,Dim_Customer!B:B,Dim_Customer!A:A)</f>
        <v>542</v>
      </c>
      <c r="D951">
        <f>_xlfn.XLOOKUP(clean_sales!I951,Dim_Product!B:B,Dim_Product!A:A)</f>
        <v>5</v>
      </c>
      <c r="E951">
        <f>clean_sales!L951</f>
        <v>3</v>
      </c>
      <c r="F951">
        <f>clean_sales!T951</f>
        <v>5400</v>
      </c>
    </row>
    <row r="952" spans="1:6" x14ac:dyDescent="0.35">
      <c r="A952" t="str">
        <v>TXN100950</v>
      </c>
      <c r="B952">
        <f>_xlfn.XLOOKUP(clean_sales!P952,Dim_Date!B:B,Dim_Date!A:A)</f>
        <v>20251128</v>
      </c>
      <c r="C952">
        <f>_xlfn.XLOOKUP(clean_sales!C952,Dim_Customer!B:B,Dim_Customer!A:A)</f>
        <v>623</v>
      </c>
      <c r="D952">
        <f>_xlfn.XLOOKUP(clean_sales!I952,Dim_Product!B:B,Dim_Product!A:A)</f>
        <v>7</v>
      </c>
      <c r="E952">
        <f>clean_sales!L952</f>
        <v>4</v>
      </c>
      <c r="F952">
        <f>clean_sales!T952</f>
        <v>232000</v>
      </c>
    </row>
    <row r="953" spans="1:6" x14ac:dyDescent="0.35">
      <c r="A953" t="str">
        <v>TXN100951</v>
      </c>
      <c r="B953">
        <f>_xlfn.XLOOKUP(clean_sales!P953,Dim_Date!B:B,Dim_Date!A:A)</f>
        <v>20250814</v>
      </c>
      <c r="C953">
        <f>_xlfn.XLOOKUP(clean_sales!C953,Dim_Customer!B:B,Dim_Customer!A:A)</f>
        <v>132</v>
      </c>
      <c r="D953">
        <f>_xlfn.XLOOKUP(clean_sales!I953,Dim_Product!B:B,Dim_Product!A:A)</f>
        <v>4</v>
      </c>
      <c r="E953">
        <f>clean_sales!L953</f>
        <v>4</v>
      </c>
      <c r="F953">
        <f>clean_sales!T953</f>
        <v>18000</v>
      </c>
    </row>
    <row r="954" spans="1:6" x14ac:dyDescent="0.35">
      <c r="A954" t="str">
        <v>TXN100952</v>
      </c>
      <c r="B954">
        <f>_xlfn.XLOOKUP(clean_sales!P954,Dim_Date!B:B,Dim_Date!A:A)</f>
        <v>20250819</v>
      </c>
      <c r="C954">
        <f>_xlfn.XLOOKUP(clean_sales!C954,Dim_Customer!B:B,Dim_Customer!A:A)</f>
        <v>442</v>
      </c>
      <c r="D954">
        <f>_xlfn.XLOOKUP(clean_sales!I954,Dim_Product!B:B,Dim_Product!A:A)</f>
        <v>5</v>
      </c>
      <c r="E954">
        <f>clean_sales!L954</f>
        <v>3</v>
      </c>
      <c r="F954">
        <f>clean_sales!T954</f>
        <v>5400</v>
      </c>
    </row>
    <row r="955" spans="1:6" x14ac:dyDescent="0.35">
      <c r="A955" t="str">
        <v>TXN100953</v>
      </c>
      <c r="B955">
        <f>_xlfn.XLOOKUP(clean_sales!P955,Dim_Date!B:B,Dim_Date!A:A)</f>
        <v>20250612</v>
      </c>
      <c r="C955">
        <f>_xlfn.XLOOKUP(clean_sales!C955,Dim_Customer!B:B,Dim_Customer!A:A)</f>
        <v>624</v>
      </c>
      <c r="D955">
        <f>_xlfn.XLOOKUP(clean_sales!I955,Dim_Product!B:B,Dim_Product!A:A)</f>
        <v>5</v>
      </c>
      <c r="E955">
        <f>clean_sales!L955</f>
        <v>2</v>
      </c>
      <c r="F955">
        <f>clean_sales!T955</f>
        <v>3600</v>
      </c>
    </row>
    <row r="956" spans="1:6" x14ac:dyDescent="0.35">
      <c r="A956" t="str">
        <v>TXN100954</v>
      </c>
      <c r="B956">
        <f>_xlfn.XLOOKUP(clean_sales!P956,Dim_Date!B:B,Dim_Date!A:A)</f>
        <v>20250519</v>
      </c>
      <c r="C956">
        <f>_xlfn.XLOOKUP(clean_sales!C956,Dim_Customer!B:B,Dim_Customer!A:A)</f>
        <v>407</v>
      </c>
      <c r="D956">
        <f>_xlfn.XLOOKUP(clean_sales!I956,Dim_Product!B:B,Dim_Product!A:A)</f>
        <v>4</v>
      </c>
      <c r="E956">
        <f>clean_sales!L956</f>
        <v>2</v>
      </c>
      <c r="F956">
        <f>clean_sales!T956</f>
        <v>9000</v>
      </c>
    </row>
    <row r="957" spans="1:6" x14ac:dyDescent="0.35">
      <c r="A957" t="str">
        <v>TXN100955</v>
      </c>
      <c r="B957">
        <f>_xlfn.XLOOKUP(clean_sales!P957,Dim_Date!B:B,Dim_Date!A:A)</f>
        <v>20250819</v>
      </c>
      <c r="C957">
        <f>_xlfn.XLOOKUP(clean_sales!C957,Dim_Customer!B:B,Dim_Customer!A:A)</f>
        <v>625</v>
      </c>
      <c r="D957">
        <f>_xlfn.XLOOKUP(clean_sales!I957,Dim_Product!B:B,Dim_Product!A:A)</f>
        <v>4</v>
      </c>
      <c r="E957">
        <f>clean_sales!L957</f>
        <v>3</v>
      </c>
      <c r="F957">
        <f>clean_sales!T957</f>
        <v>13500</v>
      </c>
    </row>
    <row r="958" spans="1:6" x14ac:dyDescent="0.35">
      <c r="A958" t="str">
        <v>TXN100956</v>
      </c>
      <c r="B958">
        <f>_xlfn.XLOOKUP(clean_sales!P958,Dim_Date!B:B,Dim_Date!A:A)</f>
        <v>20250425</v>
      </c>
      <c r="C958">
        <f>_xlfn.XLOOKUP(clean_sales!C958,Dim_Customer!B:B,Dim_Customer!A:A)</f>
        <v>84</v>
      </c>
      <c r="D958">
        <f>_xlfn.XLOOKUP(clean_sales!I958,Dim_Product!B:B,Dim_Product!A:A)</f>
        <v>7</v>
      </c>
      <c r="E958">
        <f>clean_sales!L958</f>
        <v>1</v>
      </c>
      <c r="F958">
        <f>clean_sales!T958</f>
        <v>58000</v>
      </c>
    </row>
    <row r="959" spans="1:6" x14ac:dyDescent="0.35">
      <c r="A959" t="str">
        <v>TXN100957</v>
      </c>
      <c r="B959">
        <f>_xlfn.XLOOKUP(clean_sales!P959,Dim_Date!B:B,Dim_Date!A:A)</f>
        <v>20250219</v>
      </c>
      <c r="C959">
        <f>_xlfn.XLOOKUP(clean_sales!C959,Dim_Customer!B:B,Dim_Customer!A:A)</f>
        <v>626</v>
      </c>
      <c r="D959">
        <f>_xlfn.XLOOKUP(clean_sales!I959,Dim_Product!B:B,Dim_Product!A:A)</f>
        <v>7</v>
      </c>
      <c r="E959">
        <f>clean_sales!L959</f>
        <v>2</v>
      </c>
      <c r="F959">
        <f>clean_sales!T959</f>
        <v>116000</v>
      </c>
    </row>
    <row r="960" spans="1:6" x14ac:dyDescent="0.35">
      <c r="A960" t="str">
        <v>TXN100958</v>
      </c>
      <c r="B960">
        <f>_xlfn.XLOOKUP(clean_sales!P960,Dim_Date!B:B,Dim_Date!A:A)</f>
        <v>20250322</v>
      </c>
      <c r="C960">
        <f>_xlfn.XLOOKUP(clean_sales!C960,Dim_Customer!B:B,Dim_Customer!A:A)</f>
        <v>125</v>
      </c>
      <c r="D960">
        <f>_xlfn.XLOOKUP(clean_sales!I960,Dim_Product!B:B,Dim_Product!A:A)</f>
        <v>6</v>
      </c>
      <c r="E960">
        <f>clean_sales!L960</f>
        <v>1</v>
      </c>
      <c r="F960">
        <f>clean_sales!T960</f>
        <v>72000</v>
      </c>
    </row>
    <row r="961" spans="1:6" x14ac:dyDescent="0.35">
      <c r="A961" t="str">
        <v>TXN100959</v>
      </c>
      <c r="B961">
        <f>_xlfn.XLOOKUP(clean_sales!P961,Dim_Date!B:B,Dim_Date!A:A)</f>
        <v>20251219</v>
      </c>
      <c r="C961">
        <f>_xlfn.XLOOKUP(clean_sales!C961,Dim_Customer!B:B,Dim_Customer!A:A)</f>
        <v>283</v>
      </c>
      <c r="D961">
        <f>_xlfn.XLOOKUP(clean_sales!I961,Dim_Product!B:B,Dim_Product!A:A)</f>
        <v>4</v>
      </c>
      <c r="E961">
        <f>clean_sales!L961</f>
        <v>4</v>
      </c>
      <c r="F961">
        <f>clean_sales!T961</f>
        <v>18000</v>
      </c>
    </row>
    <row r="962" spans="1:6" x14ac:dyDescent="0.35">
      <c r="A962" t="str">
        <v>TXN100960</v>
      </c>
      <c r="B962">
        <f>_xlfn.XLOOKUP(clean_sales!P962,Dim_Date!B:B,Dim_Date!A:A)</f>
        <v>20250417</v>
      </c>
      <c r="C962">
        <f>_xlfn.XLOOKUP(clean_sales!C962,Dim_Customer!B:B,Dim_Customer!A:A)</f>
        <v>559</v>
      </c>
      <c r="D962">
        <f>_xlfn.XLOOKUP(clean_sales!I962,Dim_Product!B:B,Dim_Product!A:A)</f>
        <v>7</v>
      </c>
      <c r="E962">
        <f>clean_sales!L962</f>
        <v>5</v>
      </c>
      <c r="F962">
        <f>clean_sales!T962</f>
        <v>290000</v>
      </c>
    </row>
    <row r="963" spans="1:6" x14ac:dyDescent="0.35">
      <c r="A963" t="str">
        <v>TXN100961</v>
      </c>
      <c r="B963">
        <f>_xlfn.XLOOKUP(clean_sales!P963,Dim_Date!B:B,Dim_Date!A:A)</f>
        <v>20250914</v>
      </c>
      <c r="C963">
        <f>_xlfn.XLOOKUP(clean_sales!C963,Dim_Customer!B:B,Dim_Customer!A:A)</f>
        <v>627</v>
      </c>
      <c r="D963">
        <f>_xlfn.XLOOKUP(clean_sales!I963,Dim_Product!B:B,Dim_Product!A:A)</f>
        <v>2</v>
      </c>
      <c r="E963">
        <f>clean_sales!L963</f>
        <v>4</v>
      </c>
      <c r="F963">
        <f>clean_sales!T963</f>
        <v>260000</v>
      </c>
    </row>
    <row r="964" spans="1:6" x14ac:dyDescent="0.35">
      <c r="A964" t="str">
        <v>TXN100962</v>
      </c>
      <c r="B964">
        <f>_xlfn.XLOOKUP(clean_sales!P964,Dim_Date!B:B,Dim_Date!A:A)</f>
        <v>20250506</v>
      </c>
      <c r="C964">
        <f>_xlfn.XLOOKUP(clean_sales!C964,Dim_Customer!B:B,Dim_Customer!A:A)</f>
        <v>84</v>
      </c>
      <c r="D964">
        <f>_xlfn.XLOOKUP(clean_sales!I964,Dim_Product!B:B,Dim_Product!A:A)</f>
        <v>5</v>
      </c>
      <c r="E964">
        <f>clean_sales!L964</f>
        <v>2</v>
      </c>
      <c r="F964">
        <f>clean_sales!T964</f>
        <v>3600</v>
      </c>
    </row>
    <row r="965" spans="1:6" x14ac:dyDescent="0.35">
      <c r="A965" t="str">
        <v>TXN100963</v>
      </c>
      <c r="B965">
        <f>_xlfn.XLOOKUP(clean_sales!P965,Dim_Date!B:B,Dim_Date!A:A)</f>
        <v>20250219</v>
      </c>
      <c r="C965">
        <f>_xlfn.XLOOKUP(clean_sales!C965,Dim_Customer!B:B,Dim_Customer!A:A)</f>
        <v>255</v>
      </c>
      <c r="D965">
        <f>_xlfn.XLOOKUP(clean_sales!I965,Dim_Product!B:B,Dim_Product!A:A)</f>
        <v>3</v>
      </c>
      <c r="E965">
        <f>clean_sales!L965</f>
        <v>5</v>
      </c>
      <c r="F965">
        <f>clean_sales!T965</f>
        <v>25000</v>
      </c>
    </row>
    <row r="966" spans="1:6" x14ac:dyDescent="0.35">
      <c r="A966" t="str">
        <v>TXN100964</v>
      </c>
      <c r="B966">
        <f>_xlfn.XLOOKUP(clean_sales!P966,Dim_Date!B:B,Dim_Date!A:A)</f>
        <v>20251104</v>
      </c>
      <c r="C966">
        <f>_xlfn.XLOOKUP(clean_sales!C966,Dim_Customer!B:B,Dim_Customer!A:A)</f>
        <v>564</v>
      </c>
      <c r="D966">
        <f>_xlfn.XLOOKUP(clean_sales!I966,Dim_Product!B:B,Dim_Product!A:A)</f>
        <v>2</v>
      </c>
      <c r="E966">
        <f>clean_sales!L966</f>
        <v>1</v>
      </c>
      <c r="F966">
        <f>clean_sales!T966</f>
        <v>65000</v>
      </c>
    </row>
    <row r="967" spans="1:6" x14ac:dyDescent="0.35">
      <c r="A967" t="str">
        <v>TXN100965</v>
      </c>
      <c r="B967">
        <f>_xlfn.XLOOKUP(clean_sales!P967,Dim_Date!B:B,Dim_Date!A:A)</f>
        <v>20250504</v>
      </c>
      <c r="C967">
        <f>_xlfn.XLOOKUP(clean_sales!C967,Dim_Customer!B:B,Dim_Customer!A:A)</f>
        <v>628</v>
      </c>
      <c r="D967">
        <f>_xlfn.XLOOKUP(clean_sales!I967,Dim_Product!B:B,Dim_Product!A:A)</f>
        <v>1</v>
      </c>
      <c r="E967">
        <f>clean_sales!L967</f>
        <v>4</v>
      </c>
      <c r="F967">
        <f>clean_sales!T967</f>
        <v>48000</v>
      </c>
    </row>
    <row r="968" spans="1:6" x14ac:dyDescent="0.35">
      <c r="A968" t="str">
        <v>TXN100966</v>
      </c>
      <c r="B968">
        <f>_xlfn.XLOOKUP(clean_sales!P968,Dim_Date!B:B,Dim_Date!A:A)</f>
        <v>20251217</v>
      </c>
      <c r="C968">
        <f>_xlfn.XLOOKUP(clean_sales!C968,Dim_Customer!B:B,Dim_Customer!A:A)</f>
        <v>629</v>
      </c>
      <c r="D968">
        <f>_xlfn.XLOOKUP(clean_sales!I968,Dim_Product!B:B,Dim_Product!A:A)</f>
        <v>2</v>
      </c>
      <c r="E968">
        <f>clean_sales!L968</f>
        <v>5</v>
      </c>
      <c r="F968">
        <f>clean_sales!T968</f>
        <v>325000</v>
      </c>
    </row>
    <row r="969" spans="1:6" x14ac:dyDescent="0.35">
      <c r="A969" t="str">
        <v>TXN100967</v>
      </c>
      <c r="B969">
        <f>_xlfn.XLOOKUP(clean_sales!P969,Dim_Date!B:B,Dim_Date!A:A)</f>
        <v>20251127</v>
      </c>
      <c r="C969">
        <f>_xlfn.XLOOKUP(clean_sales!C969,Dim_Customer!B:B,Dim_Customer!A:A)</f>
        <v>147</v>
      </c>
      <c r="D969">
        <f>_xlfn.XLOOKUP(clean_sales!I969,Dim_Product!B:B,Dim_Product!A:A)</f>
        <v>4</v>
      </c>
      <c r="E969">
        <f>clean_sales!L969</f>
        <v>4</v>
      </c>
      <c r="F969">
        <f>clean_sales!T969</f>
        <v>18000</v>
      </c>
    </row>
    <row r="970" spans="1:6" x14ac:dyDescent="0.35">
      <c r="A970" t="str">
        <v>TXN100968</v>
      </c>
      <c r="B970">
        <f>_xlfn.XLOOKUP(clean_sales!P970,Dim_Date!B:B,Dim_Date!A:A)</f>
        <v>20250619</v>
      </c>
      <c r="C970">
        <f>_xlfn.XLOOKUP(clean_sales!C970,Dim_Customer!B:B,Dim_Customer!A:A)</f>
        <v>56</v>
      </c>
      <c r="D970">
        <f>_xlfn.XLOOKUP(clean_sales!I970,Dim_Product!B:B,Dim_Product!A:A)</f>
        <v>4</v>
      </c>
      <c r="E970">
        <f>clean_sales!L970</f>
        <v>2</v>
      </c>
      <c r="F970">
        <f>clean_sales!T970</f>
        <v>9000</v>
      </c>
    </row>
    <row r="971" spans="1:6" x14ac:dyDescent="0.35">
      <c r="A971" t="str">
        <v>TXN100969</v>
      </c>
      <c r="B971">
        <f>_xlfn.XLOOKUP(clean_sales!P971,Dim_Date!B:B,Dim_Date!A:A)</f>
        <v>20250227</v>
      </c>
      <c r="C971">
        <f>_xlfn.XLOOKUP(clean_sales!C971,Dim_Customer!B:B,Dim_Customer!A:A)</f>
        <v>630</v>
      </c>
      <c r="D971">
        <f>_xlfn.XLOOKUP(clean_sales!I971,Dim_Product!B:B,Dim_Product!A:A)</f>
        <v>3</v>
      </c>
      <c r="E971">
        <f>clean_sales!L971</f>
        <v>1</v>
      </c>
      <c r="F971">
        <f>clean_sales!T971</f>
        <v>5000</v>
      </c>
    </row>
    <row r="972" spans="1:6" x14ac:dyDescent="0.35">
      <c r="A972" t="str">
        <v>TXN100970</v>
      </c>
      <c r="B972">
        <f>_xlfn.XLOOKUP(clean_sales!P972,Dim_Date!B:B,Dim_Date!A:A)</f>
        <v>20250328</v>
      </c>
      <c r="C972">
        <f>_xlfn.XLOOKUP(clean_sales!C972,Dim_Customer!B:B,Dim_Customer!A:A)</f>
        <v>20</v>
      </c>
      <c r="D972">
        <f>_xlfn.XLOOKUP(clean_sales!I972,Dim_Product!B:B,Dim_Product!A:A)</f>
        <v>5</v>
      </c>
      <c r="E972">
        <f>clean_sales!L972</f>
        <v>2</v>
      </c>
      <c r="F972">
        <f>clean_sales!T972</f>
        <v>3600</v>
      </c>
    </row>
    <row r="973" spans="1:6" x14ac:dyDescent="0.35">
      <c r="A973" t="str">
        <v>TXN100971</v>
      </c>
      <c r="B973">
        <f>_xlfn.XLOOKUP(clean_sales!P973,Dim_Date!B:B,Dim_Date!A:A)</f>
        <v>20250703</v>
      </c>
      <c r="C973">
        <f>_xlfn.XLOOKUP(clean_sales!C973,Dim_Customer!B:B,Dim_Customer!A:A)</f>
        <v>631</v>
      </c>
      <c r="D973">
        <f>_xlfn.XLOOKUP(clean_sales!I973,Dim_Product!B:B,Dim_Product!A:A)</f>
        <v>7</v>
      </c>
      <c r="E973">
        <f>clean_sales!L973</f>
        <v>1</v>
      </c>
      <c r="F973">
        <f>clean_sales!T973</f>
        <v>58000</v>
      </c>
    </row>
    <row r="974" spans="1:6" x14ac:dyDescent="0.35">
      <c r="A974" t="str">
        <v>TXN100972</v>
      </c>
      <c r="B974">
        <f>_xlfn.XLOOKUP(clean_sales!P974,Dim_Date!B:B,Dim_Date!A:A)</f>
        <v>20251119</v>
      </c>
      <c r="C974">
        <f>_xlfn.XLOOKUP(clean_sales!C974,Dim_Customer!B:B,Dim_Customer!A:A)</f>
        <v>564</v>
      </c>
      <c r="D974">
        <f>_xlfn.XLOOKUP(clean_sales!I974,Dim_Product!B:B,Dim_Product!A:A)</f>
        <v>7</v>
      </c>
      <c r="E974">
        <f>clean_sales!L974</f>
        <v>4</v>
      </c>
      <c r="F974">
        <f>clean_sales!T974</f>
        <v>232000</v>
      </c>
    </row>
    <row r="975" spans="1:6" x14ac:dyDescent="0.35">
      <c r="A975" t="str">
        <v>TXN100973</v>
      </c>
      <c r="B975">
        <f>_xlfn.XLOOKUP(clean_sales!P975,Dim_Date!B:B,Dim_Date!A:A)</f>
        <v>20250127</v>
      </c>
      <c r="C975">
        <f>_xlfn.XLOOKUP(clean_sales!C975,Dim_Customer!B:B,Dim_Customer!A:A)</f>
        <v>632</v>
      </c>
      <c r="D975">
        <f>_xlfn.XLOOKUP(clean_sales!I975,Dim_Product!B:B,Dim_Product!A:A)</f>
        <v>1</v>
      </c>
      <c r="E975">
        <f>clean_sales!L975</f>
        <v>5</v>
      </c>
      <c r="F975">
        <f>clean_sales!T975</f>
        <v>60000</v>
      </c>
    </row>
    <row r="976" spans="1:6" x14ac:dyDescent="0.35">
      <c r="A976" t="str">
        <v>TXN100974</v>
      </c>
      <c r="B976">
        <f>_xlfn.XLOOKUP(clean_sales!P976,Dim_Date!B:B,Dim_Date!A:A)</f>
        <v>20250516</v>
      </c>
      <c r="C976">
        <f>_xlfn.XLOOKUP(clean_sales!C976,Dim_Customer!B:B,Dim_Customer!A:A)</f>
        <v>633</v>
      </c>
      <c r="D976">
        <f>_xlfn.XLOOKUP(clean_sales!I976,Dim_Product!B:B,Dim_Product!A:A)</f>
        <v>3</v>
      </c>
      <c r="E976">
        <f>clean_sales!L976</f>
        <v>3</v>
      </c>
      <c r="F976">
        <f>clean_sales!T976</f>
        <v>15000</v>
      </c>
    </row>
    <row r="977" spans="1:6" x14ac:dyDescent="0.35">
      <c r="A977" t="str">
        <v>TXN100975</v>
      </c>
      <c r="B977">
        <f>_xlfn.XLOOKUP(clean_sales!P977,Dim_Date!B:B,Dim_Date!A:A)</f>
        <v>20250224</v>
      </c>
      <c r="C977">
        <f>_xlfn.XLOOKUP(clean_sales!C977,Dim_Customer!B:B,Dim_Customer!A:A)</f>
        <v>241</v>
      </c>
      <c r="D977">
        <f>_xlfn.XLOOKUP(clean_sales!I977,Dim_Product!B:B,Dim_Product!A:A)</f>
        <v>2</v>
      </c>
      <c r="E977">
        <f>clean_sales!L977</f>
        <v>4</v>
      </c>
      <c r="F977">
        <f>clean_sales!T977</f>
        <v>260000</v>
      </c>
    </row>
    <row r="978" spans="1:6" x14ac:dyDescent="0.35">
      <c r="A978" t="str">
        <v>TXN100976</v>
      </c>
      <c r="B978">
        <f>_xlfn.XLOOKUP(clean_sales!P978,Dim_Date!B:B,Dim_Date!A:A)</f>
        <v>20251005</v>
      </c>
      <c r="C978">
        <f>_xlfn.XLOOKUP(clean_sales!C978,Dim_Customer!B:B,Dim_Customer!A:A)</f>
        <v>428</v>
      </c>
      <c r="D978">
        <f>_xlfn.XLOOKUP(clean_sales!I978,Dim_Product!B:B,Dim_Product!A:A)</f>
        <v>7</v>
      </c>
      <c r="E978">
        <f>clean_sales!L978</f>
        <v>5</v>
      </c>
      <c r="F978">
        <f>clean_sales!T978</f>
        <v>290000</v>
      </c>
    </row>
    <row r="979" spans="1:6" x14ac:dyDescent="0.35">
      <c r="A979" t="str">
        <v>TXN100977</v>
      </c>
      <c r="B979">
        <f>_xlfn.XLOOKUP(clean_sales!P979,Dim_Date!B:B,Dim_Date!A:A)</f>
        <v>20250705</v>
      </c>
      <c r="C979">
        <f>_xlfn.XLOOKUP(clean_sales!C979,Dim_Customer!B:B,Dim_Customer!A:A)</f>
        <v>183</v>
      </c>
      <c r="D979">
        <f>_xlfn.XLOOKUP(clean_sales!I979,Dim_Product!B:B,Dim_Product!A:A)</f>
        <v>6</v>
      </c>
      <c r="E979">
        <f>clean_sales!L979</f>
        <v>1</v>
      </c>
      <c r="F979">
        <f>clean_sales!T979</f>
        <v>72000</v>
      </c>
    </row>
    <row r="980" spans="1:6" x14ac:dyDescent="0.35">
      <c r="A980" t="str">
        <v>TXN100978</v>
      </c>
      <c r="B980">
        <f>_xlfn.XLOOKUP(clean_sales!P980,Dim_Date!B:B,Dim_Date!A:A)</f>
        <v>20251012</v>
      </c>
      <c r="C980">
        <f>_xlfn.XLOOKUP(clean_sales!C980,Dim_Customer!B:B,Dim_Customer!A:A)</f>
        <v>442</v>
      </c>
      <c r="D980">
        <f>_xlfn.XLOOKUP(clean_sales!I980,Dim_Product!B:B,Dim_Product!A:A)</f>
        <v>7</v>
      </c>
      <c r="E980">
        <f>clean_sales!L980</f>
        <v>4</v>
      </c>
      <c r="F980">
        <f>clean_sales!T980</f>
        <v>232000</v>
      </c>
    </row>
    <row r="981" spans="1:6" x14ac:dyDescent="0.35">
      <c r="A981" t="str">
        <v>TXN100979</v>
      </c>
      <c r="B981">
        <f>_xlfn.XLOOKUP(clean_sales!P981,Dim_Date!B:B,Dim_Date!A:A)</f>
        <v>20251210</v>
      </c>
      <c r="C981">
        <f>_xlfn.XLOOKUP(clean_sales!C981,Dim_Customer!B:B,Dim_Customer!A:A)</f>
        <v>634</v>
      </c>
      <c r="D981">
        <f>_xlfn.XLOOKUP(clean_sales!I981,Dim_Product!B:B,Dim_Product!A:A)</f>
        <v>1</v>
      </c>
      <c r="E981">
        <f>clean_sales!L981</f>
        <v>1</v>
      </c>
      <c r="F981">
        <f>clean_sales!T981</f>
        <v>12000</v>
      </c>
    </row>
    <row r="982" spans="1:6" x14ac:dyDescent="0.35">
      <c r="A982" t="str">
        <v>TXN100980</v>
      </c>
      <c r="B982">
        <f>_xlfn.XLOOKUP(clean_sales!P982,Dim_Date!B:B,Dim_Date!A:A)</f>
        <v>20250331</v>
      </c>
      <c r="C982">
        <f>_xlfn.XLOOKUP(clean_sales!C982,Dim_Customer!B:B,Dim_Customer!A:A)</f>
        <v>635</v>
      </c>
      <c r="D982">
        <f>_xlfn.XLOOKUP(clean_sales!I982,Dim_Product!B:B,Dim_Product!A:A)</f>
        <v>5</v>
      </c>
      <c r="E982">
        <f>clean_sales!L982</f>
        <v>2</v>
      </c>
      <c r="F982">
        <f>clean_sales!T982</f>
        <v>3600</v>
      </c>
    </row>
    <row r="983" spans="1:6" x14ac:dyDescent="0.35">
      <c r="A983" t="str">
        <v>TXN100981</v>
      </c>
      <c r="B983">
        <f>_xlfn.XLOOKUP(clean_sales!P983,Dim_Date!B:B,Dim_Date!A:A)</f>
        <v>20250923</v>
      </c>
      <c r="C983">
        <f>_xlfn.XLOOKUP(clean_sales!C983,Dim_Customer!B:B,Dim_Customer!A:A)</f>
        <v>636</v>
      </c>
      <c r="D983">
        <f>_xlfn.XLOOKUP(clean_sales!I983,Dim_Product!B:B,Dim_Product!A:A)</f>
        <v>7</v>
      </c>
      <c r="E983">
        <f>clean_sales!L983</f>
        <v>1</v>
      </c>
      <c r="F983">
        <f>clean_sales!T983</f>
        <v>58000</v>
      </c>
    </row>
    <row r="984" spans="1:6" x14ac:dyDescent="0.35">
      <c r="A984" t="str">
        <v>TXN100982</v>
      </c>
      <c r="B984">
        <f>_xlfn.XLOOKUP(clean_sales!P984,Dim_Date!B:B,Dim_Date!A:A)</f>
        <v>20250620</v>
      </c>
      <c r="C984">
        <f>_xlfn.XLOOKUP(clean_sales!C984,Dim_Customer!B:B,Dim_Customer!A:A)</f>
        <v>637</v>
      </c>
      <c r="D984">
        <f>_xlfn.XLOOKUP(clean_sales!I984,Dim_Product!B:B,Dim_Product!A:A)</f>
        <v>3</v>
      </c>
      <c r="E984">
        <f>clean_sales!L984</f>
        <v>3</v>
      </c>
      <c r="F984">
        <f>clean_sales!T984</f>
        <v>15000</v>
      </c>
    </row>
    <row r="985" spans="1:6" x14ac:dyDescent="0.35">
      <c r="A985" t="str">
        <v>TXN100983</v>
      </c>
      <c r="B985">
        <f>_xlfn.XLOOKUP(clean_sales!P985,Dim_Date!B:B,Dim_Date!A:A)</f>
        <v>20250206</v>
      </c>
      <c r="C985">
        <f>_xlfn.XLOOKUP(clean_sales!C985,Dim_Customer!B:B,Dim_Customer!A:A)</f>
        <v>441</v>
      </c>
      <c r="D985">
        <f>_xlfn.XLOOKUP(clean_sales!I985,Dim_Product!B:B,Dim_Product!A:A)</f>
        <v>1</v>
      </c>
      <c r="E985">
        <f>clean_sales!L985</f>
        <v>3</v>
      </c>
      <c r="F985">
        <f>clean_sales!T985</f>
        <v>36000</v>
      </c>
    </row>
    <row r="986" spans="1:6" x14ac:dyDescent="0.35">
      <c r="A986" t="str">
        <v>TXN100984</v>
      </c>
      <c r="B986">
        <f>_xlfn.XLOOKUP(clean_sales!P986,Dim_Date!B:B,Dim_Date!A:A)</f>
        <v>20251103</v>
      </c>
      <c r="C986">
        <f>_xlfn.XLOOKUP(clean_sales!C986,Dim_Customer!B:B,Dim_Customer!A:A)</f>
        <v>527</v>
      </c>
      <c r="D986">
        <f>_xlfn.XLOOKUP(clean_sales!I986,Dim_Product!B:B,Dim_Product!A:A)</f>
        <v>3</v>
      </c>
      <c r="E986">
        <f>clean_sales!L986</f>
        <v>1</v>
      </c>
      <c r="F986">
        <f>clean_sales!T986</f>
        <v>5000</v>
      </c>
    </row>
    <row r="987" spans="1:6" x14ac:dyDescent="0.35">
      <c r="A987" t="str">
        <v>TXN100985</v>
      </c>
      <c r="B987">
        <f>_xlfn.XLOOKUP(clean_sales!P987,Dim_Date!B:B,Dim_Date!A:A)</f>
        <v>20251021</v>
      </c>
      <c r="C987">
        <f>_xlfn.XLOOKUP(clean_sales!C987,Dim_Customer!B:B,Dim_Customer!A:A)</f>
        <v>638</v>
      </c>
      <c r="D987">
        <f>_xlfn.XLOOKUP(clean_sales!I987,Dim_Product!B:B,Dim_Product!A:A)</f>
        <v>3</v>
      </c>
      <c r="E987">
        <f>clean_sales!L987</f>
        <v>1</v>
      </c>
      <c r="F987">
        <f>clean_sales!T987</f>
        <v>5000</v>
      </c>
    </row>
    <row r="988" spans="1:6" x14ac:dyDescent="0.35">
      <c r="A988" t="str">
        <v>TXN100986</v>
      </c>
      <c r="B988">
        <f>_xlfn.XLOOKUP(clean_sales!P988,Dim_Date!B:B,Dim_Date!A:A)</f>
        <v>20250322</v>
      </c>
      <c r="C988">
        <f>_xlfn.XLOOKUP(clean_sales!C988,Dim_Customer!B:B,Dim_Customer!A:A)</f>
        <v>631</v>
      </c>
      <c r="D988">
        <f>_xlfn.XLOOKUP(clean_sales!I988,Dim_Product!B:B,Dim_Product!A:A)</f>
        <v>1</v>
      </c>
      <c r="E988">
        <f>clean_sales!L988</f>
        <v>5</v>
      </c>
      <c r="F988">
        <f>clean_sales!T988</f>
        <v>60000</v>
      </c>
    </row>
    <row r="989" spans="1:6" x14ac:dyDescent="0.35">
      <c r="A989" t="str">
        <v>TXN100987</v>
      </c>
      <c r="B989">
        <f>_xlfn.XLOOKUP(clean_sales!P989,Dim_Date!B:B,Dim_Date!A:A)</f>
        <v>20250504</v>
      </c>
      <c r="C989">
        <f>_xlfn.XLOOKUP(clean_sales!C989,Dim_Customer!B:B,Dim_Customer!A:A)</f>
        <v>70</v>
      </c>
      <c r="D989">
        <f>_xlfn.XLOOKUP(clean_sales!I989,Dim_Product!B:B,Dim_Product!A:A)</f>
        <v>5</v>
      </c>
      <c r="E989">
        <f>clean_sales!L989</f>
        <v>4</v>
      </c>
      <c r="F989">
        <f>clean_sales!T989</f>
        <v>7200</v>
      </c>
    </row>
    <row r="990" spans="1:6" x14ac:dyDescent="0.35">
      <c r="A990" t="str">
        <v>TXN100988</v>
      </c>
      <c r="B990">
        <f>_xlfn.XLOOKUP(clean_sales!P990,Dim_Date!B:B,Dim_Date!A:A)</f>
        <v>20250509</v>
      </c>
      <c r="C990">
        <f>_xlfn.XLOOKUP(clean_sales!C990,Dim_Customer!B:B,Dim_Customer!A:A)</f>
        <v>205</v>
      </c>
      <c r="D990">
        <f>_xlfn.XLOOKUP(clean_sales!I990,Dim_Product!B:B,Dim_Product!A:A)</f>
        <v>1</v>
      </c>
      <c r="E990">
        <f>clean_sales!L990</f>
        <v>3</v>
      </c>
      <c r="F990">
        <f>clean_sales!T990</f>
        <v>36000</v>
      </c>
    </row>
    <row r="991" spans="1:6" x14ac:dyDescent="0.35">
      <c r="A991" t="str">
        <v>TXN100989</v>
      </c>
      <c r="B991">
        <f>_xlfn.XLOOKUP(clean_sales!P991,Dim_Date!B:B,Dim_Date!A:A)</f>
        <v>20250725</v>
      </c>
      <c r="C991">
        <f>_xlfn.XLOOKUP(clean_sales!C991,Dim_Customer!B:B,Dim_Customer!A:A)</f>
        <v>639</v>
      </c>
      <c r="D991">
        <f>_xlfn.XLOOKUP(clean_sales!I991,Dim_Product!B:B,Dim_Product!A:A)</f>
        <v>7</v>
      </c>
      <c r="E991">
        <f>clean_sales!L991</f>
        <v>2</v>
      </c>
      <c r="F991">
        <f>clean_sales!T991</f>
        <v>116000</v>
      </c>
    </row>
    <row r="992" spans="1:6" x14ac:dyDescent="0.35">
      <c r="A992" t="str">
        <v>TXN100990</v>
      </c>
      <c r="B992">
        <f>_xlfn.XLOOKUP(clean_sales!P992,Dim_Date!B:B,Dim_Date!A:A)</f>
        <v>20250609</v>
      </c>
      <c r="C992">
        <f>_xlfn.XLOOKUP(clean_sales!C992,Dim_Customer!B:B,Dim_Customer!A:A)</f>
        <v>640</v>
      </c>
      <c r="D992">
        <f>_xlfn.XLOOKUP(clean_sales!I992,Dim_Product!B:B,Dim_Product!A:A)</f>
        <v>1</v>
      </c>
      <c r="E992">
        <f>clean_sales!L992</f>
        <v>2</v>
      </c>
      <c r="F992">
        <f>clean_sales!T992</f>
        <v>24000</v>
      </c>
    </row>
    <row r="993" spans="1:6" x14ac:dyDescent="0.35">
      <c r="A993" t="str">
        <v>TXN100991</v>
      </c>
      <c r="B993">
        <f>_xlfn.XLOOKUP(clean_sales!P993,Dim_Date!B:B,Dim_Date!A:A)</f>
        <v>20251111</v>
      </c>
      <c r="C993">
        <f>_xlfn.XLOOKUP(clean_sales!C993,Dim_Customer!B:B,Dim_Customer!A:A)</f>
        <v>376</v>
      </c>
      <c r="D993">
        <f>_xlfn.XLOOKUP(clean_sales!I993,Dim_Product!B:B,Dim_Product!A:A)</f>
        <v>4</v>
      </c>
      <c r="E993">
        <f>clean_sales!L993</f>
        <v>4</v>
      </c>
      <c r="F993">
        <f>clean_sales!T993</f>
        <v>18000</v>
      </c>
    </row>
    <row r="994" spans="1:6" x14ac:dyDescent="0.35">
      <c r="A994" t="str">
        <v>TXN100992</v>
      </c>
      <c r="B994">
        <f>_xlfn.XLOOKUP(clean_sales!P994,Dim_Date!B:B,Dim_Date!A:A)</f>
        <v>20251013</v>
      </c>
      <c r="C994">
        <f>_xlfn.XLOOKUP(clean_sales!C994,Dim_Customer!B:B,Dim_Customer!A:A)</f>
        <v>367</v>
      </c>
      <c r="D994">
        <f>_xlfn.XLOOKUP(clean_sales!I994,Dim_Product!B:B,Dim_Product!A:A)</f>
        <v>4</v>
      </c>
      <c r="E994">
        <f>clean_sales!L994</f>
        <v>4</v>
      </c>
      <c r="F994">
        <f>clean_sales!T994</f>
        <v>18000</v>
      </c>
    </row>
    <row r="995" spans="1:6" x14ac:dyDescent="0.35">
      <c r="A995" t="str">
        <v>TXN100993</v>
      </c>
      <c r="B995">
        <f>_xlfn.XLOOKUP(clean_sales!P995,Dim_Date!B:B,Dim_Date!A:A)</f>
        <v>20250511</v>
      </c>
      <c r="C995">
        <f>_xlfn.XLOOKUP(clean_sales!C995,Dim_Customer!B:B,Dim_Customer!A:A)</f>
        <v>641</v>
      </c>
      <c r="D995">
        <f>_xlfn.XLOOKUP(clean_sales!I995,Dim_Product!B:B,Dim_Product!A:A)</f>
        <v>7</v>
      </c>
      <c r="E995">
        <f>clean_sales!L995</f>
        <v>2</v>
      </c>
      <c r="F995">
        <f>clean_sales!T995</f>
        <v>116000</v>
      </c>
    </row>
    <row r="996" spans="1:6" x14ac:dyDescent="0.35">
      <c r="A996" t="str">
        <v>TXN100994</v>
      </c>
      <c r="B996">
        <f>_xlfn.XLOOKUP(clean_sales!P996,Dim_Date!B:B,Dim_Date!A:A)</f>
        <v>20250720</v>
      </c>
      <c r="C996">
        <f>_xlfn.XLOOKUP(clean_sales!C996,Dim_Customer!B:B,Dim_Customer!A:A)</f>
        <v>262</v>
      </c>
      <c r="D996">
        <f>_xlfn.XLOOKUP(clean_sales!I996,Dim_Product!B:B,Dim_Product!A:A)</f>
        <v>6</v>
      </c>
      <c r="E996">
        <f>clean_sales!L996</f>
        <v>4</v>
      </c>
      <c r="F996">
        <f>clean_sales!T996</f>
        <v>288000</v>
      </c>
    </row>
    <row r="997" spans="1:6" x14ac:dyDescent="0.35">
      <c r="A997" t="str">
        <v>TXN100995</v>
      </c>
      <c r="B997">
        <f>_xlfn.XLOOKUP(clean_sales!P997,Dim_Date!B:B,Dim_Date!A:A)</f>
        <v>20250422</v>
      </c>
      <c r="C997">
        <f>_xlfn.XLOOKUP(clean_sales!C997,Dim_Customer!B:B,Dim_Customer!A:A)</f>
        <v>642</v>
      </c>
      <c r="D997">
        <f>_xlfn.XLOOKUP(clean_sales!I997,Dim_Product!B:B,Dim_Product!A:A)</f>
        <v>2</v>
      </c>
      <c r="E997">
        <f>clean_sales!L997</f>
        <v>1</v>
      </c>
      <c r="F997">
        <f>clean_sales!T997</f>
        <v>65000</v>
      </c>
    </row>
    <row r="998" spans="1:6" x14ac:dyDescent="0.35">
      <c r="A998" t="str">
        <v>TXN100996</v>
      </c>
      <c r="B998">
        <f>_xlfn.XLOOKUP(clean_sales!P998,Dim_Date!B:B,Dim_Date!A:A)</f>
        <v>20250929</v>
      </c>
      <c r="C998">
        <f>_xlfn.XLOOKUP(clean_sales!C998,Dim_Customer!B:B,Dim_Customer!A:A)</f>
        <v>336</v>
      </c>
      <c r="D998">
        <f>_xlfn.XLOOKUP(clean_sales!I998,Dim_Product!B:B,Dim_Product!A:A)</f>
        <v>3</v>
      </c>
      <c r="E998">
        <f>clean_sales!L998</f>
        <v>3</v>
      </c>
      <c r="F998">
        <f>clean_sales!T998</f>
        <v>15000</v>
      </c>
    </row>
    <row r="999" spans="1:6" x14ac:dyDescent="0.35">
      <c r="A999" t="str">
        <v>TXN100997</v>
      </c>
      <c r="B999">
        <f>_xlfn.XLOOKUP(clean_sales!P999,Dim_Date!B:B,Dim_Date!A:A)</f>
        <v>20250611</v>
      </c>
      <c r="C999">
        <f>_xlfn.XLOOKUP(clean_sales!C999,Dim_Customer!B:B,Dim_Customer!A:A)</f>
        <v>643</v>
      </c>
      <c r="D999">
        <f>_xlfn.XLOOKUP(clean_sales!I999,Dim_Product!B:B,Dim_Product!A:A)</f>
        <v>4</v>
      </c>
      <c r="E999">
        <f>clean_sales!L999</f>
        <v>3</v>
      </c>
      <c r="F999">
        <f>clean_sales!T999</f>
        <v>13500</v>
      </c>
    </row>
    <row r="1000" spans="1:6" x14ac:dyDescent="0.35">
      <c r="A1000" t="str">
        <v>TXN100998</v>
      </c>
      <c r="B1000">
        <f>_xlfn.XLOOKUP(clean_sales!P1000,Dim_Date!B:B,Dim_Date!A:A)</f>
        <v>20250627</v>
      </c>
      <c r="C1000">
        <f>_xlfn.XLOOKUP(clean_sales!C1000,Dim_Customer!B:B,Dim_Customer!A:A)</f>
        <v>194</v>
      </c>
      <c r="D1000">
        <f>_xlfn.XLOOKUP(clean_sales!I1000,Dim_Product!B:B,Dim_Product!A:A)</f>
        <v>6</v>
      </c>
      <c r="E1000">
        <f>clean_sales!L1000</f>
        <v>4</v>
      </c>
      <c r="F1000">
        <f>clean_sales!T1000</f>
        <v>288000</v>
      </c>
    </row>
    <row r="1001" spans="1:6" x14ac:dyDescent="0.35">
      <c r="A1001" t="str">
        <v>TXN100999</v>
      </c>
      <c r="B1001">
        <f>_xlfn.XLOOKUP(clean_sales!P1001,Dim_Date!B:B,Dim_Date!A:A)</f>
        <v>20251217</v>
      </c>
      <c r="C1001">
        <f>_xlfn.XLOOKUP(clean_sales!C1001,Dim_Customer!B:B,Dim_Customer!A:A)</f>
        <v>499</v>
      </c>
      <c r="D1001">
        <f>_xlfn.XLOOKUP(clean_sales!I1001,Dim_Product!B:B,Dim_Product!A:A)</f>
        <v>7</v>
      </c>
      <c r="E1001">
        <f>clean_sales!L1001</f>
        <v>3</v>
      </c>
      <c r="F1001">
        <f>clean_sales!T1001</f>
        <v>174000</v>
      </c>
    </row>
    <row r="1002" spans="1:6" x14ac:dyDescent="0.35">
      <c r="A1002" t="str">
        <v>TXN101000</v>
      </c>
      <c r="B1002">
        <f>_xlfn.XLOOKUP(clean_sales!P1002,Dim_Date!B:B,Dim_Date!A:A)</f>
        <v>20250206</v>
      </c>
      <c r="C1002">
        <f>_xlfn.XLOOKUP(clean_sales!C1002,Dim_Customer!B:B,Dim_Customer!A:A)</f>
        <v>644</v>
      </c>
      <c r="D1002">
        <f>_xlfn.XLOOKUP(clean_sales!I1002,Dim_Product!B:B,Dim_Product!A:A)</f>
        <v>2</v>
      </c>
      <c r="E1002">
        <f>clean_sales!L1002</f>
        <v>4</v>
      </c>
      <c r="F1002">
        <f>clean_sales!T1002</f>
        <v>260000</v>
      </c>
    </row>
    <row r="1003" spans="1:6" x14ac:dyDescent="0.35">
      <c r="A1003" t="str">
        <v>TXN101001</v>
      </c>
      <c r="B1003">
        <f>_xlfn.XLOOKUP(clean_sales!P1003,Dim_Date!B:B,Dim_Date!A:A)</f>
        <v>20250407</v>
      </c>
      <c r="C1003">
        <f>_xlfn.XLOOKUP(clean_sales!C1003,Dim_Customer!B:B,Dim_Customer!A:A)</f>
        <v>284</v>
      </c>
      <c r="D1003">
        <f>_xlfn.XLOOKUP(clean_sales!I1003,Dim_Product!B:B,Dim_Product!A:A)</f>
        <v>7</v>
      </c>
      <c r="E1003">
        <f>clean_sales!L1003</f>
        <v>3</v>
      </c>
      <c r="F1003">
        <f>clean_sales!T1003</f>
        <v>174000</v>
      </c>
    </row>
    <row r="1004" spans="1:6" x14ac:dyDescent="0.35">
      <c r="A1004" t="str">
        <v>TXN101002</v>
      </c>
      <c r="B1004">
        <f>_xlfn.XLOOKUP(clean_sales!P1004,Dim_Date!B:B,Dim_Date!A:A)</f>
        <v>20251207</v>
      </c>
      <c r="C1004">
        <f>_xlfn.XLOOKUP(clean_sales!C1004,Dim_Customer!B:B,Dim_Customer!A:A)</f>
        <v>258</v>
      </c>
      <c r="D1004">
        <f>_xlfn.XLOOKUP(clean_sales!I1004,Dim_Product!B:B,Dim_Product!A:A)</f>
        <v>6</v>
      </c>
      <c r="E1004">
        <f>clean_sales!L1004</f>
        <v>4</v>
      </c>
      <c r="F1004">
        <f>clean_sales!T1004</f>
        <v>288000</v>
      </c>
    </row>
    <row r="1005" spans="1:6" x14ac:dyDescent="0.35">
      <c r="A1005" t="str">
        <v>TXN101003</v>
      </c>
      <c r="B1005">
        <f>_xlfn.XLOOKUP(clean_sales!P1005,Dim_Date!B:B,Dim_Date!A:A)</f>
        <v>20250521</v>
      </c>
      <c r="C1005">
        <f>_xlfn.XLOOKUP(clean_sales!C1005,Dim_Customer!B:B,Dim_Customer!A:A)</f>
        <v>550</v>
      </c>
      <c r="D1005">
        <f>_xlfn.XLOOKUP(clean_sales!I1005,Dim_Product!B:B,Dim_Product!A:A)</f>
        <v>3</v>
      </c>
      <c r="E1005">
        <f>clean_sales!L1005</f>
        <v>2</v>
      </c>
      <c r="F1005">
        <f>clean_sales!T1005</f>
        <v>10000</v>
      </c>
    </row>
    <row r="1006" spans="1:6" x14ac:dyDescent="0.35">
      <c r="A1006" t="str">
        <v>TXN101004</v>
      </c>
      <c r="B1006">
        <f>_xlfn.XLOOKUP(clean_sales!P1006,Dim_Date!B:B,Dim_Date!A:A)</f>
        <v>20251020</v>
      </c>
      <c r="C1006">
        <f>_xlfn.XLOOKUP(clean_sales!C1006,Dim_Customer!B:B,Dim_Customer!A:A)</f>
        <v>645</v>
      </c>
      <c r="D1006">
        <f>_xlfn.XLOOKUP(clean_sales!I1006,Dim_Product!B:B,Dim_Product!A:A)</f>
        <v>5</v>
      </c>
      <c r="E1006">
        <f>clean_sales!L1006</f>
        <v>5</v>
      </c>
      <c r="F1006">
        <f>clean_sales!T1006</f>
        <v>9000</v>
      </c>
    </row>
    <row r="1007" spans="1:6" x14ac:dyDescent="0.35">
      <c r="A1007" t="str">
        <v>TXN101005</v>
      </c>
      <c r="B1007">
        <f>_xlfn.XLOOKUP(clean_sales!P1007,Dim_Date!B:B,Dim_Date!A:A)</f>
        <v>20250525</v>
      </c>
      <c r="C1007">
        <f>_xlfn.XLOOKUP(clean_sales!C1007,Dim_Customer!B:B,Dim_Customer!A:A)</f>
        <v>597</v>
      </c>
      <c r="D1007">
        <f>_xlfn.XLOOKUP(clean_sales!I1007,Dim_Product!B:B,Dim_Product!A:A)</f>
        <v>4</v>
      </c>
      <c r="E1007">
        <f>clean_sales!L1007</f>
        <v>3</v>
      </c>
      <c r="F1007">
        <f>clean_sales!T1007</f>
        <v>13500</v>
      </c>
    </row>
    <row r="1008" spans="1:6" x14ac:dyDescent="0.35">
      <c r="A1008" t="str">
        <v>TXN101006</v>
      </c>
      <c r="B1008">
        <f>_xlfn.XLOOKUP(clean_sales!P1008,Dim_Date!B:B,Dim_Date!A:A)</f>
        <v>20250523</v>
      </c>
      <c r="C1008">
        <f>_xlfn.XLOOKUP(clean_sales!C1008,Dim_Customer!B:B,Dim_Customer!A:A)</f>
        <v>646</v>
      </c>
      <c r="D1008">
        <f>_xlfn.XLOOKUP(clean_sales!I1008,Dim_Product!B:B,Dim_Product!A:A)</f>
        <v>6</v>
      </c>
      <c r="E1008">
        <f>clean_sales!L1008</f>
        <v>3</v>
      </c>
      <c r="F1008">
        <f>clean_sales!T1008</f>
        <v>216000</v>
      </c>
    </row>
    <row r="1009" spans="1:6" x14ac:dyDescent="0.35">
      <c r="A1009" t="str">
        <v>TXN101007</v>
      </c>
      <c r="B1009">
        <f>_xlfn.XLOOKUP(clean_sales!P1009,Dim_Date!B:B,Dim_Date!A:A)</f>
        <v>20250208</v>
      </c>
      <c r="C1009">
        <f>_xlfn.XLOOKUP(clean_sales!C1009,Dim_Customer!B:B,Dim_Customer!A:A)</f>
        <v>148</v>
      </c>
      <c r="D1009">
        <f>_xlfn.XLOOKUP(clean_sales!I1009,Dim_Product!B:B,Dim_Product!A:A)</f>
        <v>3</v>
      </c>
      <c r="E1009">
        <f>clean_sales!L1009</f>
        <v>3</v>
      </c>
      <c r="F1009">
        <f>clean_sales!T1009</f>
        <v>15000</v>
      </c>
    </row>
    <row r="1010" spans="1:6" x14ac:dyDescent="0.35">
      <c r="A1010" t="str">
        <v>TXN101008</v>
      </c>
      <c r="B1010">
        <f>_xlfn.XLOOKUP(clean_sales!P1010,Dim_Date!B:B,Dim_Date!A:A)</f>
        <v>20250311</v>
      </c>
      <c r="C1010">
        <f>_xlfn.XLOOKUP(clean_sales!C1010,Dim_Customer!B:B,Dim_Customer!A:A)</f>
        <v>217</v>
      </c>
      <c r="D1010">
        <f>_xlfn.XLOOKUP(clean_sales!I1010,Dim_Product!B:B,Dim_Product!A:A)</f>
        <v>1</v>
      </c>
      <c r="E1010">
        <f>clean_sales!L1010</f>
        <v>1</v>
      </c>
      <c r="F1010">
        <f>clean_sales!T1010</f>
        <v>12000</v>
      </c>
    </row>
    <row r="1011" spans="1:6" x14ac:dyDescent="0.35">
      <c r="A1011" t="str">
        <v>TXN101009</v>
      </c>
      <c r="B1011">
        <f>_xlfn.XLOOKUP(clean_sales!P1011,Dim_Date!B:B,Dim_Date!A:A)</f>
        <v>20250826</v>
      </c>
      <c r="C1011">
        <f>_xlfn.XLOOKUP(clean_sales!C1011,Dim_Customer!B:B,Dim_Customer!A:A)</f>
        <v>647</v>
      </c>
      <c r="D1011">
        <f>_xlfn.XLOOKUP(clean_sales!I1011,Dim_Product!B:B,Dim_Product!A:A)</f>
        <v>7</v>
      </c>
      <c r="E1011">
        <f>clean_sales!L1011</f>
        <v>3</v>
      </c>
      <c r="F1011">
        <f>clean_sales!T1011</f>
        <v>174000</v>
      </c>
    </row>
    <row r="1012" spans="1:6" x14ac:dyDescent="0.35">
      <c r="A1012" t="str">
        <v>TXN101010</v>
      </c>
      <c r="B1012">
        <f>_xlfn.XLOOKUP(clean_sales!P1012,Dim_Date!B:B,Dim_Date!A:A)</f>
        <v>20251111</v>
      </c>
      <c r="C1012">
        <f>_xlfn.XLOOKUP(clean_sales!C1012,Dim_Customer!B:B,Dim_Customer!A:A)</f>
        <v>562</v>
      </c>
      <c r="D1012">
        <f>_xlfn.XLOOKUP(clean_sales!I1012,Dim_Product!B:B,Dim_Product!A:A)</f>
        <v>5</v>
      </c>
      <c r="E1012">
        <f>clean_sales!L1012</f>
        <v>4</v>
      </c>
      <c r="F1012">
        <f>clean_sales!T1012</f>
        <v>7200</v>
      </c>
    </row>
    <row r="1013" spans="1:6" x14ac:dyDescent="0.35">
      <c r="A1013" t="str">
        <v>TXN101011</v>
      </c>
      <c r="B1013">
        <f>_xlfn.XLOOKUP(clean_sales!P1013,Dim_Date!B:B,Dim_Date!A:A)</f>
        <v>20250511</v>
      </c>
      <c r="C1013">
        <f>_xlfn.XLOOKUP(clean_sales!C1013,Dim_Customer!B:B,Dim_Customer!A:A)</f>
        <v>317</v>
      </c>
      <c r="D1013">
        <f>_xlfn.XLOOKUP(clean_sales!I1013,Dim_Product!B:B,Dim_Product!A:A)</f>
        <v>5</v>
      </c>
      <c r="E1013">
        <f>clean_sales!L1013</f>
        <v>5</v>
      </c>
      <c r="F1013">
        <f>clean_sales!T1013</f>
        <v>9000</v>
      </c>
    </row>
    <row r="1014" spans="1:6" x14ac:dyDescent="0.35">
      <c r="A1014" t="str">
        <v>TXN101012</v>
      </c>
      <c r="B1014">
        <f>_xlfn.XLOOKUP(clean_sales!P1014,Dim_Date!B:B,Dim_Date!A:A)</f>
        <v>20250325</v>
      </c>
      <c r="C1014">
        <f>_xlfn.XLOOKUP(clean_sales!C1014,Dim_Customer!B:B,Dim_Customer!A:A)</f>
        <v>507</v>
      </c>
      <c r="D1014">
        <f>_xlfn.XLOOKUP(clean_sales!I1014,Dim_Product!B:B,Dim_Product!A:A)</f>
        <v>1</v>
      </c>
      <c r="E1014">
        <f>clean_sales!L1014</f>
        <v>1</v>
      </c>
      <c r="F1014">
        <f>clean_sales!T1014</f>
        <v>12000</v>
      </c>
    </row>
    <row r="1015" spans="1:6" x14ac:dyDescent="0.35">
      <c r="A1015" t="str">
        <v>TXN101013</v>
      </c>
      <c r="B1015">
        <f>_xlfn.XLOOKUP(clean_sales!P1015,Dim_Date!B:B,Dim_Date!A:A)</f>
        <v>20250114</v>
      </c>
      <c r="C1015">
        <f>_xlfn.XLOOKUP(clean_sales!C1015,Dim_Customer!B:B,Dim_Customer!A:A)</f>
        <v>360</v>
      </c>
      <c r="D1015">
        <f>_xlfn.XLOOKUP(clean_sales!I1015,Dim_Product!B:B,Dim_Product!A:A)</f>
        <v>7</v>
      </c>
      <c r="E1015">
        <f>clean_sales!L1015</f>
        <v>2</v>
      </c>
      <c r="F1015">
        <f>clean_sales!T1015</f>
        <v>116000</v>
      </c>
    </row>
    <row r="1016" spans="1:6" x14ac:dyDescent="0.35">
      <c r="A1016" t="str">
        <v>TXN101014</v>
      </c>
      <c r="B1016">
        <f>_xlfn.XLOOKUP(clean_sales!P1016,Dim_Date!B:B,Dim_Date!A:A)</f>
        <v>20260102</v>
      </c>
      <c r="C1016">
        <f>_xlfn.XLOOKUP(clean_sales!C1016,Dim_Customer!B:B,Dim_Customer!A:A)</f>
        <v>346</v>
      </c>
      <c r="D1016">
        <f>_xlfn.XLOOKUP(clean_sales!I1016,Dim_Product!B:B,Dim_Product!A:A)</f>
        <v>2</v>
      </c>
      <c r="E1016">
        <f>clean_sales!L1016</f>
        <v>4</v>
      </c>
      <c r="F1016">
        <f>clean_sales!T1016</f>
        <v>260000</v>
      </c>
    </row>
    <row r="1017" spans="1:6" x14ac:dyDescent="0.35">
      <c r="A1017" t="str">
        <v>TXN101015</v>
      </c>
      <c r="B1017">
        <f>_xlfn.XLOOKUP(clean_sales!P1017,Dim_Date!B:B,Dim_Date!A:A)</f>
        <v>20250423</v>
      </c>
      <c r="C1017">
        <f>_xlfn.XLOOKUP(clean_sales!C1017,Dim_Customer!B:B,Dim_Customer!A:A)</f>
        <v>450</v>
      </c>
      <c r="D1017">
        <f>_xlfn.XLOOKUP(clean_sales!I1017,Dim_Product!B:B,Dim_Product!A:A)</f>
        <v>1</v>
      </c>
      <c r="E1017">
        <f>clean_sales!L1017</f>
        <v>2</v>
      </c>
      <c r="F1017">
        <f>clean_sales!T1017</f>
        <v>24000</v>
      </c>
    </row>
    <row r="1018" spans="1:6" x14ac:dyDescent="0.35">
      <c r="A1018" t="str">
        <v>TXN101016</v>
      </c>
      <c r="B1018">
        <f>_xlfn.XLOOKUP(clean_sales!P1018,Dim_Date!B:B,Dim_Date!A:A)</f>
        <v>20251219</v>
      </c>
      <c r="C1018">
        <f>_xlfn.XLOOKUP(clean_sales!C1018,Dim_Customer!B:B,Dim_Customer!A:A)</f>
        <v>648</v>
      </c>
      <c r="D1018">
        <f>_xlfn.XLOOKUP(clean_sales!I1018,Dim_Product!B:B,Dim_Product!A:A)</f>
        <v>5</v>
      </c>
      <c r="E1018">
        <f>clean_sales!L1018</f>
        <v>4</v>
      </c>
      <c r="F1018">
        <f>clean_sales!T1018</f>
        <v>7200</v>
      </c>
    </row>
    <row r="1019" spans="1:6" x14ac:dyDescent="0.35">
      <c r="A1019" t="str">
        <v>TXN101017</v>
      </c>
      <c r="B1019">
        <f>_xlfn.XLOOKUP(clean_sales!P1019,Dim_Date!B:B,Dim_Date!A:A)</f>
        <v>20251019</v>
      </c>
      <c r="C1019">
        <f>_xlfn.XLOOKUP(clean_sales!C1019,Dim_Customer!B:B,Dim_Customer!A:A)</f>
        <v>509</v>
      </c>
      <c r="D1019">
        <f>_xlfn.XLOOKUP(clean_sales!I1019,Dim_Product!B:B,Dim_Product!A:A)</f>
        <v>1</v>
      </c>
      <c r="E1019">
        <f>clean_sales!L1019</f>
        <v>4</v>
      </c>
      <c r="F1019">
        <f>clean_sales!T1019</f>
        <v>48000</v>
      </c>
    </row>
    <row r="1020" spans="1:6" x14ac:dyDescent="0.35">
      <c r="A1020" t="str">
        <v>TXN101018</v>
      </c>
      <c r="B1020">
        <f>_xlfn.XLOOKUP(clean_sales!P1020,Dim_Date!B:B,Dim_Date!A:A)</f>
        <v>20251221</v>
      </c>
      <c r="C1020">
        <f>_xlfn.XLOOKUP(clean_sales!C1020,Dim_Customer!B:B,Dim_Customer!A:A)</f>
        <v>494</v>
      </c>
      <c r="D1020">
        <f>_xlfn.XLOOKUP(clean_sales!I1020,Dim_Product!B:B,Dim_Product!A:A)</f>
        <v>7</v>
      </c>
      <c r="E1020">
        <f>clean_sales!L1020</f>
        <v>3</v>
      </c>
      <c r="F1020">
        <f>clean_sales!T1020</f>
        <v>174000</v>
      </c>
    </row>
    <row r="1021" spans="1:6" x14ac:dyDescent="0.35">
      <c r="A1021" t="str">
        <v>TXN101019</v>
      </c>
      <c r="B1021">
        <f>_xlfn.XLOOKUP(clean_sales!P1021,Dim_Date!B:B,Dim_Date!A:A)</f>
        <v>20251015</v>
      </c>
      <c r="C1021">
        <f>_xlfn.XLOOKUP(clean_sales!C1021,Dim_Customer!B:B,Dim_Customer!A:A)</f>
        <v>487</v>
      </c>
      <c r="D1021">
        <f>_xlfn.XLOOKUP(clean_sales!I1021,Dim_Product!B:B,Dim_Product!A:A)</f>
        <v>1</v>
      </c>
      <c r="E1021">
        <f>clean_sales!L1021</f>
        <v>1</v>
      </c>
      <c r="F1021">
        <f>clean_sales!T1021</f>
        <v>12000</v>
      </c>
    </row>
    <row r="1022" spans="1:6" x14ac:dyDescent="0.35">
      <c r="A1022" t="str">
        <v>TXN101020</v>
      </c>
      <c r="B1022">
        <f>_xlfn.XLOOKUP(clean_sales!P1022,Dim_Date!B:B,Dim_Date!A:A)</f>
        <v>20251225</v>
      </c>
      <c r="C1022">
        <f>_xlfn.XLOOKUP(clean_sales!C1022,Dim_Customer!B:B,Dim_Customer!A:A)</f>
        <v>640</v>
      </c>
      <c r="D1022">
        <f>_xlfn.XLOOKUP(clean_sales!I1022,Dim_Product!B:B,Dim_Product!A:A)</f>
        <v>2</v>
      </c>
      <c r="E1022">
        <f>clean_sales!L1022</f>
        <v>3</v>
      </c>
      <c r="F1022">
        <f>clean_sales!T1022</f>
        <v>195000</v>
      </c>
    </row>
    <row r="1023" spans="1:6" x14ac:dyDescent="0.35">
      <c r="A1023" t="str">
        <v>TXN101021</v>
      </c>
      <c r="B1023">
        <f>_xlfn.XLOOKUP(clean_sales!P1023,Dim_Date!B:B,Dim_Date!A:A)</f>
        <v>20250417</v>
      </c>
      <c r="C1023">
        <f>_xlfn.XLOOKUP(clean_sales!C1023,Dim_Customer!B:B,Dim_Customer!A:A)</f>
        <v>649</v>
      </c>
      <c r="D1023">
        <f>_xlfn.XLOOKUP(clean_sales!I1023,Dim_Product!B:B,Dim_Product!A:A)</f>
        <v>4</v>
      </c>
      <c r="E1023">
        <f>clean_sales!L1023</f>
        <v>5</v>
      </c>
      <c r="F1023">
        <f>clean_sales!T1023</f>
        <v>22500</v>
      </c>
    </row>
    <row r="1024" spans="1:6" x14ac:dyDescent="0.35">
      <c r="A1024" t="str">
        <v>TXN101022</v>
      </c>
      <c r="B1024">
        <f>_xlfn.XLOOKUP(clean_sales!P1024,Dim_Date!B:B,Dim_Date!A:A)</f>
        <v>20251217</v>
      </c>
      <c r="C1024">
        <f>_xlfn.XLOOKUP(clean_sales!C1024,Dim_Customer!B:B,Dim_Customer!A:A)</f>
        <v>456</v>
      </c>
      <c r="D1024">
        <f>_xlfn.XLOOKUP(clean_sales!I1024,Dim_Product!B:B,Dim_Product!A:A)</f>
        <v>1</v>
      </c>
      <c r="E1024">
        <f>clean_sales!L1024</f>
        <v>4</v>
      </c>
      <c r="F1024">
        <f>clean_sales!T1024</f>
        <v>48000</v>
      </c>
    </row>
    <row r="1025" spans="1:6" x14ac:dyDescent="0.35">
      <c r="A1025" t="str">
        <v>TXN101023</v>
      </c>
      <c r="B1025">
        <f>_xlfn.XLOOKUP(clean_sales!P1025,Dim_Date!B:B,Dim_Date!A:A)</f>
        <v>20251202</v>
      </c>
      <c r="C1025">
        <f>_xlfn.XLOOKUP(clean_sales!C1025,Dim_Customer!B:B,Dim_Customer!A:A)</f>
        <v>650</v>
      </c>
      <c r="D1025">
        <f>_xlfn.XLOOKUP(clean_sales!I1025,Dim_Product!B:B,Dim_Product!A:A)</f>
        <v>3</v>
      </c>
      <c r="E1025">
        <f>clean_sales!L1025</f>
        <v>3</v>
      </c>
      <c r="F1025">
        <f>clean_sales!T1025</f>
        <v>15000</v>
      </c>
    </row>
    <row r="1026" spans="1:6" x14ac:dyDescent="0.35">
      <c r="A1026" t="str">
        <v>TXN101024</v>
      </c>
      <c r="B1026">
        <f>_xlfn.XLOOKUP(clean_sales!P1026,Dim_Date!B:B,Dim_Date!A:A)</f>
        <v>20250531</v>
      </c>
      <c r="C1026">
        <f>_xlfn.XLOOKUP(clean_sales!C1026,Dim_Customer!B:B,Dim_Customer!A:A)</f>
        <v>651</v>
      </c>
      <c r="D1026">
        <f>_xlfn.XLOOKUP(clean_sales!I1026,Dim_Product!B:B,Dim_Product!A:A)</f>
        <v>3</v>
      </c>
      <c r="E1026">
        <f>clean_sales!L1026</f>
        <v>1</v>
      </c>
      <c r="F1026">
        <f>clean_sales!T1026</f>
        <v>5000</v>
      </c>
    </row>
    <row r="1027" spans="1:6" x14ac:dyDescent="0.35">
      <c r="A1027" t="str">
        <v>TXN101025</v>
      </c>
      <c r="B1027">
        <f>_xlfn.XLOOKUP(clean_sales!P1027,Dim_Date!B:B,Dim_Date!A:A)</f>
        <v>20250606</v>
      </c>
      <c r="C1027">
        <f>_xlfn.XLOOKUP(clean_sales!C1027,Dim_Customer!B:B,Dim_Customer!A:A)</f>
        <v>469</v>
      </c>
      <c r="D1027">
        <f>_xlfn.XLOOKUP(clean_sales!I1027,Dim_Product!B:B,Dim_Product!A:A)</f>
        <v>5</v>
      </c>
      <c r="E1027">
        <f>clean_sales!L1027</f>
        <v>2</v>
      </c>
      <c r="F1027">
        <f>clean_sales!T1027</f>
        <v>3600</v>
      </c>
    </row>
    <row r="1028" spans="1:6" x14ac:dyDescent="0.35">
      <c r="A1028" t="str">
        <v>TXN101026</v>
      </c>
      <c r="B1028">
        <f>_xlfn.XLOOKUP(clean_sales!P1028,Dim_Date!B:B,Dim_Date!A:A)</f>
        <v>20250920</v>
      </c>
      <c r="C1028">
        <f>_xlfn.XLOOKUP(clean_sales!C1028,Dim_Customer!B:B,Dim_Customer!A:A)</f>
        <v>284</v>
      </c>
      <c r="D1028">
        <f>_xlfn.XLOOKUP(clean_sales!I1028,Dim_Product!B:B,Dim_Product!A:A)</f>
        <v>1</v>
      </c>
      <c r="E1028">
        <f>clean_sales!L1028</f>
        <v>3</v>
      </c>
      <c r="F1028">
        <f>clean_sales!T1028</f>
        <v>36000</v>
      </c>
    </row>
    <row r="1029" spans="1:6" x14ac:dyDescent="0.35">
      <c r="A1029" t="str">
        <v>TXN101027</v>
      </c>
      <c r="B1029">
        <f>_xlfn.XLOOKUP(clean_sales!P1029,Dim_Date!B:B,Dim_Date!A:A)</f>
        <v>20251225</v>
      </c>
      <c r="C1029">
        <f>_xlfn.XLOOKUP(clean_sales!C1029,Dim_Customer!B:B,Dim_Customer!A:A)</f>
        <v>644</v>
      </c>
      <c r="D1029">
        <f>_xlfn.XLOOKUP(clean_sales!I1029,Dim_Product!B:B,Dim_Product!A:A)</f>
        <v>6</v>
      </c>
      <c r="E1029">
        <f>clean_sales!L1029</f>
        <v>4</v>
      </c>
      <c r="F1029">
        <f>clean_sales!T1029</f>
        <v>288000</v>
      </c>
    </row>
    <row r="1030" spans="1:6" x14ac:dyDescent="0.35">
      <c r="A1030" t="str">
        <v>TXN101028</v>
      </c>
      <c r="B1030">
        <f>_xlfn.XLOOKUP(clean_sales!P1030,Dim_Date!B:B,Dim_Date!A:A)</f>
        <v>20251018</v>
      </c>
      <c r="C1030">
        <f>_xlfn.XLOOKUP(clean_sales!C1030,Dim_Customer!B:B,Dim_Customer!A:A)</f>
        <v>641</v>
      </c>
      <c r="D1030">
        <f>_xlfn.XLOOKUP(clean_sales!I1030,Dim_Product!B:B,Dim_Product!A:A)</f>
        <v>7</v>
      </c>
      <c r="E1030">
        <f>clean_sales!L1030</f>
        <v>2</v>
      </c>
      <c r="F1030">
        <f>clean_sales!T1030</f>
        <v>116000</v>
      </c>
    </row>
    <row r="1031" spans="1:6" x14ac:dyDescent="0.35">
      <c r="A1031" t="str">
        <v>TXN101029</v>
      </c>
      <c r="B1031">
        <f>_xlfn.XLOOKUP(clean_sales!P1031,Dim_Date!B:B,Dim_Date!A:A)</f>
        <v>20250302</v>
      </c>
      <c r="C1031">
        <f>_xlfn.XLOOKUP(clean_sales!C1031,Dim_Customer!B:B,Dim_Customer!A:A)</f>
        <v>603</v>
      </c>
      <c r="D1031">
        <f>_xlfn.XLOOKUP(clean_sales!I1031,Dim_Product!B:B,Dim_Product!A:A)</f>
        <v>3</v>
      </c>
      <c r="E1031">
        <f>clean_sales!L1031</f>
        <v>2</v>
      </c>
      <c r="F1031">
        <f>clean_sales!T1031</f>
        <v>10000</v>
      </c>
    </row>
    <row r="1032" spans="1:6" x14ac:dyDescent="0.35">
      <c r="A1032" t="str">
        <v>TXN101030</v>
      </c>
      <c r="B1032">
        <f>_xlfn.XLOOKUP(clean_sales!P1032,Dim_Date!B:B,Dim_Date!A:A)</f>
        <v>20250319</v>
      </c>
      <c r="C1032">
        <f>_xlfn.XLOOKUP(clean_sales!C1032,Dim_Customer!B:B,Dim_Customer!A:A)</f>
        <v>652</v>
      </c>
      <c r="D1032">
        <f>_xlfn.XLOOKUP(clean_sales!I1032,Dim_Product!B:B,Dim_Product!A:A)</f>
        <v>2</v>
      </c>
      <c r="E1032">
        <f>clean_sales!L1032</f>
        <v>4</v>
      </c>
      <c r="F1032">
        <f>clean_sales!T1032</f>
        <v>260000</v>
      </c>
    </row>
    <row r="1033" spans="1:6" x14ac:dyDescent="0.35">
      <c r="A1033" t="str">
        <v>TXN101031</v>
      </c>
      <c r="B1033">
        <f>_xlfn.XLOOKUP(clean_sales!P1033,Dim_Date!B:B,Dim_Date!A:A)</f>
        <v>20251013</v>
      </c>
      <c r="C1033">
        <f>_xlfn.XLOOKUP(clean_sales!C1033,Dim_Customer!B:B,Dim_Customer!A:A)</f>
        <v>37</v>
      </c>
      <c r="D1033">
        <f>_xlfn.XLOOKUP(clean_sales!I1033,Dim_Product!B:B,Dim_Product!A:A)</f>
        <v>1</v>
      </c>
      <c r="E1033">
        <f>clean_sales!L1033</f>
        <v>4</v>
      </c>
      <c r="F1033">
        <f>clean_sales!T1033</f>
        <v>48000</v>
      </c>
    </row>
    <row r="1034" spans="1:6" x14ac:dyDescent="0.35">
      <c r="A1034" t="str">
        <v>TXN101032</v>
      </c>
      <c r="B1034">
        <f>_xlfn.XLOOKUP(clean_sales!P1034,Dim_Date!B:B,Dim_Date!A:A)</f>
        <v>20250702</v>
      </c>
      <c r="C1034">
        <f>_xlfn.XLOOKUP(clean_sales!C1034,Dim_Customer!B:B,Dim_Customer!A:A)</f>
        <v>499</v>
      </c>
      <c r="D1034">
        <f>_xlfn.XLOOKUP(clean_sales!I1034,Dim_Product!B:B,Dim_Product!A:A)</f>
        <v>4</v>
      </c>
      <c r="E1034">
        <f>clean_sales!L1034</f>
        <v>4</v>
      </c>
      <c r="F1034">
        <f>clean_sales!T1034</f>
        <v>18000</v>
      </c>
    </row>
    <row r="1035" spans="1:6" x14ac:dyDescent="0.35">
      <c r="A1035" t="str">
        <v>TXN101033</v>
      </c>
      <c r="B1035">
        <f>_xlfn.XLOOKUP(clean_sales!P1035,Dim_Date!B:B,Dim_Date!A:A)</f>
        <v>20250117</v>
      </c>
      <c r="C1035">
        <f>_xlfn.XLOOKUP(clean_sales!C1035,Dim_Customer!B:B,Dim_Customer!A:A)</f>
        <v>147</v>
      </c>
      <c r="D1035">
        <f>_xlfn.XLOOKUP(clean_sales!I1035,Dim_Product!B:B,Dim_Product!A:A)</f>
        <v>1</v>
      </c>
      <c r="E1035">
        <f>clean_sales!L1035</f>
        <v>3</v>
      </c>
      <c r="F1035">
        <f>clean_sales!T1035</f>
        <v>36000</v>
      </c>
    </row>
    <row r="1036" spans="1:6" x14ac:dyDescent="0.35">
      <c r="A1036" t="str">
        <v>TXN101034</v>
      </c>
      <c r="B1036">
        <f>_xlfn.XLOOKUP(clean_sales!P1036,Dim_Date!B:B,Dim_Date!A:A)</f>
        <v>20250110</v>
      </c>
      <c r="C1036">
        <f>_xlfn.XLOOKUP(clean_sales!C1036,Dim_Customer!B:B,Dim_Customer!A:A)</f>
        <v>558</v>
      </c>
      <c r="D1036">
        <f>_xlfn.XLOOKUP(clean_sales!I1036,Dim_Product!B:B,Dim_Product!A:A)</f>
        <v>5</v>
      </c>
      <c r="E1036">
        <f>clean_sales!L1036</f>
        <v>4</v>
      </c>
      <c r="F1036">
        <f>clean_sales!T1036</f>
        <v>7200</v>
      </c>
    </row>
    <row r="1037" spans="1:6" x14ac:dyDescent="0.35">
      <c r="A1037" t="str">
        <v>TXN101035</v>
      </c>
      <c r="B1037">
        <f>_xlfn.XLOOKUP(clean_sales!P1037,Dim_Date!B:B,Dim_Date!A:A)</f>
        <v>20250123</v>
      </c>
      <c r="C1037">
        <f>_xlfn.XLOOKUP(clean_sales!C1037,Dim_Customer!B:B,Dim_Customer!A:A)</f>
        <v>41</v>
      </c>
      <c r="D1037">
        <f>_xlfn.XLOOKUP(clean_sales!I1037,Dim_Product!B:B,Dim_Product!A:A)</f>
        <v>5</v>
      </c>
      <c r="E1037">
        <f>clean_sales!L1037</f>
        <v>3</v>
      </c>
      <c r="F1037">
        <f>clean_sales!T1037</f>
        <v>5400</v>
      </c>
    </row>
    <row r="1038" spans="1:6" x14ac:dyDescent="0.35">
      <c r="A1038" t="str">
        <v>TXN101036</v>
      </c>
      <c r="B1038">
        <f>_xlfn.XLOOKUP(clean_sales!P1038,Dim_Date!B:B,Dim_Date!A:A)</f>
        <v>20250607</v>
      </c>
      <c r="C1038">
        <f>_xlfn.XLOOKUP(clean_sales!C1038,Dim_Customer!B:B,Dim_Customer!A:A)</f>
        <v>46</v>
      </c>
      <c r="D1038">
        <f>_xlfn.XLOOKUP(clean_sales!I1038,Dim_Product!B:B,Dim_Product!A:A)</f>
        <v>3</v>
      </c>
      <c r="E1038">
        <f>clean_sales!L1038</f>
        <v>3</v>
      </c>
      <c r="F1038">
        <f>clean_sales!T1038</f>
        <v>15000</v>
      </c>
    </row>
    <row r="1039" spans="1:6" x14ac:dyDescent="0.35">
      <c r="A1039" t="str">
        <v>TXN101037</v>
      </c>
      <c r="B1039">
        <f>_xlfn.XLOOKUP(clean_sales!P1039,Dim_Date!B:B,Dim_Date!A:A)</f>
        <v>20251021</v>
      </c>
      <c r="C1039">
        <f>_xlfn.XLOOKUP(clean_sales!C1039,Dim_Customer!B:B,Dim_Customer!A:A)</f>
        <v>547</v>
      </c>
      <c r="D1039">
        <f>_xlfn.XLOOKUP(clean_sales!I1039,Dim_Product!B:B,Dim_Product!A:A)</f>
        <v>5</v>
      </c>
      <c r="E1039">
        <f>clean_sales!L1039</f>
        <v>5</v>
      </c>
      <c r="F1039">
        <f>clean_sales!T1039</f>
        <v>9000</v>
      </c>
    </row>
    <row r="1040" spans="1:6" x14ac:dyDescent="0.35">
      <c r="A1040" t="str">
        <v>TXN101038</v>
      </c>
      <c r="B1040">
        <f>_xlfn.XLOOKUP(clean_sales!P1040,Dim_Date!B:B,Dim_Date!A:A)</f>
        <v>20251030</v>
      </c>
      <c r="C1040">
        <f>_xlfn.XLOOKUP(clean_sales!C1040,Dim_Customer!B:B,Dim_Customer!A:A)</f>
        <v>337</v>
      </c>
      <c r="D1040">
        <f>_xlfn.XLOOKUP(clean_sales!I1040,Dim_Product!B:B,Dim_Product!A:A)</f>
        <v>6</v>
      </c>
      <c r="E1040">
        <f>clean_sales!L1040</f>
        <v>5</v>
      </c>
      <c r="F1040">
        <f>clean_sales!T1040</f>
        <v>360000</v>
      </c>
    </row>
    <row r="1041" spans="1:6" x14ac:dyDescent="0.35">
      <c r="A1041" t="str">
        <v>TXN101039</v>
      </c>
      <c r="B1041">
        <f>_xlfn.XLOOKUP(clean_sales!P1041,Dim_Date!B:B,Dim_Date!A:A)</f>
        <v>20251228</v>
      </c>
      <c r="C1041">
        <f>_xlfn.XLOOKUP(clean_sales!C1041,Dim_Customer!B:B,Dim_Customer!A:A)</f>
        <v>653</v>
      </c>
      <c r="D1041">
        <f>_xlfn.XLOOKUP(clean_sales!I1041,Dim_Product!B:B,Dim_Product!A:A)</f>
        <v>2</v>
      </c>
      <c r="E1041">
        <f>clean_sales!L1041</f>
        <v>1</v>
      </c>
      <c r="F1041">
        <f>clean_sales!T1041</f>
        <v>65000</v>
      </c>
    </row>
    <row r="1042" spans="1:6" x14ac:dyDescent="0.35">
      <c r="A1042" t="str">
        <v>TXN101040</v>
      </c>
      <c r="B1042">
        <f>_xlfn.XLOOKUP(clean_sales!P1042,Dim_Date!B:B,Dim_Date!A:A)</f>
        <v>20250304</v>
      </c>
      <c r="C1042">
        <f>_xlfn.XLOOKUP(clean_sales!C1042,Dim_Customer!B:B,Dim_Customer!A:A)</f>
        <v>506</v>
      </c>
      <c r="D1042">
        <f>_xlfn.XLOOKUP(clean_sales!I1042,Dim_Product!B:B,Dim_Product!A:A)</f>
        <v>4</v>
      </c>
      <c r="E1042">
        <f>clean_sales!L1042</f>
        <v>5</v>
      </c>
      <c r="F1042">
        <f>clean_sales!T1042</f>
        <v>22500</v>
      </c>
    </row>
    <row r="1043" spans="1:6" x14ac:dyDescent="0.35">
      <c r="A1043" t="str">
        <v>TXN101041</v>
      </c>
      <c r="B1043">
        <f>_xlfn.XLOOKUP(clean_sales!P1043,Dim_Date!B:B,Dim_Date!A:A)</f>
        <v>20250513</v>
      </c>
      <c r="C1043">
        <f>_xlfn.XLOOKUP(clean_sales!C1043,Dim_Customer!B:B,Dim_Customer!A:A)</f>
        <v>46</v>
      </c>
      <c r="D1043">
        <f>_xlfn.XLOOKUP(clean_sales!I1043,Dim_Product!B:B,Dim_Product!A:A)</f>
        <v>6</v>
      </c>
      <c r="E1043">
        <f>clean_sales!L1043</f>
        <v>1</v>
      </c>
      <c r="F1043">
        <f>clean_sales!T1043</f>
        <v>72000</v>
      </c>
    </row>
    <row r="1044" spans="1:6" x14ac:dyDescent="0.35">
      <c r="A1044" t="str">
        <v>TXN101042</v>
      </c>
      <c r="B1044">
        <f>_xlfn.XLOOKUP(clean_sales!P1044,Dim_Date!B:B,Dim_Date!A:A)</f>
        <v>20250519</v>
      </c>
      <c r="C1044">
        <f>_xlfn.XLOOKUP(clean_sales!C1044,Dim_Customer!B:B,Dim_Customer!A:A)</f>
        <v>156</v>
      </c>
      <c r="D1044">
        <f>_xlfn.XLOOKUP(clean_sales!I1044,Dim_Product!B:B,Dim_Product!A:A)</f>
        <v>1</v>
      </c>
      <c r="E1044">
        <f>clean_sales!L1044</f>
        <v>1</v>
      </c>
      <c r="F1044">
        <f>clean_sales!T1044</f>
        <v>12000</v>
      </c>
    </row>
    <row r="1045" spans="1:6" x14ac:dyDescent="0.35">
      <c r="A1045" t="str">
        <v>TXN101043</v>
      </c>
      <c r="B1045">
        <f>_xlfn.XLOOKUP(clean_sales!P1045,Dim_Date!B:B,Dim_Date!A:A)</f>
        <v>20250804</v>
      </c>
      <c r="C1045">
        <f>_xlfn.XLOOKUP(clean_sales!C1045,Dim_Customer!B:B,Dim_Customer!A:A)</f>
        <v>295</v>
      </c>
      <c r="D1045">
        <f>_xlfn.XLOOKUP(clean_sales!I1045,Dim_Product!B:B,Dim_Product!A:A)</f>
        <v>6</v>
      </c>
      <c r="E1045">
        <f>clean_sales!L1045</f>
        <v>5</v>
      </c>
      <c r="F1045">
        <f>clean_sales!T1045</f>
        <v>360000</v>
      </c>
    </row>
    <row r="1046" spans="1:6" x14ac:dyDescent="0.35">
      <c r="A1046" t="str">
        <v>TXN101044</v>
      </c>
      <c r="B1046">
        <f>_xlfn.XLOOKUP(clean_sales!P1046,Dim_Date!B:B,Dim_Date!A:A)</f>
        <v>20250405</v>
      </c>
      <c r="C1046">
        <f>_xlfn.XLOOKUP(clean_sales!C1046,Dim_Customer!B:B,Dim_Customer!A:A)</f>
        <v>381</v>
      </c>
      <c r="D1046">
        <f>_xlfn.XLOOKUP(clean_sales!I1046,Dim_Product!B:B,Dim_Product!A:A)</f>
        <v>6</v>
      </c>
      <c r="E1046">
        <f>clean_sales!L1046</f>
        <v>1</v>
      </c>
      <c r="F1046">
        <f>clean_sales!T1046</f>
        <v>72000</v>
      </c>
    </row>
    <row r="1047" spans="1:6" x14ac:dyDescent="0.35">
      <c r="A1047" t="str">
        <v>TXN101045</v>
      </c>
      <c r="B1047">
        <f>_xlfn.XLOOKUP(clean_sales!P1047,Dim_Date!B:B,Dim_Date!A:A)</f>
        <v>20250502</v>
      </c>
      <c r="C1047">
        <f>_xlfn.XLOOKUP(clean_sales!C1047,Dim_Customer!B:B,Dim_Customer!A:A)</f>
        <v>259</v>
      </c>
      <c r="D1047">
        <f>_xlfn.XLOOKUP(clean_sales!I1047,Dim_Product!B:B,Dim_Product!A:A)</f>
        <v>2</v>
      </c>
      <c r="E1047">
        <f>clean_sales!L1047</f>
        <v>4</v>
      </c>
      <c r="F1047">
        <f>clean_sales!T1047</f>
        <v>260000</v>
      </c>
    </row>
    <row r="1048" spans="1:6" x14ac:dyDescent="0.35">
      <c r="A1048" t="str">
        <v>TXN101046</v>
      </c>
      <c r="B1048">
        <f>_xlfn.XLOOKUP(clean_sales!P1048,Dim_Date!B:B,Dim_Date!A:A)</f>
        <v>20250301</v>
      </c>
      <c r="C1048">
        <f>_xlfn.XLOOKUP(clean_sales!C1048,Dim_Customer!B:B,Dim_Customer!A:A)</f>
        <v>654</v>
      </c>
      <c r="D1048">
        <f>_xlfn.XLOOKUP(clean_sales!I1048,Dim_Product!B:B,Dim_Product!A:A)</f>
        <v>7</v>
      </c>
      <c r="E1048">
        <f>clean_sales!L1048</f>
        <v>2</v>
      </c>
      <c r="F1048">
        <f>clean_sales!T1048</f>
        <v>116000</v>
      </c>
    </row>
    <row r="1049" spans="1:6" x14ac:dyDescent="0.35">
      <c r="A1049" t="str">
        <v>TXN101047</v>
      </c>
      <c r="B1049">
        <f>_xlfn.XLOOKUP(clean_sales!P1049,Dim_Date!B:B,Dim_Date!A:A)</f>
        <v>20250329</v>
      </c>
      <c r="C1049">
        <f>_xlfn.XLOOKUP(clean_sales!C1049,Dim_Customer!B:B,Dim_Customer!A:A)</f>
        <v>587</v>
      </c>
      <c r="D1049">
        <f>_xlfn.XLOOKUP(clean_sales!I1049,Dim_Product!B:B,Dim_Product!A:A)</f>
        <v>5</v>
      </c>
      <c r="E1049">
        <f>clean_sales!L1049</f>
        <v>4</v>
      </c>
      <c r="F1049">
        <f>clean_sales!T1049</f>
        <v>7200</v>
      </c>
    </row>
    <row r="1050" spans="1:6" x14ac:dyDescent="0.35">
      <c r="A1050" t="str">
        <v>TXN101048</v>
      </c>
      <c r="B1050">
        <f>_xlfn.XLOOKUP(clean_sales!P1050,Dim_Date!B:B,Dim_Date!A:A)</f>
        <v>20250520</v>
      </c>
      <c r="C1050">
        <f>_xlfn.XLOOKUP(clean_sales!C1050,Dim_Customer!B:B,Dim_Customer!A:A)</f>
        <v>655</v>
      </c>
      <c r="D1050">
        <f>_xlfn.XLOOKUP(clean_sales!I1050,Dim_Product!B:B,Dim_Product!A:A)</f>
        <v>2</v>
      </c>
      <c r="E1050">
        <f>clean_sales!L1050</f>
        <v>3</v>
      </c>
      <c r="F1050">
        <f>clean_sales!T1050</f>
        <v>195000</v>
      </c>
    </row>
    <row r="1051" spans="1:6" x14ac:dyDescent="0.35">
      <c r="A1051" t="str">
        <v>TXN101049</v>
      </c>
      <c r="B1051">
        <f>_xlfn.XLOOKUP(clean_sales!P1051,Dim_Date!B:B,Dim_Date!A:A)</f>
        <v>20250106</v>
      </c>
      <c r="C1051">
        <f>_xlfn.XLOOKUP(clean_sales!C1051,Dim_Customer!B:B,Dim_Customer!A:A)</f>
        <v>479</v>
      </c>
      <c r="D1051">
        <f>_xlfn.XLOOKUP(clean_sales!I1051,Dim_Product!B:B,Dim_Product!A:A)</f>
        <v>1</v>
      </c>
      <c r="E1051">
        <f>clean_sales!L1051</f>
        <v>2</v>
      </c>
      <c r="F1051">
        <f>clean_sales!T1051</f>
        <v>24000</v>
      </c>
    </row>
    <row r="1052" spans="1:6" x14ac:dyDescent="0.35">
      <c r="A1052" t="str">
        <v>TXN101050</v>
      </c>
      <c r="B1052">
        <f>_xlfn.XLOOKUP(clean_sales!P1052,Dim_Date!B:B,Dim_Date!A:A)</f>
        <v>20250701</v>
      </c>
      <c r="C1052">
        <f>_xlfn.XLOOKUP(clean_sales!C1052,Dim_Customer!B:B,Dim_Customer!A:A)</f>
        <v>415</v>
      </c>
      <c r="D1052">
        <f>_xlfn.XLOOKUP(clean_sales!I1052,Dim_Product!B:B,Dim_Product!A:A)</f>
        <v>1</v>
      </c>
      <c r="E1052">
        <f>clean_sales!L1052</f>
        <v>5</v>
      </c>
      <c r="F1052">
        <f>clean_sales!T1052</f>
        <v>60000</v>
      </c>
    </row>
    <row r="1053" spans="1:6" x14ac:dyDescent="0.35">
      <c r="A1053" t="str">
        <v>TXN101051</v>
      </c>
      <c r="B1053">
        <f>_xlfn.XLOOKUP(clean_sales!P1053,Dim_Date!B:B,Dim_Date!A:A)</f>
        <v>20250921</v>
      </c>
      <c r="C1053">
        <f>_xlfn.XLOOKUP(clean_sales!C1053,Dim_Customer!B:B,Dim_Customer!A:A)</f>
        <v>31</v>
      </c>
      <c r="D1053">
        <f>_xlfn.XLOOKUP(clean_sales!I1053,Dim_Product!B:B,Dim_Product!A:A)</f>
        <v>4</v>
      </c>
      <c r="E1053">
        <f>clean_sales!L1053</f>
        <v>4</v>
      </c>
      <c r="F1053">
        <f>clean_sales!T1053</f>
        <v>18000</v>
      </c>
    </row>
    <row r="1054" spans="1:6" x14ac:dyDescent="0.35">
      <c r="A1054" t="str">
        <v>TXN101052</v>
      </c>
      <c r="B1054">
        <f>_xlfn.XLOOKUP(clean_sales!P1054,Dim_Date!B:B,Dim_Date!A:A)</f>
        <v>20250302</v>
      </c>
      <c r="C1054">
        <f>_xlfn.XLOOKUP(clean_sales!C1054,Dim_Customer!B:B,Dim_Customer!A:A)</f>
        <v>583</v>
      </c>
      <c r="D1054">
        <f>_xlfn.XLOOKUP(clean_sales!I1054,Dim_Product!B:B,Dim_Product!A:A)</f>
        <v>4</v>
      </c>
      <c r="E1054">
        <f>clean_sales!L1054</f>
        <v>4</v>
      </c>
      <c r="F1054">
        <f>clean_sales!T1054</f>
        <v>18000</v>
      </c>
    </row>
    <row r="1055" spans="1:6" x14ac:dyDescent="0.35">
      <c r="A1055" t="str">
        <v>TXN101053</v>
      </c>
      <c r="B1055">
        <f>_xlfn.XLOOKUP(clean_sales!P1055,Dim_Date!B:B,Dim_Date!A:A)</f>
        <v>20251215</v>
      </c>
      <c r="C1055">
        <f>_xlfn.XLOOKUP(clean_sales!C1055,Dim_Customer!B:B,Dim_Customer!A:A)</f>
        <v>349</v>
      </c>
      <c r="D1055">
        <f>_xlfn.XLOOKUP(clean_sales!I1055,Dim_Product!B:B,Dim_Product!A:A)</f>
        <v>4</v>
      </c>
      <c r="E1055">
        <f>clean_sales!L1055</f>
        <v>1</v>
      </c>
      <c r="F1055">
        <f>clean_sales!T1055</f>
        <v>4500</v>
      </c>
    </row>
    <row r="1056" spans="1:6" x14ac:dyDescent="0.35">
      <c r="A1056" t="str">
        <v>TXN101054</v>
      </c>
      <c r="B1056">
        <f>_xlfn.XLOOKUP(clean_sales!P1056,Dim_Date!B:B,Dim_Date!A:A)</f>
        <v>20251123</v>
      </c>
      <c r="C1056">
        <f>_xlfn.XLOOKUP(clean_sales!C1056,Dim_Customer!B:B,Dim_Customer!A:A)</f>
        <v>82</v>
      </c>
      <c r="D1056">
        <f>_xlfn.XLOOKUP(clean_sales!I1056,Dim_Product!B:B,Dim_Product!A:A)</f>
        <v>4</v>
      </c>
      <c r="E1056">
        <f>clean_sales!L1056</f>
        <v>3</v>
      </c>
      <c r="F1056">
        <f>clean_sales!T1056</f>
        <v>13500</v>
      </c>
    </row>
    <row r="1057" spans="1:6" x14ac:dyDescent="0.35">
      <c r="A1057" t="str">
        <v>TXN101055</v>
      </c>
      <c r="B1057">
        <f>_xlfn.XLOOKUP(clean_sales!P1057,Dim_Date!B:B,Dim_Date!A:A)</f>
        <v>20250809</v>
      </c>
      <c r="C1057">
        <f>_xlfn.XLOOKUP(clean_sales!C1057,Dim_Customer!B:B,Dim_Customer!A:A)</f>
        <v>85</v>
      </c>
      <c r="D1057">
        <f>_xlfn.XLOOKUP(clean_sales!I1057,Dim_Product!B:B,Dim_Product!A:A)</f>
        <v>6</v>
      </c>
      <c r="E1057">
        <f>clean_sales!L1057</f>
        <v>5</v>
      </c>
      <c r="F1057">
        <f>clean_sales!T1057</f>
        <v>360000</v>
      </c>
    </row>
    <row r="1058" spans="1:6" x14ac:dyDescent="0.35">
      <c r="A1058" t="str">
        <v>TXN101056</v>
      </c>
      <c r="B1058">
        <f>_xlfn.XLOOKUP(clean_sales!P1058,Dim_Date!B:B,Dim_Date!A:A)</f>
        <v>20250915</v>
      </c>
      <c r="C1058">
        <f>_xlfn.XLOOKUP(clean_sales!C1058,Dim_Customer!B:B,Dim_Customer!A:A)</f>
        <v>443</v>
      </c>
      <c r="D1058">
        <f>_xlfn.XLOOKUP(clean_sales!I1058,Dim_Product!B:B,Dim_Product!A:A)</f>
        <v>7</v>
      </c>
      <c r="E1058">
        <f>clean_sales!L1058</f>
        <v>5</v>
      </c>
      <c r="F1058">
        <f>clean_sales!T1058</f>
        <v>290000</v>
      </c>
    </row>
    <row r="1059" spans="1:6" x14ac:dyDescent="0.35">
      <c r="A1059" t="str">
        <v>TXN101057</v>
      </c>
      <c r="B1059">
        <f>_xlfn.XLOOKUP(clean_sales!P1059,Dim_Date!B:B,Dim_Date!A:A)</f>
        <v>20251003</v>
      </c>
      <c r="C1059">
        <f>_xlfn.XLOOKUP(clean_sales!C1059,Dim_Customer!B:B,Dim_Customer!A:A)</f>
        <v>656</v>
      </c>
      <c r="D1059">
        <f>_xlfn.XLOOKUP(clean_sales!I1059,Dim_Product!B:B,Dim_Product!A:A)</f>
        <v>6</v>
      </c>
      <c r="E1059">
        <f>clean_sales!L1059</f>
        <v>4</v>
      </c>
      <c r="F1059">
        <f>clean_sales!T1059</f>
        <v>288000</v>
      </c>
    </row>
    <row r="1060" spans="1:6" x14ac:dyDescent="0.35">
      <c r="A1060" t="str">
        <v>TXN101058</v>
      </c>
      <c r="B1060">
        <f>_xlfn.XLOOKUP(clean_sales!P1060,Dim_Date!B:B,Dim_Date!A:A)</f>
        <v>20250521</v>
      </c>
      <c r="C1060">
        <f>_xlfn.XLOOKUP(clean_sales!C1060,Dim_Customer!B:B,Dim_Customer!A:A)</f>
        <v>154</v>
      </c>
      <c r="D1060">
        <f>_xlfn.XLOOKUP(clean_sales!I1060,Dim_Product!B:B,Dim_Product!A:A)</f>
        <v>2</v>
      </c>
      <c r="E1060">
        <f>clean_sales!L1060</f>
        <v>1</v>
      </c>
      <c r="F1060">
        <f>clean_sales!T1060</f>
        <v>65000</v>
      </c>
    </row>
    <row r="1061" spans="1:6" x14ac:dyDescent="0.35">
      <c r="A1061" t="str">
        <v>TXN101059</v>
      </c>
      <c r="B1061">
        <f>_xlfn.XLOOKUP(clean_sales!P1061,Dim_Date!B:B,Dim_Date!A:A)</f>
        <v>20250216</v>
      </c>
      <c r="C1061">
        <f>_xlfn.XLOOKUP(clean_sales!C1061,Dim_Customer!B:B,Dim_Customer!A:A)</f>
        <v>514</v>
      </c>
      <c r="D1061">
        <f>_xlfn.XLOOKUP(clean_sales!I1061,Dim_Product!B:B,Dim_Product!A:A)</f>
        <v>2</v>
      </c>
      <c r="E1061">
        <f>clean_sales!L1061</f>
        <v>5</v>
      </c>
      <c r="F1061">
        <f>clean_sales!T1061</f>
        <v>325000</v>
      </c>
    </row>
    <row r="1062" spans="1:6" x14ac:dyDescent="0.35">
      <c r="A1062" t="str">
        <v>TXN101060</v>
      </c>
      <c r="B1062">
        <f>_xlfn.XLOOKUP(clean_sales!P1062,Dim_Date!B:B,Dim_Date!A:A)</f>
        <v>20250505</v>
      </c>
      <c r="C1062">
        <f>_xlfn.XLOOKUP(clean_sales!C1062,Dim_Customer!B:B,Dim_Customer!A:A)</f>
        <v>657</v>
      </c>
      <c r="D1062">
        <f>_xlfn.XLOOKUP(clean_sales!I1062,Dim_Product!B:B,Dim_Product!A:A)</f>
        <v>2</v>
      </c>
      <c r="E1062">
        <f>clean_sales!L1062</f>
        <v>5</v>
      </c>
      <c r="F1062">
        <f>clean_sales!T1062</f>
        <v>325000</v>
      </c>
    </row>
    <row r="1063" spans="1:6" x14ac:dyDescent="0.35">
      <c r="A1063" t="str">
        <v>TXN101061</v>
      </c>
      <c r="B1063">
        <f>_xlfn.XLOOKUP(clean_sales!P1063,Dim_Date!B:B,Dim_Date!A:A)</f>
        <v>20250418</v>
      </c>
      <c r="C1063">
        <f>_xlfn.XLOOKUP(clean_sales!C1063,Dim_Customer!B:B,Dim_Customer!A:A)</f>
        <v>235</v>
      </c>
      <c r="D1063">
        <f>_xlfn.XLOOKUP(clean_sales!I1063,Dim_Product!B:B,Dim_Product!A:A)</f>
        <v>1</v>
      </c>
      <c r="E1063">
        <f>clean_sales!L1063</f>
        <v>2</v>
      </c>
      <c r="F1063">
        <f>clean_sales!T1063</f>
        <v>24000</v>
      </c>
    </row>
    <row r="1064" spans="1:6" x14ac:dyDescent="0.35">
      <c r="A1064" t="str">
        <v>TXN101062</v>
      </c>
      <c r="B1064">
        <f>_xlfn.XLOOKUP(clean_sales!P1064,Dim_Date!B:B,Dim_Date!A:A)</f>
        <v>20250725</v>
      </c>
      <c r="C1064">
        <f>_xlfn.XLOOKUP(clean_sales!C1064,Dim_Customer!B:B,Dim_Customer!A:A)</f>
        <v>557</v>
      </c>
      <c r="D1064">
        <f>_xlfn.XLOOKUP(clean_sales!I1064,Dim_Product!B:B,Dim_Product!A:A)</f>
        <v>2</v>
      </c>
      <c r="E1064">
        <f>clean_sales!L1064</f>
        <v>5</v>
      </c>
      <c r="F1064">
        <f>clean_sales!T1064</f>
        <v>325000</v>
      </c>
    </row>
    <row r="1065" spans="1:6" x14ac:dyDescent="0.35">
      <c r="A1065" t="str">
        <v>TXN101063</v>
      </c>
      <c r="B1065">
        <f>_xlfn.XLOOKUP(clean_sales!P1065,Dim_Date!B:B,Dim_Date!A:A)</f>
        <v>20250726</v>
      </c>
      <c r="C1065">
        <f>_xlfn.XLOOKUP(clean_sales!C1065,Dim_Customer!B:B,Dim_Customer!A:A)</f>
        <v>484</v>
      </c>
      <c r="D1065">
        <f>_xlfn.XLOOKUP(clean_sales!I1065,Dim_Product!B:B,Dim_Product!A:A)</f>
        <v>3</v>
      </c>
      <c r="E1065">
        <f>clean_sales!L1065</f>
        <v>2</v>
      </c>
      <c r="F1065">
        <f>clean_sales!T1065</f>
        <v>10000</v>
      </c>
    </row>
    <row r="1066" spans="1:6" x14ac:dyDescent="0.35">
      <c r="A1066" t="str">
        <v>TXN101064</v>
      </c>
      <c r="B1066">
        <f>_xlfn.XLOOKUP(clean_sales!P1066,Dim_Date!B:B,Dim_Date!A:A)</f>
        <v>20251203</v>
      </c>
      <c r="C1066">
        <f>_xlfn.XLOOKUP(clean_sales!C1066,Dim_Customer!B:B,Dim_Customer!A:A)</f>
        <v>248</v>
      </c>
      <c r="D1066">
        <f>_xlfn.XLOOKUP(clean_sales!I1066,Dim_Product!B:B,Dim_Product!A:A)</f>
        <v>2</v>
      </c>
      <c r="E1066">
        <f>clean_sales!L1066</f>
        <v>1</v>
      </c>
      <c r="F1066">
        <f>clean_sales!T1066</f>
        <v>65000</v>
      </c>
    </row>
    <row r="1067" spans="1:6" x14ac:dyDescent="0.35">
      <c r="A1067" t="str">
        <v>TXN101065</v>
      </c>
      <c r="B1067">
        <f>_xlfn.XLOOKUP(clean_sales!P1067,Dim_Date!B:B,Dim_Date!A:A)</f>
        <v>20250529</v>
      </c>
      <c r="C1067">
        <f>_xlfn.XLOOKUP(clean_sales!C1067,Dim_Customer!B:B,Dim_Customer!A:A)</f>
        <v>447</v>
      </c>
      <c r="D1067">
        <f>_xlfn.XLOOKUP(clean_sales!I1067,Dim_Product!B:B,Dim_Product!A:A)</f>
        <v>6</v>
      </c>
      <c r="E1067">
        <f>clean_sales!L1067</f>
        <v>2</v>
      </c>
      <c r="F1067">
        <f>clean_sales!T1067</f>
        <v>144000</v>
      </c>
    </row>
    <row r="1068" spans="1:6" x14ac:dyDescent="0.35">
      <c r="A1068" t="str">
        <v>TXN101066</v>
      </c>
      <c r="B1068">
        <f>_xlfn.XLOOKUP(clean_sales!P1068,Dim_Date!B:B,Dim_Date!A:A)</f>
        <v>20250128</v>
      </c>
      <c r="C1068">
        <f>_xlfn.XLOOKUP(clean_sales!C1068,Dim_Customer!B:B,Dim_Customer!A:A)</f>
        <v>493</v>
      </c>
      <c r="D1068">
        <f>_xlfn.XLOOKUP(clean_sales!I1068,Dim_Product!B:B,Dim_Product!A:A)</f>
        <v>4</v>
      </c>
      <c r="E1068">
        <f>clean_sales!L1068</f>
        <v>4</v>
      </c>
      <c r="F1068">
        <f>clean_sales!T1068</f>
        <v>18000</v>
      </c>
    </row>
    <row r="1069" spans="1:6" x14ac:dyDescent="0.35">
      <c r="A1069" t="str">
        <v>TXN101067</v>
      </c>
      <c r="B1069">
        <f>_xlfn.XLOOKUP(clean_sales!P1069,Dim_Date!B:B,Dim_Date!A:A)</f>
        <v>20251011</v>
      </c>
      <c r="C1069">
        <f>_xlfn.XLOOKUP(clean_sales!C1069,Dim_Customer!B:B,Dim_Customer!A:A)</f>
        <v>340</v>
      </c>
      <c r="D1069">
        <f>_xlfn.XLOOKUP(clean_sales!I1069,Dim_Product!B:B,Dim_Product!A:A)</f>
        <v>2</v>
      </c>
      <c r="E1069">
        <f>clean_sales!L1069</f>
        <v>3</v>
      </c>
      <c r="F1069">
        <f>clean_sales!T1069</f>
        <v>195000</v>
      </c>
    </row>
    <row r="1070" spans="1:6" x14ac:dyDescent="0.35">
      <c r="A1070" t="str">
        <v>TXN101068</v>
      </c>
      <c r="B1070">
        <f>_xlfn.XLOOKUP(clean_sales!P1070,Dim_Date!B:B,Dim_Date!A:A)</f>
        <v>20251223</v>
      </c>
      <c r="C1070">
        <f>_xlfn.XLOOKUP(clean_sales!C1070,Dim_Customer!B:B,Dim_Customer!A:A)</f>
        <v>201</v>
      </c>
      <c r="D1070">
        <f>_xlfn.XLOOKUP(clean_sales!I1070,Dim_Product!B:B,Dim_Product!A:A)</f>
        <v>2</v>
      </c>
      <c r="E1070">
        <f>clean_sales!L1070</f>
        <v>3</v>
      </c>
      <c r="F1070">
        <f>clean_sales!T1070</f>
        <v>195000</v>
      </c>
    </row>
    <row r="1071" spans="1:6" x14ac:dyDescent="0.35">
      <c r="A1071" t="str">
        <v>TXN101069</v>
      </c>
      <c r="B1071">
        <f>_xlfn.XLOOKUP(clean_sales!P1071,Dim_Date!B:B,Dim_Date!A:A)</f>
        <v>20251027</v>
      </c>
      <c r="C1071">
        <f>_xlfn.XLOOKUP(clean_sales!C1071,Dim_Customer!B:B,Dim_Customer!A:A)</f>
        <v>658</v>
      </c>
      <c r="D1071">
        <f>_xlfn.XLOOKUP(clean_sales!I1071,Dim_Product!B:B,Dim_Product!A:A)</f>
        <v>4</v>
      </c>
      <c r="E1071">
        <f>clean_sales!L1071</f>
        <v>4</v>
      </c>
      <c r="F1071">
        <f>clean_sales!T1071</f>
        <v>18000</v>
      </c>
    </row>
    <row r="1072" spans="1:6" x14ac:dyDescent="0.35">
      <c r="A1072" t="str">
        <v>TXN101070</v>
      </c>
      <c r="B1072">
        <f>_xlfn.XLOOKUP(clean_sales!P1072,Dim_Date!B:B,Dim_Date!A:A)</f>
        <v>20250510</v>
      </c>
      <c r="C1072">
        <f>_xlfn.XLOOKUP(clean_sales!C1072,Dim_Customer!B:B,Dim_Customer!A:A)</f>
        <v>364</v>
      </c>
      <c r="D1072">
        <f>_xlfn.XLOOKUP(clean_sales!I1072,Dim_Product!B:B,Dim_Product!A:A)</f>
        <v>1</v>
      </c>
      <c r="E1072">
        <f>clean_sales!L1072</f>
        <v>3</v>
      </c>
      <c r="F1072">
        <f>clean_sales!T1072</f>
        <v>36000</v>
      </c>
    </row>
    <row r="1073" spans="1:6" x14ac:dyDescent="0.35">
      <c r="A1073" t="str">
        <v>TXN101071</v>
      </c>
      <c r="B1073">
        <f>_xlfn.XLOOKUP(clean_sales!P1073,Dim_Date!B:B,Dim_Date!A:A)</f>
        <v>20250806</v>
      </c>
      <c r="C1073">
        <f>_xlfn.XLOOKUP(clean_sales!C1073,Dim_Customer!B:B,Dim_Customer!A:A)</f>
        <v>316</v>
      </c>
      <c r="D1073">
        <f>_xlfn.XLOOKUP(clean_sales!I1073,Dim_Product!B:B,Dim_Product!A:A)</f>
        <v>6</v>
      </c>
      <c r="E1073">
        <f>clean_sales!L1073</f>
        <v>2</v>
      </c>
      <c r="F1073">
        <f>clean_sales!T1073</f>
        <v>144000</v>
      </c>
    </row>
    <row r="1074" spans="1:6" x14ac:dyDescent="0.35">
      <c r="A1074" t="str">
        <v>TXN101072</v>
      </c>
      <c r="B1074">
        <f>_xlfn.XLOOKUP(clean_sales!P1074,Dim_Date!B:B,Dim_Date!A:A)</f>
        <v>20251118</v>
      </c>
      <c r="C1074">
        <f>_xlfn.XLOOKUP(clean_sales!C1074,Dim_Customer!B:B,Dim_Customer!A:A)</f>
        <v>112</v>
      </c>
      <c r="D1074">
        <f>_xlfn.XLOOKUP(clean_sales!I1074,Dim_Product!B:B,Dim_Product!A:A)</f>
        <v>6</v>
      </c>
      <c r="E1074">
        <f>clean_sales!L1074</f>
        <v>5</v>
      </c>
      <c r="F1074">
        <f>clean_sales!T1074</f>
        <v>360000</v>
      </c>
    </row>
    <row r="1075" spans="1:6" x14ac:dyDescent="0.35">
      <c r="A1075" t="str">
        <v>TXN101073</v>
      </c>
      <c r="B1075">
        <f>_xlfn.XLOOKUP(clean_sales!P1075,Dim_Date!B:B,Dim_Date!A:A)</f>
        <v>20250625</v>
      </c>
      <c r="C1075">
        <f>_xlfn.XLOOKUP(clean_sales!C1075,Dim_Customer!B:B,Dim_Customer!A:A)</f>
        <v>659</v>
      </c>
      <c r="D1075">
        <f>_xlfn.XLOOKUP(clean_sales!I1075,Dim_Product!B:B,Dim_Product!A:A)</f>
        <v>4</v>
      </c>
      <c r="E1075">
        <f>clean_sales!L1075</f>
        <v>1</v>
      </c>
      <c r="F1075">
        <f>clean_sales!T1075</f>
        <v>4500</v>
      </c>
    </row>
    <row r="1076" spans="1:6" x14ac:dyDescent="0.35">
      <c r="A1076" t="str">
        <v>TXN101074</v>
      </c>
      <c r="B1076">
        <f>_xlfn.XLOOKUP(clean_sales!P1076,Dim_Date!B:B,Dim_Date!A:A)</f>
        <v>20250723</v>
      </c>
      <c r="C1076">
        <f>_xlfn.XLOOKUP(clean_sales!C1076,Dim_Customer!B:B,Dim_Customer!A:A)</f>
        <v>225</v>
      </c>
      <c r="D1076">
        <f>_xlfn.XLOOKUP(clean_sales!I1076,Dim_Product!B:B,Dim_Product!A:A)</f>
        <v>5</v>
      </c>
      <c r="E1076">
        <f>clean_sales!L1076</f>
        <v>2</v>
      </c>
      <c r="F1076">
        <f>clean_sales!T1076</f>
        <v>3600</v>
      </c>
    </row>
    <row r="1077" spans="1:6" x14ac:dyDescent="0.35">
      <c r="A1077" t="str">
        <v>TXN101075</v>
      </c>
      <c r="B1077">
        <f>_xlfn.XLOOKUP(clean_sales!P1077,Dim_Date!B:B,Dim_Date!A:A)</f>
        <v>20250426</v>
      </c>
      <c r="C1077">
        <f>_xlfn.XLOOKUP(clean_sales!C1077,Dim_Customer!B:B,Dim_Customer!A:A)</f>
        <v>643</v>
      </c>
      <c r="D1077">
        <f>_xlfn.XLOOKUP(clean_sales!I1077,Dim_Product!B:B,Dim_Product!A:A)</f>
        <v>1</v>
      </c>
      <c r="E1077">
        <f>clean_sales!L1077</f>
        <v>5</v>
      </c>
      <c r="F1077">
        <f>clean_sales!T1077</f>
        <v>60000</v>
      </c>
    </row>
    <row r="1078" spans="1:6" x14ac:dyDescent="0.35">
      <c r="A1078" t="str">
        <v>TXN101076</v>
      </c>
      <c r="B1078">
        <f>_xlfn.XLOOKUP(clean_sales!P1078,Dim_Date!B:B,Dim_Date!A:A)</f>
        <v>20250516</v>
      </c>
      <c r="C1078">
        <f>_xlfn.XLOOKUP(clean_sales!C1078,Dim_Customer!B:B,Dim_Customer!A:A)</f>
        <v>302</v>
      </c>
      <c r="D1078">
        <f>_xlfn.XLOOKUP(clean_sales!I1078,Dim_Product!B:B,Dim_Product!A:A)</f>
        <v>2</v>
      </c>
      <c r="E1078">
        <f>clean_sales!L1078</f>
        <v>1</v>
      </c>
      <c r="F1078">
        <f>clean_sales!T1078</f>
        <v>65000</v>
      </c>
    </row>
    <row r="1079" spans="1:6" x14ac:dyDescent="0.35">
      <c r="A1079" t="str">
        <v>TXN101077</v>
      </c>
      <c r="B1079">
        <f>_xlfn.XLOOKUP(clean_sales!P1079,Dim_Date!B:B,Dim_Date!A:A)</f>
        <v>20250226</v>
      </c>
      <c r="C1079">
        <f>_xlfn.XLOOKUP(clean_sales!C1079,Dim_Customer!B:B,Dim_Customer!A:A)</f>
        <v>411</v>
      </c>
      <c r="D1079">
        <f>_xlfn.XLOOKUP(clean_sales!I1079,Dim_Product!B:B,Dim_Product!A:A)</f>
        <v>5</v>
      </c>
      <c r="E1079">
        <f>clean_sales!L1079</f>
        <v>5</v>
      </c>
      <c r="F1079">
        <f>clean_sales!T1079</f>
        <v>9000</v>
      </c>
    </row>
    <row r="1080" spans="1:6" x14ac:dyDescent="0.35">
      <c r="A1080" t="str">
        <v>TXN101078</v>
      </c>
      <c r="B1080">
        <f>_xlfn.XLOOKUP(clean_sales!P1080,Dim_Date!B:B,Dim_Date!A:A)</f>
        <v>20250328</v>
      </c>
      <c r="C1080">
        <f>_xlfn.XLOOKUP(clean_sales!C1080,Dim_Customer!B:B,Dim_Customer!A:A)</f>
        <v>321</v>
      </c>
      <c r="D1080">
        <f>_xlfn.XLOOKUP(clean_sales!I1080,Dim_Product!B:B,Dim_Product!A:A)</f>
        <v>4</v>
      </c>
      <c r="E1080">
        <f>clean_sales!L1080</f>
        <v>3</v>
      </c>
      <c r="F1080">
        <f>clean_sales!T1080</f>
        <v>13500</v>
      </c>
    </row>
    <row r="1081" spans="1:6" x14ac:dyDescent="0.35">
      <c r="A1081" t="str">
        <v>TXN101079</v>
      </c>
      <c r="B1081">
        <f>_xlfn.XLOOKUP(clean_sales!P1081,Dim_Date!B:B,Dim_Date!A:A)</f>
        <v>20251112</v>
      </c>
      <c r="C1081">
        <f>_xlfn.XLOOKUP(clean_sales!C1081,Dim_Customer!B:B,Dim_Customer!A:A)</f>
        <v>536</v>
      </c>
      <c r="D1081">
        <f>_xlfn.XLOOKUP(clean_sales!I1081,Dim_Product!B:B,Dim_Product!A:A)</f>
        <v>3</v>
      </c>
      <c r="E1081">
        <f>clean_sales!L1081</f>
        <v>3</v>
      </c>
      <c r="F1081">
        <f>clean_sales!T1081</f>
        <v>15000</v>
      </c>
    </row>
    <row r="1082" spans="1:6" x14ac:dyDescent="0.35">
      <c r="A1082" t="str">
        <v>TXN101080</v>
      </c>
      <c r="B1082">
        <f>_xlfn.XLOOKUP(clean_sales!P1082,Dim_Date!B:B,Dim_Date!A:A)</f>
        <v>20250929</v>
      </c>
      <c r="C1082">
        <f>_xlfn.XLOOKUP(clean_sales!C1082,Dim_Customer!B:B,Dim_Customer!A:A)</f>
        <v>494</v>
      </c>
      <c r="D1082">
        <f>_xlfn.XLOOKUP(clean_sales!I1082,Dim_Product!B:B,Dim_Product!A:A)</f>
        <v>2</v>
      </c>
      <c r="E1082">
        <f>clean_sales!L1082</f>
        <v>5</v>
      </c>
      <c r="F1082">
        <f>clean_sales!T1082</f>
        <v>325000</v>
      </c>
    </row>
    <row r="1083" spans="1:6" x14ac:dyDescent="0.35">
      <c r="A1083" t="str">
        <v>TXN101081</v>
      </c>
      <c r="B1083">
        <f>_xlfn.XLOOKUP(clean_sales!P1083,Dim_Date!B:B,Dim_Date!A:A)</f>
        <v>20251228</v>
      </c>
      <c r="C1083">
        <f>_xlfn.XLOOKUP(clean_sales!C1083,Dim_Customer!B:B,Dim_Customer!A:A)</f>
        <v>643</v>
      </c>
      <c r="D1083">
        <f>_xlfn.XLOOKUP(clean_sales!I1083,Dim_Product!B:B,Dim_Product!A:A)</f>
        <v>7</v>
      </c>
      <c r="E1083">
        <f>clean_sales!L1083</f>
        <v>4</v>
      </c>
      <c r="F1083">
        <f>clean_sales!T1083</f>
        <v>232000</v>
      </c>
    </row>
    <row r="1084" spans="1:6" x14ac:dyDescent="0.35">
      <c r="A1084" t="str">
        <v>TXN101082</v>
      </c>
      <c r="B1084">
        <f>_xlfn.XLOOKUP(clean_sales!P1084,Dim_Date!B:B,Dim_Date!A:A)</f>
        <v>20250121</v>
      </c>
      <c r="C1084">
        <f>_xlfn.XLOOKUP(clean_sales!C1084,Dim_Customer!B:B,Dim_Customer!A:A)</f>
        <v>106</v>
      </c>
      <c r="D1084">
        <f>_xlfn.XLOOKUP(clean_sales!I1084,Dim_Product!B:B,Dim_Product!A:A)</f>
        <v>4</v>
      </c>
      <c r="E1084">
        <f>clean_sales!L1084</f>
        <v>2</v>
      </c>
      <c r="F1084">
        <f>clean_sales!T1084</f>
        <v>9000</v>
      </c>
    </row>
    <row r="1085" spans="1:6" x14ac:dyDescent="0.35">
      <c r="A1085" t="str">
        <v>TXN101083</v>
      </c>
      <c r="B1085">
        <f>_xlfn.XLOOKUP(clean_sales!P1085,Dim_Date!B:B,Dim_Date!A:A)</f>
        <v>20250414</v>
      </c>
      <c r="C1085">
        <f>_xlfn.XLOOKUP(clean_sales!C1085,Dim_Customer!B:B,Dim_Customer!A:A)</f>
        <v>648</v>
      </c>
      <c r="D1085">
        <f>_xlfn.XLOOKUP(clean_sales!I1085,Dim_Product!B:B,Dim_Product!A:A)</f>
        <v>3</v>
      </c>
      <c r="E1085">
        <f>clean_sales!L1085</f>
        <v>1</v>
      </c>
      <c r="F1085">
        <f>clean_sales!T1085</f>
        <v>5000</v>
      </c>
    </row>
    <row r="1086" spans="1:6" x14ac:dyDescent="0.35">
      <c r="A1086" t="str">
        <v>TXN101084</v>
      </c>
      <c r="B1086">
        <f>_xlfn.XLOOKUP(clean_sales!P1086,Dim_Date!B:B,Dim_Date!A:A)</f>
        <v>20251007</v>
      </c>
      <c r="C1086">
        <f>_xlfn.XLOOKUP(clean_sales!C1086,Dim_Customer!B:B,Dim_Customer!A:A)</f>
        <v>39</v>
      </c>
      <c r="D1086">
        <f>_xlfn.XLOOKUP(clean_sales!I1086,Dim_Product!B:B,Dim_Product!A:A)</f>
        <v>7</v>
      </c>
      <c r="E1086">
        <f>clean_sales!L1086</f>
        <v>1</v>
      </c>
      <c r="F1086">
        <f>clean_sales!T1086</f>
        <v>58000</v>
      </c>
    </row>
    <row r="1087" spans="1:6" x14ac:dyDescent="0.35">
      <c r="A1087" t="str">
        <v>TXN101085</v>
      </c>
      <c r="B1087">
        <f>_xlfn.XLOOKUP(clean_sales!P1087,Dim_Date!B:B,Dim_Date!A:A)</f>
        <v>20251211</v>
      </c>
      <c r="C1087">
        <f>_xlfn.XLOOKUP(clean_sales!C1087,Dim_Customer!B:B,Dim_Customer!A:A)</f>
        <v>589</v>
      </c>
      <c r="D1087">
        <f>_xlfn.XLOOKUP(clean_sales!I1087,Dim_Product!B:B,Dim_Product!A:A)</f>
        <v>6</v>
      </c>
      <c r="E1087">
        <f>clean_sales!L1087</f>
        <v>2</v>
      </c>
      <c r="F1087">
        <f>clean_sales!T1087</f>
        <v>144000</v>
      </c>
    </row>
    <row r="1088" spans="1:6" x14ac:dyDescent="0.35">
      <c r="A1088" t="str">
        <v>TXN101086</v>
      </c>
      <c r="B1088">
        <f>_xlfn.XLOOKUP(clean_sales!P1088,Dim_Date!B:B,Dim_Date!A:A)</f>
        <v>20250629</v>
      </c>
      <c r="C1088">
        <f>_xlfn.XLOOKUP(clean_sales!C1088,Dim_Customer!B:B,Dim_Customer!A:A)</f>
        <v>470</v>
      </c>
      <c r="D1088">
        <f>_xlfn.XLOOKUP(clean_sales!I1088,Dim_Product!B:B,Dim_Product!A:A)</f>
        <v>4</v>
      </c>
      <c r="E1088">
        <f>clean_sales!L1088</f>
        <v>5</v>
      </c>
      <c r="F1088">
        <f>clean_sales!T1088</f>
        <v>22500</v>
      </c>
    </row>
    <row r="1089" spans="1:6" x14ac:dyDescent="0.35">
      <c r="A1089" t="str">
        <v>TXN101087</v>
      </c>
      <c r="B1089">
        <f>_xlfn.XLOOKUP(clean_sales!P1089,Dim_Date!B:B,Dim_Date!A:A)</f>
        <v>20250624</v>
      </c>
      <c r="C1089">
        <f>_xlfn.XLOOKUP(clean_sales!C1089,Dim_Customer!B:B,Dim_Customer!A:A)</f>
        <v>343</v>
      </c>
      <c r="D1089">
        <f>_xlfn.XLOOKUP(clean_sales!I1089,Dim_Product!B:B,Dim_Product!A:A)</f>
        <v>7</v>
      </c>
      <c r="E1089">
        <f>clean_sales!L1089</f>
        <v>3</v>
      </c>
      <c r="F1089">
        <f>clean_sales!T1089</f>
        <v>174000</v>
      </c>
    </row>
    <row r="1090" spans="1:6" x14ac:dyDescent="0.35">
      <c r="A1090" t="str">
        <v>TXN101088</v>
      </c>
      <c r="B1090">
        <f>_xlfn.XLOOKUP(clean_sales!P1090,Dim_Date!B:B,Dim_Date!A:A)</f>
        <v>20250422</v>
      </c>
      <c r="C1090">
        <f>_xlfn.XLOOKUP(clean_sales!C1090,Dim_Customer!B:B,Dim_Customer!A:A)</f>
        <v>660</v>
      </c>
      <c r="D1090">
        <f>_xlfn.XLOOKUP(clean_sales!I1090,Dim_Product!B:B,Dim_Product!A:A)</f>
        <v>5</v>
      </c>
      <c r="E1090">
        <f>clean_sales!L1090</f>
        <v>1</v>
      </c>
      <c r="F1090">
        <f>clean_sales!T1090</f>
        <v>1800</v>
      </c>
    </row>
    <row r="1091" spans="1:6" x14ac:dyDescent="0.35">
      <c r="A1091" t="str">
        <v>TXN101089</v>
      </c>
      <c r="B1091">
        <f>_xlfn.XLOOKUP(clean_sales!P1091,Dim_Date!B:B,Dim_Date!A:A)</f>
        <v>20250221</v>
      </c>
      <c r="C1091">
        <f>_xlfn.XLOOKUP(clean_sales!C1091,Dim_Customer!B:B,Dim_Customer!A:A)</f>
        <v>661</v>
      </c>
      <c r="D1091">
        <f>_xlfn.XLOOKUP(clean_sales!I1091,Dim_Product!B:B,Dim_Product!A:A)</f>
        <v>6</v>
      </c>
      <c r="E1091">
        <f>clean_sales!L1091</f>
        <v>5</v>
      </c>
      <c r="F1091">
        <f>clean_sales!T1091</f>
        <v>360000</v>
      </c>
    </row>
    <row r="1092" spans="1:6" x14ac:dyDescent="0.35">
      <c r="A1092" t="str">
        <v>TXN101090</v>
      </c>
      <c r="B1092">
        <f>_xlfn.XLOOKUP(clean_sales!P1092,Dim_Date!B:B,Dim_Date!A:A)</f>
        <v>20250117</v>
      </c>
      <c r="C1092">
        <f>_xlfn.XLOOKUP(clean_sales!C1092,Dim_Customer!B:B,Dim_Customer!A:A)</f>
        <v>101</v>
      </c>
      <c r="D1092">
        <f>_xlfn.XLOOKUP(clean_sales!I1092,Dim_Product!B:B,Dim_Product!A:A)</f>
        <v>4</v>
      </c>
      <c r="E1092">
        <f>clean_sales!L1092</f>
        <v>1</v>
      </c>
      <c r="F1092">
        <f>clean_sales!T1092</f>
        <v>4500</v>
      </c>
    </row>
    <row r="1093" spans="1:6" x14ac:dyDescent="0.35">
      <c r="A1093" t="str">
        <v>TXN101091</v>
      </c>
      <c r="B1093">
        <f>_xlfn.XLOOKUP(clean_sales!P1093,Dim_Date!B:B,Dim_Date!A:A)</f>
        <v>20250915</v>
      </c>
      <c r="C1093">
        <f>_xlfn.XLOOKUP(clean_sales!C1093,Dim_Customer!B:B,Dim_Customer!A:A)</f>
        <v>662</v>
      </c>
      <c r="D1093">
        <f>_xlfn.XLOOKUP(clean_sales!I1093,Dim_Product!B:B,Dim_Product!A:A)</f>
        <v>7</v>
      </c>
      <c r="E1093">
        <f>clean_sales!L1093</f>
        <v>2</v>
      </c>
      <c r="F1093">
        <f>clean_sales!T1093</f>
        <v>116000</v>
      </c>
    </row>
    <row r="1094" spans="1:6" x14ac:dyDescent="0.35">
      <c r="A1094" t="str">
        <v>TXN101092</v>
      </c>
      <c r="B1094">
        <f>_xlfn.XLOOKUP(clean_sales!P1094,Dim_Date!B:B,Dim_Date!A:A)</f>
        <v>20250106</v>
      </c>
      <c r="C1094">
        <f>_xlfn.XLOOKUP(clean_sales!C1094,Dim_Customer!B:B,Dim_Customer!A:A)</f>
        <v>411</v>
      </c>
      <c r="D1094">
        <f>_xlfn.XLOOKUP(clean_sales!I1094,Dim_Product!B:B,Dim_Product!A:A)</f>
        <v>4</v>
      </c>
      <c r="E1094">
        <f>clean_sales!L1094</f>
        <v>3</v>
      </c>
      <c r="F1094">
        <f>clean_sales!T1094</f>
        <v>13500</v>
      </c>
    </row>
    <row r="1095" spans="1:6" x14ac:dyDescent="0.35">
      <c r="A1095" t="str">
        <v>TXN101093</v>
      </c>
      <c r="B1095">
        <f>_xlfn.XLOOKUP(clean_sales!P1095,Dim_Date!B:B,Dim_Date!A:A)</f>
        <v>20250530</v>
      </c>
      <c r="C1095">
        <f>_xlfn.XLOOKUP(clean_sales!C1095,Dim_Customer!B:B,Dim_Customer!A:A)</f>
        <v>447</v>
      </c>
      <c r="D1095">
        <f>_xlfn.XLOOKUP(clean_sales!I1095,Dim_Product!B:B,Dim_Product!A:A)</f>
        <v>2</v>
      </c>
      <c r="E1095">
        <f>clean_sales!L1095</f>
        <v>3</v>
      </c>
      <c r="F1095">
        <f>clean_sales!T1095</f>
        <v>195000</v>
      </c>
    </row>
    <row r="1096" spans="1:6" x14ac:dyDescent="0.35">
      <c r="A1096" t="str">
        <v>TXN101094</v>
      </c>
      <c r="B1096">
        <f>_xlfn.XLOOKUP(clean_sales!P1096,Dim_Date!B:B,Dim_Date!A:A)</f>
        <v>20250328</v>
      </c>
      <c r="C1096">
        <f>_xlfn.XLOOKUP(clean_sales!C1096,Dim_Customer!B:B,Dim_Customer!A:A)</f>
        <v>663</v>
      </c>
      <c r="D1096">
        <f>_xlfn.XLOOKUP(clean_sales!I1096,Dim_Product!B:B,Dim_Product!A:A)</f>
        <v>2</v>
      </c>
      <c r="E1096">
        <f>clean_sales!L1096</f>
        <v>5</v>
      </c>
      <c r="F1096">
        <f>clean_sales!T1096</f>
        <v>325000</v>
      </c>
    </row>
    <row r="1097" spans="1:6" x14ac:dyDescent="0.35">
      <c r="A1097" t="str">
        <v>TXN101095</v>
      </c>
      <c r="B1097">
        <f>_xlfn.XLOOKUP(clean_sales!P1097,Dim_Date!B:B,Dim_Date!A:A)</f>
        <v>20250628</v>
      </c>
      <c r="C1097">
        <f>_xlfn.XLOOKUP(clean_sales!C1097,Dim_Customer!B:B,Dim_Customer!A:A)</f>
        <v>664</v>
      </c>
      <c r="D1097">
        <f>_xlfn.XLOOKUP(clean_sales!I1097,Dim_Product!B:B,Dim_Product!A:A)</f>
        <v>6</v>
      </c>
      <c r="E1097">
        <f>clean_sales!L1097</f>
        <v>1</v>
      </c>
      <c r="F1097">
        <f>clean_sales!T1097</f>
        <v>72000</v>
      </c>
    </row>
    <row r="1098" spans="1:6" x14ac:dyDescent="0.35">
      <c r="A1098" t="str">
        <v>TXN101096</v>
      </c>
      <c r="B1098">
        <f>_xlfn.XLOOKUP(clean_sales!P1098,Dim_Date!B:B,Dim_Date!A:A)</f>
        <v>20251110</v>
      </c>
      <c r="C1098">
        <f>_xlfn.XLOOKUP(clean_sales!C1098,Dim_Customer!B:B,Dim_Customer!A:A)</f>
        <v>310</v>
      </c>
      <c r="D1098">
        <f>_xlfn.XLOOKUP(clean_sales!I1098,Dim_Product!B:B,Dim_Product!A:A)</f>
        <v>1</v>
      </c>
      <c r="E1098">
        <f>clean_sales!L1098</f>
        <v>3</v>
      </c>
      <c r="F1098">
        <f>clean_sales!T1098</f>
        <v>36000</v>
      </c>
    </row>
    <row r="1099" spans="1:6" x14ac:dyDescent="0.35">
      <c r="A1099" t="str">
        <v>TXN101097</v>
      </c>
      <c r="B1099">
        <f>_xlfn.XLOOKUP(clean_sales!P1099,Dim_Date!B:B,Dim_Date!A:A)</f>
        <v>20250130</v>
      </c>
      <c r="C1099">
        <f>_xlfn.XLOOKUP(clean_sales!C1099,Dim_Customer!B:B,Dim_Customer!A:A)</f>
        <v>427</v>
      </c>
      <c r="D1099">
        <f>_xlfn.XLOOKUP(clean_sales!I1099,Dim_Product!B:B,Dim_Product!A:A)</f>
        <v>5</v>
      </c>
      <c r="E1099">
        <f>clean_sales!L1099</f>
        <v>2</v>
      </c>
      <c r="F1099">
        <f>clean_sales!T1099</f>
        <v>3600</v>
      </c>
    </row>
    <row r="1100" spans="1:6" x14ac:dyDescent="0.35">
      <c r="A1100" t="str">
        <v>TXN101098</v>
      </c>
      <c r="B1100">
        <f>_xlfn.XLOOKUP(clean_sales!P1100,Dim_Date!B:B,Dim_Date!A:A)</f>
        <v>20250620</v>
      </c>
      <c r="C1100">
        <f>_xlfn.XLOOKUP(clean_sales!C1100,Dim_Customer!B:B,Dim_Customer!A:A)</f>
        <v>541</v>
      </c>
      <c r="D1100">
        <f>_xlfn.XLOOKUP(clean_sales!I1100,Dim_Product!B:B,Dim_Product!A:A)</f>
        <v>7</v>
      </c>
      <c r="E1100">
        <f>clean_sales!L1100</f>
        <v>1</v>
      </c>
      <c r="F1100">
        <f>clean_sales!T1100</f>
        <v>58000</v>
      </c>
    </row>
    <row r="1101" spans="1:6" x14ac:dyDescent="0.35">
      <c r="A1101" t="str">
        <v>TXN101099</v>
      </c>
      <c r="B1101">
        <f>_xlfn.XLOOKUP(clean_sales!P1101,Dim_Date!B:B,Dim_Date!A:A)</f>
        <v>20250125</v>
      </c>
      <c r="C1101">
        <f>_xlfn.XLOOKUP(clean_sales!C1101,Dim_Customer!B:B,Dim_Customer!A:A)</f>
        <v>568</v>
      </c>
      <c r="D1101">
        <f>_xlfn.XLOOKUP(clean_sales!I1101,Dim_Product!B:B,Dim_Product!A:A)</f>
        <v>5</v>
      </c>
      <c r="E1101">
        <f>clean_sales!L1101</f>
        <v>1</v>
      </c>
      <c r="F1101">
        <f>clean_sales!T1101</f>
        <v>1800</v>
      </c>
    </row>
    <row r="1102" spans="1:6" x14ac:dyDescent="0.35">
      <c r="A1102" t="str">
        <v>TXN101100</v>
      </c>
      <c r="B1102">
        <f>_xlfn.XLOOKUP(clean_sales!P1102,Dim_Date!B:B,Dim_Date!A:A)</f>
        <v>20250721</v>
      </c>
      <c r="C1102">
        <f>_xlfn.XLOOKUP(clean_sales!C1102,Dim_Customer!B:B,Dim_Customer!A:A)</f>
        <v>665</v>
      </c>
      <c r="D1102">
        <f>_xlfn.XLOOKUP(clean_sales!I1102,Dim_Product!B:B,Dim_Product!A:A)</f>
        <v>3</v>
      </c>
      <c r="E1102">
        <f>clean_sales!L1102</f>
        <v>5</v>
      </c>
      <c r="F1102">
        <f>clean_sales!T1102</f>
        <v>25000</v>
      </c>
    </row>
    <row r="1103" spans="1:6" x14ac:dyDescent="0.35">
      <c r="A1103" t="str">
        <v>TXN101101</v>
      </c>
      <c r="B1103">
        <f>_xlfn.XLOOKUP(clean_sales!P1103,Dim_Date!B:B,Dim_Date!A:A)</f>
        <v>20250801</v>
      </c>
      <c r="C1103">
        <f>_xlfn.XLOOKUP(clean_sales!C1103,Dim_Customer!B:B,Dim_Customer!A:A)</f>
        <v>348</v>
      </c>
      <c r="D1103">
        <f>_xlfn.XLOOKUP(clean_sales!I1103,Dim_Product!B:B,Dim_Product!A:A)</f>
        <v>4</v>
      </c>
      <c r="E1103">
        <f>clean_sales!L1103</f>
        <v>4</v>
      </c>
      <c r="F1103">
        <f>clean_sales!T1103</f>
        <v>18000</v>
      </c>
    </row>
    <row r="1104" spans="1:6" x14ac:dyDescent="0.35">
      <c r="A1104" t="str">
        <v>TXN101102</v>
      </c>
      <c r="B1104">
        <f>_xlfn.XLOOKUP(clean_sales!P1104,Dim_Date!B:B,Dim_Date!A:A)</f>
        <v>20250412</v>
      </c>
      <c r="C1104">
        <f>_xlfn.XLOOKUP(clean_sales!C1104,Dim_Customer!B:B,Dim_Customer!A:A)</f>
        <v>328</v>
      </c>
      <c r="D1104">
        <f>_xlfn.XLOOKUP(clean_sales!I1104,Dim_Product!B:B,Dim_Product!A:A)</f>
        <v>7</v>
      </c>
      <c r="E1104">
        <f>clean_sales!L1104</f>
        <v>3</v>
      </c>
      <c r="F1104">
        <f>clean_sales!T1104</f>
        <v>174000</v>
      </c>
    </row>
    <row r="1105" spans="1:6" x14ac:dyDescent="0.35">
      <c r="A1105" t="str">
        <v>TXN101103</v>
      </c>
      <c r="B1105">
        <f>_xlfn.XLOOKUP(clean_sales!P1105,Dim_Date!B:B,Dim_Date!A:A)</f>
        <v>20251129</v>
      </c>
      <c r="C1105">
        <f>_xlfn.XLOOKUP(clean_sales!C1105,Dim_Customer!B:B,Dim_Customer!A:A)</f>
        <v>498</v>
      </c>
      <c r="D1105">
        <f>_xlfn.XLOOKUP(clean_sales!I1105,Dim_Product!B:B,Dim_Product!A:A)</f>
        <v>2</v>
      </c>
      <c r="E1105">
        <f>clean_sales!L1105</f>
        <v>5</v>
      </c>
      <c r="F1105">
        <f>clean_sales!T1105</f>
        <v>325000</v>
      </c>
    </row>
    <row r="1106" spans="1:6" x14ac:dyDescent="0.35">
      <c r="A1106" t="str">
        <v>TXN101104</v>
      </c>
      <c r="B1106">
        <f>_xlfn.XLOOKUP(clean_sales!P1106,Dim_Date!B:B,Dim_Date!A:A)</f>
        <v>20251019</v>
      </c>
      <c r="C1106">
        <f>_xlfn.XLOOKUP(clean_sales!C1106,Dim_Customer!B:B,Dim_Customer!A:A)</f>
        <v>253</v>
      </c>
      <c r="D1106">
        <f>_xlfn.XLOOKUP(clean_sales!I1106,Dim_Product!B:B,Dim_Product!A:A)</f>
        <v>2</v>
      </c>
      <c r="E1106">
        <f>clean_sales!L1106</f>
        <v>1</v>
      </c>
      <c r="F1106">
        <f>clean_sales!T1106</f>
        <v>65000</v>
      </c>
    </row>
    <row r="1107" spans="1:6" x14ac:dyDescent="0.35">
      <c r="A1107" t="str">
        <v>TXN101105</v>
      </c>
      <c r="B1107">
        <f>_xlfn.XLOOKUP(clean_sales!P1107,Dim_Date!B:B,Dim_Date!A:A)</f>
        <v>20250903</v>
      </c>
      <c r="C1107">
        <f>_xlfn.XLOOKUP(clean_sales!C1107,Dim_Customer!B:B,Dim_Customer!A:A)</f>
        <v>70</v>
      </c>
      <c r="D1107">
        <f>_xlfn.XLOOKUP(clean_sales!I1107,Dim_Product!B:B,Dim_Product!A:A)</f>
        <v>2</v>
      </c>
      <c r="E1107">
        <f>clean_sales!L1107</f>
        <v>2</v>
      </c>
      <c r="F1107">
        <f>clean_sales!T1107</f>
        <v>130000</v>
      </c>
    </row>
    <row r="1108" spans="1:6" x14ac:dyDescent="0.35">
      <c r="A1108" t="str">
        <v>TXN101106</v>
      </c>
      <c r="B1108">
        <f>_xlfn.XLOOKUP(clean_sales!P1108,Dim_Date!B:B,Dim_Date!A:A)</f>
        <v>20250303</v>
      </c>
      <c r="C1108">
        <f>_xlfn.XLOOKUP(clean_sales!C1108,Dim_Customer!B:B,Dim_Customer!A:A)</f>
        <v>514</v>
      </c>
      <c r="D1108">
        <f>_xlfn.XLOOKUP(clean_sales!I1108,Dim_Product!B:B,Dim_Product!A:A)</f>
        <v>1</v>
      </c>
      <c r="E1108">
        <f>clean_sales!L1108</f>
        <v>5</v>
      </c>
      <c r="F1108">
        <f>clean_sales!T1108</f>
        <v>60000</v>
      </c>
    </row>
    <row r="1109" spans="1:6" x14ac:dyDescent="0.35">
      <c r="A1109" t="str">
        <v>TXN101107</v>
      </c>
      <c r="B1109">
        <f>_xlfn.XLOOKUP(clean_sales!P1109,Dim_Date!B:B,Dim_Date!A:A)</f>
        <v>20250817</v>
      </c>
      <c r="C1109">
        <f>_xlfn.XLOOKUP(clean_sales!C1109,Dim_Customer!B:B,Dim_Customer!A:A)</f>
        <v>484</v>
      </c>
      <c r="D1109">
        <f>_xlfn.XLOOKUP(clean_sales!I1109,Dim_Product!B:B,Dim_Product!A:A)</f>
        <v>5</v>
      </c>
      <c r="E1109">
        <f>clean_sales!L1109</f>
        <v>5</v>
      </c>
      <c r="F1109">
        <f>clean_sales!T1109</f>
        <v>9000</v>
      </c>
    </row>
    <row r="1110" spans="1:6" x14ac:dyDescent="0.35">
      <c r="A1110" t="str">
        <v>TXN101108</v>
      </c>
      <c r="B1110">
        <f>_xlfn.XLOOKUP(clean_sales!P1110,Dim_Date!B:B,Dim_Date!A:A)</f>
        <v>20250129</v>
      </c>
      <c r="C1110">
        <f>_xlfn.XLOOKUP(clean_sales!C1110,Dim_Customer!B:B,Dim_Customer!A:A)</f>
        <v>666</v>
      </c>
      <c r="D1110">
        <f>_xlfn.XLOOKUP(clean_sales!I1110,Dim_Product!B:B,Dim_Product!A:A)</f>
        <v>1</v>
      </c>
      <c r="E1110">
        <f>clean_sales!L1110</f>
        <v>1</v>
      </c>
      <c r="F1110">
        <f>clean_sales!T1110</f>
        <v>12000</v>
      </c>
    </row>
    <row r="1111" spans="1:6" x14ac:dyDescent="0.35">
      <c r="A1111" t="str">
        <v>TXN101109</v>
      </c>
      <c r="B1111">
        <f>_xlfn.XLOOKUP(clean_sales!P1111,Dim_Date!B:B,Dim_Date!A:A)</f>
        <v>20251119</v>
      </c>
      <c r="C1111">
        <f>_xlfn.XLOOKUP(clean_sales!C1111,Dim_Customer!B:B,Dim_Customer!A:A)</f>
        <v>667</v>
      </c>
      <c r="D1111">
        <f>_xlfn.XLOOKUP(clean_sales!I1111,Dim_Product!B:B,Dim_Product!A:A)</f>
        <v>1</v>
      </c>
      <c r="E1111">
        <f>clean_sales!L1111</f>
        <v>3</v>
      </c>
      <c r="F1111">
        <f>clean_sales!T1111</f>
        <v>36000</v>
      </c>
    </row>
    <row r="1112" spans="1:6" x14ac:dyDescent="0.35">
      <c r="A1112" t="str">
        <v>TXN101110</v>
      </c>
      <c r="B1112">
        <f>_xlfn.XLOOKUP(clean_sales!P1112,Dim_Date!B:B,Dim_Date!A:A)</f>
        <v>20251101</v>
      </c>
      <c r="C1112">
        <f>_xlfn.XLOOKUP(clean_sales!C1112,Dim_Customer!B:B,Dim_Customer!A:A)</f>
        <v>668</v>
      </c>
      <c r="D1112">
        <f>_xlfn.XLOOKUP(clean_sales!I1112,Dim_Product!B:B,Dim_Product!A:A)</f>
        <v>2</v>
      </c>
      <c r="E1112">
        <f>clean_sales!L1112</f>
        <v>5</v>
      </c>
      <c r="F1112">
        <f>clean_sales!T1112</f>
        <v>325000</v>
      </c>
    </row>
    <row r="1113" spans="1:6" x14ac:dyDescent="0.35">
      <c r="A1113" t="str">
        <v>TXN101111</v>
      </c>
      <c r="B1113">
        <f>_xlfn.XLOOKUP(clean_sales!P1113,Dim_Date!B:B,Dim_Date!A:A)</f>
        <v>20250921</v>
      </c>
      <c r="C1113">
        <f>_xlfn.XLOOKUP(clean_sales!C1113,Dim_Customer!B:B,Dim_Customer!A:A)</f>
        <v>669</v>
      </c>
      <c r="D1113">
        <f>_xlfn.XLOOKUP(clean_sales!I1113,Dim_Product!B:B,Dim_Product!A:A)</f>
        <v>7</v>
      </c>
      <c r="E1113">
        <f>clean_sales!L1113</f>
        <v>4</v>
      </c>
      <c r="F1113">
        <f>clean_sales!T1113</f>
        <v>232000</v>
      </c>
    </row>
    <row r="1114" spans="1:6" x14ac:dyDescent="0.35">
      <c r="A1114" t="str">
        <v>TXN101112</v>
      </c>
      <c r="B1114">
        <f>_xlfn.XLOOKUP(clean_sales!P1114,Dim_Date!B:B,Dim_Date!A:A)</f>
        <v>20250113</v>
      </c>
      <c r="C1114">
        <f>_xlfn.XLOOKUP(clean_sales!C1114,Dim_Customer!B:B,Dim_Customer!A:A)</f>
        <v>315</v>
      </c>
      <c r="D1114">
        <f>_xlfn.XLOOKUP(clean_sales!I1114,Dim_Product!B:B,Dim_Product!A:A)</f>
        <v>2</v>
      </c>
      <c r="E1114">
        <f>clean_sales!L1114</f>
        <v>4</v>
      </c>
      <c r="F1114">
        <f>clean_sales!T1114</f>
        <v>260000</v>
      </c>
    </row>
    <row r="1115" spans="1:6" x14ac:dyDescent="0.35">
      <c r="A1115" t="str">
        <v>TXN101113</v>
      </c>
      <c r="B1115">
        <f>_xlfn.XLOOKUP(clean_sales!P1115,Dim_Date!B:B,Dim_Date!A:A)</f>
        <v>20250420</v>
      </c>
      <c r="C1115">
        <f>_xlfn.XLOOKUP(clean_sales!C1115,Dim_Customer!B:B,Dim_Customer!A:A)</f>
        <v>453</v>
      </c>
      <c r="D1115">
        <f>_xlfn.XLOOKUP(clean_sales!I1115,Dim_Product!B:B,Dim_Product!A:A)</f>
        <v>1</v>
      </c>
      <c r="E1115">
        <f>clean_sales!L1115</f>
        <v>5</v>
      </c>
      <c r="F1115">
        <f>clean_sales!T1115</f>
        <v>60000</v>
      </c>
    </row>
    <row r="1116" spans="1:6" x14ac:dyDescent="0.35">
      <c r="A1116" t="str">
        <v>TXN101114</v>
      </c>
      <c r="B1116">
        <f>_xlfn.XLOOKUP(clean_sales!P1116,Dim_Date!B:B,Dim_Date!A:A)</f>
        <v>20250108</v>
      </c>
      <c r="C1116">
        <f>_xlfn.XLOOKUP(clean_sales!C1116,Dim_Customer!B:B,Dim_Customer!A:A)</f>
        <v>499</v>
      </c>
      <c r="D1116">
        <f>_xlfn.XLOOKUP(clean_sales!I1116,Dim_Product!B:B,Dim_Product!A:A)</f>
        <v>5</v>
      </c>
      <c r="E1116">
        <f>clean_sales!L1116</f>
        <v>3</v>
      </c>
      <c r="F1116">
        <f>clean_sales!T1116</f>
        <v>5400</v>
      </c>
    </row>
    <row r="1117" spans="1:6" x14ac:dyDescent="0.35">
      <c r="A1117" t="str">
        <v>TXN101115</v>
      </c>
      <c r="B1117">
        <f>_xlfn.XLOOKUP(clean_sales!P1117,Dim_Date!B:B,Dim_Date!A:A)</f>
        <v>20251124</v>
      </c>
      <c r="C1117">
        <f>_xlfn.XLOOKUP(clean_sales!C1117,Dim_Customer!B:B,Dim_Customer!A:A)</f>
        <v>293</v>
      </c>
      <c r="D1117">
        <f>_xlfn.XLOOKUP(clean_sales!I1117,Dim_Product!B:B,Dim_Product!A:A)</f>
        <v>4</v>
      </c>
      <c r="E1117">
        <f>clean_sales!L1117</f>
        <v>5</v>
      </c>
      <c r="F1117">
        <f>clean_sales!T1117</f>
        <v>22500</v>
      </c>
    </row>
    <row r="1118" spans="1:6" x14ac:dyDescent="0.35">
      <c r="A1118" t="str">
        <v>TXN101116</v>
      </c>
      <c r="B1118">
        <f>_xlfn.XLOOKUP(clean_sales!P1118,Dim_Date!B:B,Dim_Date!A:A)</f>
        <v>20250823</v>
      </c>
      <c r="C1118">
        <f>_xlfn.XLOOKUP(clean_sales!C1118,Dim_Customer!B:B,Dim_Customer!A:A)</f>
        <v>670</v>
      </c>
      <c r="D1118">
        <f>_xlfn.XLOOKUP(clean_sales!I1118,Dim_Product!B:B,Dim_Product!A:A)</f>
        <v>5</v>
      </c>
      <c r="E1118">
        <f>clean_sales!L1118</f>
        <v>4</v>
      </c>
      <c r="F1118">
        <f>clean_sales!T1118</f>
        <v>7200</v>
      </c>
    </row>
    <row r="1119" spans="1:6" x14ac:dyDescent="0.35">
      <c r="A1119" t="str">
        <v>TXN101117</v>
      </c>
      <c r="B1119">
        <f>_xlfn.XLOOKUP(clean_sales!P1119,Dim_Date!B:B,Dim_Date!A:A)</f>
        <v>20250811</v>
      </c>
      <c r="C1119">
        <f>_xlfn.XLOOKUP(clean_sales!C1119,Dim_Customer!B:B,Dim_Customer!A:A)</f>
        <v>671</v>
      </c>
      <c r="D1119">
        <f>_xlfn.XLOOKUP(clean_sales!I1119,Dim_Product!B:B,Dim_Product!A:A)</f>
        <v>7</v>
      </c>
      <c r="E1119">
        <f>clean_sales!L1119</f>
        <v>2</v>
      </c>
      <c r="F1119">
        <f>clean_sales!T1119</f>
        <v>116000</v>
      </c>
    </row>
    <row r="1120" spans="1:6" x14ac:dyDescent="0.35">
      <c r="A1120" t="str">
        <v>TXN101118</v>
      </c>
      <c r="B1120">
        <f>_xlfn.XLOOKUP(clean_sales!P1120,Dim_Date!B:B,Dim_Date!A:A)</f>
        <v>20250729</v>
      </c>
      <c r="C1120">
        <f>_xlfn.XLOOKUP(clean_sales!C1120,Dim_Customer!B:B,Dim_Customer!A:A)</f>
        <v>649</v>
      </c>
      <c r="D1120">
        <f>_xlfn.XLOOKUP(clean_sales!I1120,Dim_Product!B:B,Dim_Product!A:A)</f>
        <v>4</v>
      </c>
      <c r="E1120">
        <f>clean_sales!L1120</f>
        <v>5</v>
      </c>
      <c r="F1120">
        <f>clean_sales!T1120</f>
        <v>22500</v>
      </c>
    </row>
    <row r="1121" spans="1:6" x14ac:dyDescent="0.35">
      <c r="A1121" t="str">
        <v>TXN101119</v>
      </c>
      <c r="B1121">
        <f>_xlfn.XLOOKUP(clean_sales!P1121,Dim_Date!B:B,Dim_Date!A:A)</f>
        <v>20250530</v>
      </c>
      <c r="C1121">
        <f>_xlfn.XLOOKUP(clean_sales!C1121,Dim_Customer!B:B,Dim_Customer!A:A)</f>
        <v>672</v>
      </c>
      <c r="D1121">
        <f>_xlfn.XLOOKUP(clean_sales!I1121,Dim_Product!B:B,Dim_Product!A:A)</f>
        <v>3</v>
      </c>
      <c r="E1121">
        <f>clean_sales!L1121</f>
        <v>4</v>
      </c>
      <c r="F1121">
        <f>clean_sales!T1121</f>
        <v>20000</v>
      </c>
    </row>
    <row r="1122" spans="1:6" x14ac:dyDescent="0.35">
      <c r="A1122" t="str">
        <v>TXN101120</v>
      </c>
      <c r="B1122">
        <f>_xlfn.XLOOKUP(clean_sales!P1122,Dim_Date!B:B,Dim_Date!A:A)</f>
        <v>20250610</v>
      </c>
      <c r="C1122">
        <f>_xlfn.XLOOKUP(clean_sales!C1122,Dim_Customer!B:B,Dim_Customer!A:A)</f>
        <v>673</v>
      </c>
      <c r="D1122">
        <f>_xlfn.XLOOKUP(clean_sales!I1122,Dim_Product!B:B,Dim_Product!A:A)</f>
        <v>2</v>
      </c>
      <c r="E1122">
        <f>clean_sales!L1122</f>
        <v>3</v>
      </c>
      <c r="F1122">
        <f>clean_sales!T1122</f>
        <v>195000</v>
      </c>
    </row>
    <row r="1123" spans="1:6" x14ac:dyDescent="0.35">
      <c r="A1123" t="str">
        <v>TXN101121</v>
      </c>
      <c r="B1123">
        <f>_xlfn.XLOOKUP(clean_sales!P1123,Dim_Date!B:B,Dim_Date!A:A)</f>
        <v>20251213</v>
      </c>
      <c r="C1123">
        <f>_xlfn.XLOOKUP(clean_sales!C1123,Dim_Customer!B:B,Dim_Customer!A:A)</f>
        <v>293</v>
      </c>
      <c r="D1123">
        <f>_xlfn.XLOOKUP(clean_sales!I1123,Dim_Product!B:B,Dim_Product!A:A)</f>
        <v>7</v>
      </c>
      <c r="E1123">
        <f>clean_sales!L1123</f>
        <v>3</v>
      </c>
      <c r="F1123">
        <f>clean_sales!T1123</f>
        <v>174000</v>
      </c>
    </row>
    <row r="1124" spans="1:6" x14ac:dyDescent="0.35">
      <c r="A1124" t="str">
        <v>TXN101122</v>
      </c>
      <c r="B1124">
        <f>_xlfn.XLOOKUP(clean_sales!P1124,Dim_Date!B:B,Dim_Date!A:A)</f>
        <v>20260101</v>
      </c>
      <c r="C1124">
        <f>_xlfn.XLOOKUP(clean_sales!C1124,Dim_Customer!B:B,Dim_Customer!A:A)</f>
        <v>71</v>
      </c>
      <c r="D1124">
        <f>_xlfn.XLOOKUP(clean_sales!I1124,Dim_Product!B:B,Dim_Product!A:A)</f>
        <v>3</v>
      </c>
      <c r="E1124">
        <f>clean_sales!L1124</f>
        <v>2</v>
      </c>
      <c r="F1124">
        <f>clean_sales!T1124</f>
        <v>10000</v>
      </c>
    </row>
    <row r="1125" spans="1:6" x14ac:dyDescent="0.35">
      <c r="A1125" t="str">
        <v>TXN101123</v>
      </c>
      <c r="B1125">
        <f>_xlfn.XLOOKUP(clean_sales!P1125,Dim_Date!B:B,Dim_Date!A:A)</f>
        <v>20250511</v>
      </c>
      <c r="C1125">
        <f>_xlfn.XLOOKUP(clean_sales!C1125,Dim_Customer!B:B,Dim_Customer!A:A)</f>
        <v>431</v>
      </c>
      <c r="D1125">
        <f>_xlfn.XLOOKUP(clean_sales!I1125,Dim_Product!B:B,Dim_Product!A:A)</f>
        <v>4</v>
      </c>
      <c r="E1125">
        <f>clean_sales!L1125</f>
        <v>2</v>
      </c>
      <c r="F1125">
        <f>clean_sales!T1125</f>
        <v>9000</v>
      </c>
    </row>
    <row r="1126" spans="1:6" x14ac:dyDescent="0.35">
      <c r="A1126" t="str">
        <v>TXN101124</v>
      </c>
      <c r="B1126">
        <f>_xlfn.XLOOKUP(clean_sales!P1126,Dim_Date!B:B,Dim_Date!A:A)</f>
        <v>20251002</v>
      </c>
      <c r="C1126">
        <f>_xlfn.XLOOKUP(clean_sales!C1126,Dim_Customer!B:B,Dim_Customer!A:A)</f>
        <v>674</v>
      </c>
      <c r="D1126">
        <f>_xlfn.XLOOKUP(clean_sales!I1126,Dim_Product!B:B,Dim_Product!A:A)</f>
        <v>6</v>
      </c>
      <c r="E1126">
        <f>clean_sales!L1126</f>
        <v>5</v>
      </c>
      <c r="F1126">
        <f>clean_sales!T1126</f>
        <v>360000</v>
      </c>
    </row>
    <row r="1127" spans="1:6" x14ac:dyDescent="0.35">
      <c r="A1127" t="str">
        <v>TXN101125</v>
      </c>
      <c r="B1127">
        <f>_xlfn.XLOOKUP(clean_sales!P1127,Dim_Date!B:B,Dim_Date!A:A)</f>
        <v>20251225</v>
      </c>
      <c r="C1127">
        <f>_xlfn.XLOOKUP(clean_sales!C1127,Dim_Customer!B:B,Dim_Customer!A:A)</f>
        <v>234</v>
      </c>
      <c r="D1127">
        <f>_xlfn.XLOOKUP(clean_sales!I1127,Dim_Product!B:B,Dim_Product!A:A)</f>
        <v>7</v>
      </c>
      <c r="E1127">
        <f>clean_sales!L1127</f>
        <v>2</v>
      </c>
      <c r="F1127">
        <f>clean_sales!T1127</f>
        <v>116000</v>
      </c>
    </row>
    <row r="1128" spans="1:6" x14ac:dyDescent="0.35">
      <c r="A1128" t="str">
        <v>TXN101126</v>
      </c>
      <c r="B1128">
        <f>_xlfn.XLOOKUP(clean_sales!P1128,Dim_Date!B:B,Dim_Date!A:A)</f>
        <v>20250306</v>
      </c>
      <c r="C1128">
        <f>_xlfn.XLOOKUP(clean_sales!C1128,Dim_Customer!B:B,Dim_Customer!A:A)</f>
        <v>295</v>
      </c>
      <c r="D1128">
        <f>_xlfn.XLOOKUP(clean_sales!I1128,Dim_Product!B:B,Dim_Product!A:A)</f>
        <v>4</v>
      </c>
      <c r="E1128">
        <f>clean_sales!L1128</f>
        <v>5</v>
      </c>
      <c r="F1128">
        <f>clean_sales!T1128</f>
        <v>22500</v>
      </c>
    </row>
    <row r="1129" spans="1:6" x14ac:dyDescent="0.35">
      <c r="A1129" t="str">
        <v>TXN101127</v>
      </c>
      <c r="B1129">
        <f>_xlfn.XLOOKUP(clean_sales!P1129,Dim_Date!B:B,Dim_Date!A:A)</f>
        <v>20250618</v>
      </c>
      <c r="C1129">
        <f>_xlfn.XLOOKUP(clean_sales!C1129,Dim_Customer!B:B,Dim_Customer!A:A)</f>
        <v>211</v>
      </c>
      <c r="D1129">
        <f>_xlfn.XLOOKUP(clean_sales!I1129,Dim_Product!B:B,Dim_Product!A:A)</f>
        <v>4</v>
      </c>
      <c r="E1129">
        <f>clean_sales!L1129</f>
        <v>4</v>
      </c>
      <c r="F1129">
        <f>clean_sales!T1129</f>
        <v>18000</v>
      </c>
    </row>
    <row r="1130" spans="1:6" x14ac:dyDescent="0.35">
      <c r="A1130" t="str">
        <v>TXN101128</v>
      </c>
      <c r="B1130">
        <f>_xlfn.XLOOKUP(clean_sales!P1130,Dim_Date!B:B,Dim_Date!A:A)</f>
        <v>20250110</v>
      </c>
      <c r="C1130">
        <f>_xlfn.XLOOKUP(clean_sales!C1130,Dim_Customer!B:B,Dim_Customer!A:A)</f>
        <v>665</v>
      </c>
      <c r="D1130">
        <f>_xlfn.XLOOKUP(clean_sales!I1130,Dim_Product!B:B,Dim_Product!A:A)</f>
        <v>1</v>
      </c>
      <c r="E1130">
        <f>clean_sales!L1130</f>
        <v>1</v>
      </c>
      <c r="F1130">
        <f>clean_sales!T1130</f>
        <v>12000</v>
      </c>
    </row>
    <row r="1131" spans="1:6" x14ac:dyDescent="0.35">
      <c r="A1131" t="str">
        <v>TXN101129</v>
      </c>
      <c r="B1131">
        <f>_xlfn.XLOOKUP(clean_sales!P1131,Dim_Date!B:B,Dim_Date!A:A)</f>
        <v>20250628</v>
      </c>
      <c r="C1131">
        <f>_xlfn.XLOOKUP(clean_sales!C1131,Dim_Customer!B:B,Dim_Customer!A:A)</f>
        <v>579</v>
      </c>
      <c r="D1131">
        <f>_xlfn.XLOOKUP(clean_sales!I1131,Dim_Product!B:B,Dim_Product!A:A)</f>
        <v>3</v>
      </c>
      <c r="E1131">
        <f>clean_sales!L1131</f>
        <v>4</v>
      </c>
      <c r="F1131">
        <f>clean_sales!T1131</f>
        <v>20000</v>
      </c>
    </row>
    <row r="1132" spans="1:6" x14ac:dyDescent="0.35">
      <c r="A1132" t="str">
        <v>TXN101130</v>
      </c>
      <c r="B1132">
        <f>_xlfn.XLOOKUP(clean_sales!P1132,Dim_Date!B:B,Dim_Date!A:A)</f>
        <v>20250305</v>
      </c>
      <c r="C1132">
        <f>_xlfn.XLOOKUP(clean_sales!C1132,Dim_Customer!B:B,Dim_Customer!A:A)</f>
        <v>436</v>
      </c>
      <c r="D1132">
        <f>_xlfn.XLOOKUP(clean_sales!I1132,Dim_Product!B:B,Dim_Product!A:A)</f>
        <v>5</v>
      </c>
      <c r="E1132">
        <f>clean_sales!L1132</f>
        <v>4</v>
      </c>
      <c r="F1132">
        <f>clean_sales!T1132</f>
        <v>7200</v>
      </c>
    </row>
    <row r="1133" spans="1:6" x14ac:dyDescent="0.35">
      <c r="A1133" t="str">
        <v>TXN101131</v>
      </c>
      <c r="B1133">
        <f>_xlfn.XLOOKUP(clean_sales!P1133,Dim_Date!B:B,Dim_Date!A:A)</f>
        <v>20250504</v>
      </c>
      <c r="C1133">
        <f>_xlfn.XLOOKUP(clean_sales!C1133,Dim_Customer!B:B,Dim_Customer!A:A)</f>
        <v>633</v>
      </c>
      <c r="D1133">
        <f>_xlfn.XLOOKUP(clean_sales!I1133,Dim_Product!B:B,Dim_Product!A:A)</f>
        <v>6</v>
      </c>
      <c r="E1133">
        <f>clean_sales!L1133</f>
        <v>3</v>
      </c>
      <c r="F1133">
        <f>clean_sales!T1133</f>
        <v>216000</v>
      </c>
    </row>
    <row r="1134" spans="1:6" x14ac:dyDescent="0.35">
      <c r="A1134" t="str">
        <v>TXN101132</v>
      </c>
      <c r="B1134">
        <f>_xlfn.XLOOKUP(clean_sales!P1134,Dim_Date!B:B,Dim_Date!A:A)</f>
        <v>20250608</v>
      </c>
      <c r="C1134">
        <f>_xlfn.XLOOKUP(clean_sales!C1134,Dim_Customer!B:B,Dim_Customer!A:A)</f>
        <v>675</v>
      </c>
      <c r="D1134">
        <f>_xlfn.XLOOKUP(clean_sales!I1134,Dim_Product!B:B,Dim_Product!A:A)</f>
        <v>1</v>
      </c>
      <c r="E1134">
        <f>clean_sales!L1134</f>
        <v>2</v>
      </c>
      <c r="F1134">
        <f>clean_sales!T1134</f>
        <v>24000</v>
      </c>
    </row>
    <row r="1135" spans="1:6" x14ac:dyDescent="0.35">
      <c r="A1135" t="str">
        <v>TXN101133</v>
      </c>
      <c r="B1135">
        <f>_xlfn.XLOOKUP(clean_sales!P1135,Dim_Date!B:B,Dim_Date!A:A)</f>
        <v>20250910</v>
      </c>
      <c r="C1135">
        <f>_xlfn.XLOOKUP(clean_sales!C1135,Dim_Customer!B:B,Dim_Customer!A:A)</f>
        <v>306</v>
      </c>
      <c r="D1135">
        <f>_xlfn.XLOOKUP(clean_sales!I1135,Dim_Product!B:B,Dim_Product!A:A)</f>
        <v>7</v>
      </c>
      <c r="E1135">
        <f>clean_sales!L1135</f>
        <v>1</v>
      </c>
      <c r="F1135">
        <f>clean_sales!T1135</f>
        <v>58000</v>
      </c>
    </row>
    <row r="1136" spans="1:6" x14ac:dyDescent="0.35">
      <c r="A1136" t="str">
        <v>TXN101134</v>
      </c>
      <c r="B1136">
        <f>_xlfn.XLOOKUP(clean_sales!P1136,Dim_Date!B:B,Dim_Date!A:A)</f>
        <v>20250526</v>
      </c>
      <c r="C1136">
        <f>_xlfn.XLOOKUP(clean_sales!C1136,Dim_Customer!B:B,Dim_Customer!A:A)</f>
        <v>676</v>
      </c>
      <c r="D1136">
        <f>_xlfn.XLOOKUP(clean_sales!I1136,Dim_Product!B:B,Dim_Product!A:A)</f>
        <v>3</v>
      </c>
      <c r="E1136">
        <f>clean_sales!L1136</f>
        <v>1</v>
      </c>
      <c r="F1136">
        <f>clean_sales!T1136</f>
        <v>5000</v>
      </c>
    </row>
    <row r="1137" spans="1:6" x14ac:dyDescent="0.35">
      <c r="A1137" t="str">
        <v>TXN101135</v>
      </c>
      <c r="B1137">
        <f>_xlfn.XLOOKUP(clean_sales!P1137,Dim_Date!B:B,Dim_Date!A:A)</f>
        <v>20250628</v>
      </c>
      <c r="C1137">
        <f>_xlfn.XLOOKUP(clean_sales!C1137,Dim_Customer!B:B,Dim_Customer!A:A)</f>
        <v>458</v>
      </c>
      <c r="D1137">
        <f>_xlfn.XLOOKUP(clean_sales!I1137,Dim_Product!B:B,Dim_Product!A:A)</f>
        <v>4</v>
      </c>
      <c r="E1137">
        <f>clean_sales!L1137</f>
        <v>2</v>
      </c>
      <c r="F1137">
        <f>clean_sales!T1137</f>
        <v>9000</v>
      </c>
    </row>
    <row r="1138" spans="1:6" x14ac:dyDescent="0.35">
      <c r="A1138" t="str">
        <v>TXN101136</v>
      </c>
      <c r="B1138">
        <f>_xlfn.XLOOKUP(clean_sales!P1138,Dim_Date!B:B,Dim_Date!A:A)</f>
        <v>20251210</v>
      </c>
      <c r="C1138">
        <f>_xlfn.XLOOKUP(clean_sales!C1138,Dim_Customer!B:B,Dim_Customer!A:A)</f>
        <v>185</v>
      </c>
      <c r="D1138">
        <f>_xlfn.XLOOKUP(clean_sales!I1138,Dim_Product!B:B,Dim_Product!A:A)</f>
        <v>5</v>
      </c>
      <c r="E1138">
        <f>clean_sales!L1138</f>
        <v>3</v>
      </c>
      <c r="F1138">
        <f>clean_sales!T1138</f>
        <v>5400</v>
      </c>
    </row>
    <row r="1139" spans="1:6" x14ac:dyDescent="0.35">
      <c r="A1139" t="str">
        <v>TXN101137</v>
      </c>
      <c r="B1139">
        <f>_xlfn.XLOOKUP(clean_sales!P1139,Dim_Date!B:B,Dim_Date!A:A)</f>
        <v>20250724</v>
      </c>
      <c r="C1139">
        <f>_xlfn.XLOOKUP(clean_sales!C1139,Dim_Customer!B:B,Dim_Customer!A:A)</f>
        <v>654</v>
      </c>
      <c r="D1139">
        <f>_xlfn.XLOOKUP(clean_sales!I1139,Dim_Product!B:B,Dim_Product!A:A)</f>
        <v>3</v>
      </c>
      <c r="E1139">
        <f>clean_sales!L1139</f>
        <v>5</v>
      </c>
      <c r="F1139">
        <f>clean_sales!T1139</f>
        <v>25000</v>
      </c>
    </row>
    <row r="1140" spans="1:6" x14ac:dyDescent="0.35">
      <c r="A1140" t="str">
        <v>TXN101138</v>
      </c>
      <c r="B1140">
        <f>_xlfn.XLOOKUP(clean_sales!P1140,Dim_Date!B:B,Dim_Date!A:A)</f>
        <v>20250418</v>
      </c>
      <c r="C1140">
        <f>_xlfn.XLOOKUP(clean_sales!C1140,Dim_Customer!B:B,Dim_Customer!A:A)</f>
        <v>169</v>
      </c>
      <c r="D1140">
        <f>_xlfn.XLOOKUP(clean_sales!I1140,Dim_Product!B:B,Dim_Product!A:A)</f>
        <v>4</v>
      </c>
      <c r="E1140">
        <f>clean_sales!L1140</f>
        <v>3</v>
      </c>
      <c r="F1140">
        <f>clean_sales!T1140</f>
        <v>13500</v>
      </c>
    </row>
    <row r="1141" spans="1:6" x14ac:dyDescent="0.35">
      <c r="A1141" t="str">
        <v>TXN101139</v>
      </c>
      <c r="B1141">
        <f>_xlfn.XLOOKUP(clean_sales!P1141,Dim_Date!B:B,Dim_Date!A:A)</f>
        <v>20251207</v>
      </c>
      <c r="C1141">
        <f>_xlfn.XLOOKUP(clean_sales!C1141,Dim_Customer!B:B,Dim_Customer!A:A)</f>
        <v>402</v>
      </c>
      <c r="D1141">
        <f>_xlfn.XLOOKUP(clean_sales!I1141,Dim_Product!B:B,Dim_Product!A:A)</f>
        <v>7</v>
      </c>
      <c r="E1141">
        <f>clean_sales!L1141</f>
        <v>5</v>
      </c>
      <c r="F1141">
        <f>clean_sales!T1141</f>
        <v>290000</v>
      </c>
    </row>
    <row r="1142" spans="1:6" x14ac:dyDescent="0.35">
      <c r="A1142" t="str">
        <v>TXN101140</v>
      </c>
      <c r="B1142">
        <f>_xlfn.XLOOKUP(clean_sales!P1142,Dim_Date!B:B,Dim_Date!A:A)</f>
        <v>20250529</v>
      </c>
      <c r="C1142">
        <f>_xlfn.XLOOKUP(clean_sales!C1142,Dim_Customer!B:B,Dim_Customer!A:A)</f>
        <v>22</v>
      </c>
      <c r="D1142">
        <f>_xlfn.XLOOKUP(clean_sales!I1142,Dim_Product!B:B,Dim_Product!A:A)</f>
        <v>4</v>
      </c>
      <c r="E1142">
        <f>clean_sales!L1142</f>
        <v>3</v>
      </c>
      <c r="F1142">
        <f>clean_sales!T1142</f>
        <v>13500</v>
      </c>
    </row>
    <row r="1143" spans="1:6" x14ac:dyDescent="0.35">
      <c r="A1143" t="str">
        <v>TXN101141</v>
      </c>
      <c r="B1143">
        <f>_xlfn.XLOOKUP(clean_sales!P1143,Dim_Date!B:B,Dim_Date!A:A)</f>
        <v>20250916</v>
      </c>
      <c r="C1143">
        <f>_xlfn.XLOOKUP(clean_sales!C1143,Dim_Customer!B:B,Dim_Customer!A:A)</f>
        <v>67</v>
      </c>
      <c r="D1143">
        <f>_xlfn.XLOOKUP(clean_sales!I1143,Dim_Product!B:B,Dim_Product!A:A)</f>
        <v>7</v>
      </c>
      <c r="E1143">
        <f>clean_sales!L1143</f>
        <v>1</v>
      </c>
      <c r="F1143">
        <f>clean_sales!T1143</f>
        <v>58000</v>
      </c>
    </row>
    <row r="1144" spans="1:6" x14ac:dyDescent="0.35">
      <c r="A1144" t="str">
        <v>TXN101142</v>
      </c>
      <c r="B1144">
        <f>_xlfn.XLOOKUP(clean_sales!P1144,Dim_Date!B:B,Dim_Date!A:A)</f>
        <v>20250609</v>
      </c>
      <c r="C1144">
        <f>_xlfn.XLOOKUP(clean_sales!C1144,Dim_Customer!B:B,Dim_Customer!A:A)</f>
        <v>399</v>
      </c>
      <c r="D1144">
        <f>_xlfn.XLOOKUP(clean_sales!I1144,Dim_Product!B:B,Dim_Product!A:A)</f>
        <v>4</v>
      </c>
      <c r="E1144">
        <f>clean_sales!L1144</f>
        <v>5</v>
      </c>
      <c r="F1144">
        <f>clean_sales!T1144</f>
        <v>22500</v>
      </c>
    </row>
    <row r="1145" spans="1:6" x14ac:dyDescent="0.35">
      <c r="A1145" t="str">
        <v>TXN101143</v>
      </c>
      <c r="B1145">
        <f>_xlfn.XLOOKUP(clean_sales!P1145,Dim_Date!B:B,Dim_Date!A:A)</f>
        <v>20251115</v>
      </c>
      <c r="C1145">
        <f>_xlfn.XLOOKUP(clean_sales!C1145,Dim_Customer!B:B,Dim_Customer!A:A)</f>
        <v>122</v>
      </c>
      <c r="D1145">
        <f>_xlfn.XLOOKUP(clean_sales!I1145,Dim_Product!B:B,Dim_Product!A:A)</f>
        <v>4</v>
      </c>
      <c r="E1145">
        <f>clean_sales!L1145</f>
        <v>5</v>
      </c>
      <c r="F1145">
        <f>clean_sales!T1145</f>
        <v>22500</v>
      </c>
    </row>
    <row r="1146" spans="1:6" x14ac:dyDescent="0.35">
      <c r="A1146" t="str">
        <v>TXN101144</v>
      </c>
      <c r="B1146">
        <f>_xlfn.XLOOKUP(clean_sales!P1146,Dim_Date!B:B,Dim_Date!A:A)</f>
        <v>20250201</v>
      </c>
      <c r="C1146">
        <f>_xlfn.XLOOKUP(clean_sales!C1146,Dim_Customer!B:B,Dim_Customer!A:A)</f>
        <v>150</v>
      </c>
      <c r="D1146">
        <f>_xlfn.XLOOKUP(clean_sales!I1146,Dim_Product!B:B,Dim_Product!A:A)</f>
        <v>4</v>
      </c>
      <c r="E1146">
        <f>clean_sales!L1146</f>
        <v>1</v>
      </c>
      <c r="F1146">
        <f>clean_sales!T1146</f>
        <v>4500</v>
      </c>
    </row>
    <row r="1147" spans="1:6" x14ac:dyDescent="0.35">
      <c r="A1147" t="str">
        <v>TXN101145</v>
      </c>
      <c r="B1147">
        <f>_xlfn.XLOOKUP(clean_sales!P1147,Dim_Date!B:B,Dim_Date!A:A)</f>
        <v>20251102</v>
      </c>
      <c r="C1147">
        <f>_xlfn.XLOOKUP(clean_sales!C1147,Dim_Customer!B:B,Dim_Customer!A:A)</f>
        <v>677</v>
      </c>
      <c r="D1147">
        <f>_xlfn.XLOOKUP(clean_sales!I1147,Dim_Product!B:B,Dim_Product!A:A)</f>
        <v>3</v>
      </c>
      <c r="E1147">
        <f>clean_sales!L1147</f>
        <v>4</v>
      </c>
      <c r="F1147">
        <f>clean_sales!T1147</f>
        <v>20000</v>
      </c>
    </row>
    <row r="1148" spans="1:6" x14ac:dyDescent="0.35">
      <c r="A1148" t="str">
        <v>TXN101146</v>
      </c>
      <c r="B1148">
        <f>_xlfn.XLOOKUP(clean_sales!P1148,Dim_Date!B:B,Dim_Date!A:A)</f>
        <v>20251104</v>
      </c>
      <c r="C1148">
        <f>_xlfn.XLOOKUP(clean_sales!C1148,Dim_Customer!B:B,Dim_Customer!A:A)</f>
        <v>455</v>
      </c>
      <c r="D1148">
        <f>_xlfn.XLOOKUP(clean_sales!I1148,Dim_Product!B:B,Dim_Product!A:A)</f>
        <v>5</v>
      </c>
      <c r="E1148">
        <f>clean_sales!L1148</f>
        <v>5</v>
      </c>
      <c r="F1148">
        <f>clean_sales!T1148</f>
        <v>9000</v>
      </c>
    </row>
    <row r="1149" spans="1:6" x14ac:dyDescent="0.35">
      <c r="A1149" t="str">
        <v>TXN101147</v>
      </c>
      <c r="B1149">
        <f>_xlfn.XLOOKUP(clean_sales!P1149,Dim_Date!B:B,Dim_Date!A:A)</f>
        <v>20251213</v>
      </c>
      <c r="C1149">
        <f>_xlfn.XLOOKUP(clean_sales!C1149,Dim_Customer!B:B,Dim_Customer!A:A)</f>
        <v>135</v>
      </c>
      <c r="D1149">
        <f>_xlfn.XLOOKUP(clean_sales!I1149,Dim_Product!B:B,Dim_Product!A:A)</f>
        <v>2</v>
      </c>
      <c r="E1149">
        <f>clean_sales!L1149</f>
        <v>4</v>
      </c>
      <c r="F1149">
        <f>clean_sales!T1149</f>
        <v>260000</v>
      </c>
    </row>
    <row r="1150" spans="1:6" x14ac:dyDescent="0.35">
      <c r="A1150" t="str">
        <v>TXN101148</v>
      </c>
      <c r="B1150">
        <f>_xlfn.XLOOKUP(clean_sales!P1150,Dim_Date!B:B,Dim_Date!A:A)</f>
        <v>20250607</v>
      </c>
      <c r="C1150">
        <f>_xlfn.XLOOKUP(clean_sales!C1150,Dim_Customer!B:B,Dim_Customer!A:A)</f>
        <v>189</v>
      </c>
      <c r="D1150">
        <f>_xlfn.XLOOKUP(clean_sales!I1150,Dim_Product!B:B,Dim_Product!A:A)</f>
        <v>1</v>
      </c>
      <c r="E1150">
        <f>clean_sales!L1150</f>
        <v>5</v>
      </c>
      <c r="F1150">
        <f>clean_sales!T1150</f>
        <v>60000</v>
      </c>
    </row>
    <row r="1151" spans="1:6" x14ac:dyDescent="0.35">
      <c r="A1151" t="str">
        <v>TXN101149</v>
      </c>
      <c r="B1151">
        <f>_xlfn.XLOOKUP(clean_sales!P1151,Dim_Date!B:B,Dim_Date!A:A)</f>
        <v>20251028</v>
      </c>
      <c r="C1151">
        <f>_xlfn.XLOOKUP(clean_sales!C1151,Dim_Customer!B:B,Dim_Customer!A:A)</f>
        <v>678</v>
      </c>
      <c r="D1151">
        <f>_xlfn.XLOOKUP(clean_sales!I1151,Dim_Product!B:B,Dim_Product!A:A)</f>
        <v>2</v>
      </c>
      <c r="E1151">
        <f>clean_sales!L1151</f>
        <v>2</v>
      </c>
      <c r="F1151">
        <f>clean_sales!T1151</f>
        <v>130000</v>
      </c>
    </row>
    <row r="1152" spans="1:6" x14ac:dyDescent="0.35">
      <c r="A1152" t="str">
        <v>TXN101150</v>
      </c>
      <c r="B1152">
        <f>_xlfn.XLOOKUP(clean_sales!P1152,Dim_Date!B:B,Dim_Date!A:A)</f>
        <v>20251031</v>
      </c>
      <c r="C1152">
        <f>_xlfn.XLOOKUP(clean_sales!C1152,Dim_Customer!B:B,Dim_Customer!A:A)</f>
        <v>426</v>
      </c>
      <c r="D1152">
        <f>_xlfn.XLOOKUP(clean_sales!I1152,Dim_Product!B:B,Dim_Product!A:A)</f>
        <v>1</v>
      </c>
      <c r="E1152">
        <f>clean_sales!L1152</f>
        <v>1</v>
      </c>
      <c r="F1152">
        <f>clean_sales!T1152</f>
        <v>12000</v>
      </c>
    </row>
    <row r="1153" spans="1:6" x14ac:dyDescent="0.35">
      <c r="A1153" t="str">
        <v>TXN101151</v>
      </c>
      <c r="B1153">
        <f>_xlfn.XLOOKUP(clean_sales!P1153,Dim_Date!B:B,Dim_Date!A:A)</f>
        <v>20250111</v>
      </c>
      <c r="C1153">
        <f>_xlfn.XLOOKUP(clean_sales!C1153,Dim_Customer!B:B,Dim_Customer!A:A)</f>
        <v>679</v>
      </c>
      <c r="D1153">
        <f>_xlfn.XLOOKUP(clean_sales!I1153,Dim_Product!B:B,Dim_Product!A:A)</f>
        <v>7</v>
      </c>
      <c r="E1153">
        <f>clean_sales!L1153</f>
        <v>2</v>
      </c>
      <c r="F1153">
        <f>clean_sales!T1153</f>
        <v>116000</v>
      </c>
    </row>
    <row r="1154" spans="1:6" x14ac:dyDescent="0.35">
      <c r="A1154" t="str">
        <v>TXN101152</v>
      </c>
      <c r="B1154">
        <f>_xlfn.XLOOKUP(clean_sales!P1154,Dim_Date!B:B,Dim_Date!A:A)</f>
        <v>20250315</v>
      </c>
      <c r="C1154">
        <f>_xlfn.XLOOKUP(clean_sales!C1154,Dim_Customer!B:B,Dim_Customer!A:A)</f>
        <v>37</v>
      </c>
      <c r="D1154">
        <f>_xlfn.XLOOKUP(clean_sales!I1154,Dim_Product!B:B,Dim_Product!A:A)</f>
        <v>1</v>
      </c>
      <c r="E1154">
        <f>clean_sales!L1154</f>
        <v>1</v>
      </c>
      <c r="F1154">
        <f>clean_sales!T1154</f>
        <v>12000</v>
      </c>
    </row>
    <row r="1155" spans="1:6" x14ac:dyDescent="0.35">
      <c r="A1155" t="str">
        <v>TXN101153</v>
      </c>
      <c r="B1155">
        <f>_xlfn.XLOOKUP(clean_sales!P1155,Dim_Date!B:B,Dim_Date!A:A)</f>
        <v>20250302</v>
      </c>
      <c r="C1155">
        <f>_xlfn.XLOOKUP(clean_sales!C1155,Dim_Customer!B:B,Dim_Customer!A:A)</f>
        <v>246</v>
      </c>
      <c r="D1155">
        <f>_xlfn.XLOOKUP(clean_sales!I1155,Dim_Product!B:B,Dim_Product!A:A)</f>
        <v>5</v>
      </c>
      <c r="E1155">
        <f>clean_sales!L1155</f>
        <v>3</v>
      </c>
      <c r="F1155">
        <f>clean_sales!T1155</f>
        <v>5400</v>
      </c>
    </row>
    <row r="1156" spans="1:6" x14ac:dyDescent="0.35">
      <c r="A1156" t="str">
        <v>TXN101154</v>
      </c>
      <c r="B1156">
        <f>_xlfn.XLOOKUP(clean_sales!P1156,Dim_Date!B:B,Dim_Date!A:A)</f>
        <v>20250429</v>
      </c>
      <c r="C1156">
        <f>_xlfn.XLOOKUP(clean_sales!C1156,Dim_Customer!B:B,Dim_Customer!A:A)</f>
        <v>324</v>
      </c>
      <c r="D1156">
        <f>_xlfn.XLOOKUP(clean_sales!I1156,Dim_Product!B:B,Dim_Product!A:A)</f>
        <v>5</v>
      </c>
      <c r="E1156">
        <f>clean_sales!L1156</f>
        <v>5</v>
      </c>
      <c r="F1156">
        <f>clean_sales!T1156</f>
        <v>9000</v>
      </c>
    </row>
    <row r="1157" spans="1:6" x14ac:dyDescent="0.35">
      <c r="A1157" t="str">
        <v>TXN101155</v>
      </c>
      <c r="B1157">
        <f>_xlfn.XLOOKUP(clean_sales!P1157,Dim_Date!B:B,Dim_Date!A:A)</f>
        <v>20251124</v>
      </c>
      <c r="C1157">
        <f>_xlfn.XLOOKUP(clean_sales!C1157,Dim_Customer!B:B,Dim_Customer!A:A)</f>
        <v>238</v>
      </c>
      <c r="D1157">
        <f>_xlfn.XLOOKUP(clean_sales!I1157,Dim_Product!B:B,Dim_Product!A:A)</f>
        <v>3</v>
      </c>
      <c r="E1157">
        <f>clean_sales!L1157</f>
        <v>4</v>
      </c>
      <c r="F1157">
        <f>clean_sales!T1157</f>
        <v>20000</v>
      </c>
    </row>
    <row r="1158" spans="1:6" x14ac:dyDescent="0.35">
      <c r="A1158" t="str">
        <v>TXN101156</v>
      </c>
      <c r="B1158">
        <f>_xlfn.XLOOKUP(clean_sales!P1158,Dim_Date!B:B,Dim_Date!A:A)</f>
        <v>20250410</v>
      </c>
      <c r="C1158">
        <f>_xlfn.XLOOKUP(clean_sales!C1158,Dim_Customer!B:B,Dim_Customer!A:A)</f>
        <v>201</v>
      </c>
      <c r="D1158">
        <f>_xlfn.XLOOKUP(clean_sales!I1158,Dim_Product!B:B,Dim_Product!A:A)</f>
        <v>7</v>
      </c>
      <c r="E1158">
        <f>clean_sales!L1158</f>
        <v>3</v>
      </c>
      <c r="F1158">
        <f>clean_sales!T1158</f>
        <v>174000</v>
      </c>
    </row>
    <row r="1159" spans="1:6" x14ac:dyDescent="0.35">
      <c r="A1159" t="str">
        <v>TXN101157</v>
      </c>
      <c r="B1159">
        <f>_xlfn.XLOOKUP(clean_sales!P1159,Dim_Date!B:B,Dim_Date!A:A)</f>
        <v>20250828</v>
      </c>
      <c r="C1159">
        <f>_xlfn.XLOOKUP(clean_sales!C1159,Dim_Customer!B:B,Dim_Customer!A:A)</f>
        <v>483</v>
      </c>
      <c r="D1159">
        <f>_xlfn.XLOOKUP(clean_sales!I1159,Dim_Product!B:B,Dim_Product!A:A)</f>
        <v>4</v>
      </c>
      <c r="E1159">
        <f>clean_sales!L1159</f>
        <v>5</v>
      </c>
      <c r="F1159">
        <f>clean_sales!T1159</f>
        <v>22500</v>
      </c>
    </row>
    <row r="1160" spans="1:6" x14ac:dyDescent="0.35">
      <c r="A1160" t="str">
        <v>TXN101158</v>
      </c>
      <c r="B1160">
        <f>_xlfn.XLOOKUP(clean_sales!P1160,Dim_Date!B:B,Dim_Date!A:A)</f>
        <v>20250915</v>
      </c>
      <c r="C1160">
        <f>_xlfn.XLOOKUP(clean_sales!C1160,Dim_Customer!B:B,Dim_Customer!A:A)</f>
        <v>538</v>
      </c>
      <c r="D1160">
        <f>_xlfn.XLOOKUP(clean_sales!I1160,Dim_Product!B:B,Dim_Product!A:A)</f>
        <v>4</v>
      </c>
      <c r="E1160">
        <f>clean_sales!L1160</f>
        <v>3</v>
      </c>
      <c r="F1160">
        <f>clean_sales!T1160</f>
        <v>13500</v>
      </c>
    </row>
    <row r="1161" spans="1:6" x14ac:dyDescent="0.35">
      <c r="A1161" t="str">
        <v>TXN101159</v>
      </c>
      <c r="B1161">
        <f>_xlfn.XLOOKUP(clean_sales!P1161,Dim_Date!B:B,Dim_Date!A:A)</f>
        <v>20250914</v>
      </c>
      <c r="C1161">
        <f>_xlfn.XLOOKUP(clean_sales!C1161,Dim_Customer!B:B,Dim_Customer!A:A)</f>
        <v>196</v>
      </c>
      <c r="D1161">
        <f>_xlfn.XLOOKUP(clean_sales!I1161,Dim_Product!B:B,Dim_Product!A:A)</f>
        <v>3</v>
      </c>
      <c r="E1161">
        <f>clean_sales!L1161</f>
        <v>1</v>
      </c>
      <c r="F1161">
        <f>clean_sales!T1161</f>
        <v>5000</v>
      </c>
    </row>
    <row r="1162" spans="1:6" x14ac:dyDescent="0.35">
      <c r="A1162" t="str">
        <v>TXN101160</v>
      </c>
      <c r="B1162">
        <f>_xlfn.XLOOKUP(clean_sales!P1162,Dim_Date!B:B,Dim_Date!A:A)</f>
        <v>20250628</v>
      </c>
      <c r="C1162">
        <f>_xlfn.XLOOKUP(clean_sales!C1162,Dim_Customer!B:B,Dim_Customer!A:A)</f>
        <v>680</v>
      </c>
      <c r="D1162">
        <f>_xlfn.XLOOKUP(clean_sales!I1162,Dim_Product!B:B,Dim_Product!A:A)</f>
        <v>7</v>
      </c>
      <c r="E1162">
        <f>clean_sales!L1162</f>
        <v>5</v>
      </c>
      <c r="F1162">
        <f>clean_sales!T1162</f>
        <v>290000</v>
      </c>
    </row>
    <row r="1163" spans="1:6" x14ac:dyDescent="0.35">
      <c r="A1163" t="str">
        <v>TXN101161</v>
      </c>
      <c r="B1163">
        <f>_xlfn.XLOOKUP(clean_sales!P1163,Dim_Date!B:B,Dim_Date!A:A)</f>
        <v>20250507</v>
      </c>
      <c r="C1163">
        <f>_xlfn.XLOOKUP(clean_sales!C1163,Dim_Customer!B:B,Dim_Customer!A:A)</f>
        <v>558</v>
      </c>
      <c r="D1163">
        <f>_xlfn.XLOOKUP(clean_sales!I1163,Dim_Product!B:B,Dim_Product!A:A)</f>
        <v>2</v>
      </c>
      <c r="E1163">
        <f>clean_sales!L1163</f>
        <v>5</v>
      </c>
      <c r="F1163">
        <f>clean_sales!T1163</f>
        <v>325000</v>
      </c>
    </row>
    <row r="1164" spans="1:6" x14ac:dyDescent="0.35">
      <c r="A1164" t="str">
        <v>TXN101162</v>
      </c>
      <c r="B1164">
        <f>_xlfn.XLOOKUP(clean_sales!P1164,Dim_Date!B:B,Dim_Date!A:A)</f>
        <v>20251103</v>
      </c>
      <c r="C1164">
        <f>_xlfn.XLOOKUP(clean_sales!C1164,Dim_Customer!B:B,Dim_Customer!A:A)</f>
        <v>419</v>
      </c>
      <c r="D1164">
        <f>_xlfn.XLOOKUP(clean_sales!I1164,Dim_Product!B:B,Dim_Product!A:A)</f>
        <v>5</v>
      </c>
      <c r="E1164">
        <f>clean_sales!L1164</f>
        <v>3</v>
      </c>
      <c r="F1164">
        <f>clean_sales!T1164</f>
        <v>5400</v>
      </c>
    </row>
    <row r="1165" spans="1:6" x14ac:dyDescent="0.35">
      <c r="A1165" t="str">
        <v>TXN101163</v>
      </c>
      <c r="B1165">
        <f>_xlfn.XLOOKUP(clean_sales!P1165,Dim_Date!B:B,Dim_Date!A:A)</f>
        <v>20250829</v>
      </c>
      <c r="C1165">
        <f>_xlfn.XLOOKUP(clean_sales!C1165,Dim_Customer!B:B,Dim_Customer!A:A)</f>
        <v>681</v>
      </c>
      <c r="D1165">
        <f>_xlfn.XLOOKUP(clean_sales!I1165,Dim_Product!B:B,Dim_Product!A:A)</f>
        <v>1</v>
      </c>
      <c r="E1165">
        <f>clean_sales!L1165</f>
        <v>5</v>
      </c>
      <c r="F1165">
        <f>clean_sales!T1165</f>
        <v>60000</v>
      </c>
    </row>
    <row r="1166" spans="1:6" x14ac:dyDescent="0.35">
      <c r="A1166" t="str">
        <v>TXN101164</v>
      </c>
      <c r="B1166">
        <f>_xlfn.XLOOKUP(clean_sales!P1166,Dim_Date!B:B,Dim_Date!A:A)</f>
        <v>20250315</v>
      </c>
      <c r="C1166">
        <f>_xlfn.XLOOKUP(clean_sales!C1166,Dim_Customer!B:B,Dim_Customer!A:A)</f>
        <v>31</v>
      </c>
      <c r="D1166">
        <f>_xlfn.XLOOKUP(clean_sales!I1166,Dim_Product!B:B,Dim_Product!A:A)</f>
        <v>1</v>
      </c>
      <c r="E1166">
        <f>clean_sales!L1166</f>
        <v>4</v>
      </c>
      <c r="F1166">
        <f>clean_sales!T1166</f>
        <v>48000</v>
      </c>
    </row>
    <row r="1167" spans="1:6" x14ac:dyDescent="0.35">
      <c r="A1167" t="str">
        <v>TXN101165</v>
      </c>
      <c r="B1167">
        <f>_xlfn.XLOOKUP(clean_sales!P1167,Dim_Date!B:B,Dim_Date!A:A)</f>
        <v>20250708</v>
      </c>
      <c r="C1167">
        <f>_xlfn.XLOOKUP(clean_sales!C1167,Dim_Customer!B:B,Dim_Customer!A:A)</f>
        <v>682</v>
      </c>
      <c r="D1167">
        <f>_xlfn.XLOOKUP(clean_sales!I1167,Dim_Product!B:B,Dim_Product!A:A)</f>
        <v>5</v>
      </c>
      <c r="E1167">
        <f>clean_sales!L1167</f>
        <v>3</v>
      </c>
      <c r="F1167">
        <f>clean_sales!T1167</f>
        <v>5400</v>
      </c>
    </row>
    <row r="1168" spans="1:6" x14ac:dyDescent="0.35">
      <c r="A1168" t="str">
        <v>TXN101166</v>
      </c>
      <c r="B1168">
        <f>_xlfn.XLOOKUP(clean_sales!P1168,Dim_Date!B:B,Dim_Date!A:A)</f>
        <v>20250215</v>
      </c>
      <c r="C1168">
        <f>_xlfn.XLOOKUP(clean_sales!C1168,Dim_Customer!B:B,Dim_Customer!A:A)</f>
        <v>375</v>
      </c>
      <c r="D1168">
        <f>_xlfn.XLOOKUP(clean_sales!I1168,Dim_Product!B:B,Dim_Product!A:A)</f>
        <v>2</v>
      </c>
      <c r="E1168">
        <f>clean_sales!L1168</f>
        <v>5</v>
      </c>
      <c r="F1168">
        <f>clean_sales!T1168</f>
        <v>325000</v>
      </c>
    </row>
    <row r="1169" spans="1:6" x14ac:dyDescent="0.35">
      <c r="A1169" t="str">
        <v>TXN101167</v>
      </c>
      <c r="B1169">
        <f>_xlfn.XLOOKUP(clean_sales!P1169,Dim_Date!B:B,Dim_Date!A:A)</f>
        <v>20250605</v>
      </c>
      <c r="C1169">
        <f>_xlfn.XLOOKUP(clean_sales!C1169,Dim_Customer!B:B,Dim_Customer!A:A)</f>
        <v>284</v>
      </c>
      <c r="D1169">
        <f>_xlfn.XLOOKUP(clean_sales!I1169,Dim_Product!B:B,Dim_Product!A:A)</f>
        <v>6</v>
      </c>
      <c r="E1169">
        <f>clean_sales!L1169</f>
        <v>3</v>
      </c>
      <c r="F1169">
        <f>clean_sales!T1169</f>
        <v>216000</v>
      </c>
    </row>
    <row r="1170" spans="1:6" x14ac:dyDescent="0.35">
      <c r="A1170" t="str">
        <v>TXN101168</v>
      </c>
      <c r="B1170">
        <f>_xlfn.XLOOKUP(clean_sales!P1170,Dim_Date!B:B,Dim_Date!A:A)</f>
        <v>20250604</v>
      </c>
      <c r="C1170">
        <f>_xlfn.XLOOKUP(clean_sales!C1170,Dim_Customer!B:B,Dim_Customer!A:A)</f>
        <v>683</v>
      </c>
      <c r="D1170">
        <f>_xlfn.XLOOKUP(clean_sales!I1170,Dim_Product!B:B,Dim_Product!A:A)</f>
        <v>1</v>
      </c>
      <c r="E1170">
        <f>clean_sales!L1170</f>
        <v>2</v>
      </c>
      <c r="F1170">
        <f>clean_sales!T1170</f>
        <v>24000</v>
      </c>
    </row>
    <row r="1171" spans="1:6" x14ac:dyDescent="0.35">
      <c r="A1171" t="str">
        <v>TXN101169</v>
      </c>
      <c r="B1171">
        <f>_xlfn.XLOOKUP(clean_sales!P1171,Dim_Date!B:B,Dim_Date!A:A)</f>
        <v>20250417</v>
      </c>
      <c r="C1171">
        <f>_xlfn.XLOOKUP(clean_sales!C1171,Dim_Customer!B:B,Dim_Customer!A:A)</f>
        <v>684</v>
      </c>
      <c r="D1171">
        <f>_xlfn.XLOOKUP(clean_sales!I1171,Dim_Product!B:B,Dim_Product!A:A)</f>
        <v>7</v>
      </c>
      <c r="E1171">
        <f>clean_sales!L1171</f>
        <v>2</v>
      </c>
      <c r="F1171">
        <f>clean_sales!T1171</f>
        <v>116000</v>
      </c>
    </row>
    <row r="1172" spans="1:6" x14ac:dyDescent="0.35">
      <c r="A1172" t="str">
        <v>TXN101170</v>
      </c>
      <c r="B1172">
        <f>_xlfn.XLOOKUP(clean_sales!P1172,Dim_Date!B:B,Dim_Date!A:A)</f>
        <v>20250403</v>
      </c>
      <c r="C1172">
        <f>_xlfn.XLOOKUP(clean_sales!C1172,Dim_Customer!B:B,Dim_Customer!A:A)</f>
        <v>86</v>
      </c>
      <c r="D1172">
        <f>_xlfn.XLOOKUP(clean_sales!I1172,Dim_Product!B:B,Dim_Product!A:A)</f>
        <v>1</v>
      </c>
      <c r="E1172">
        <f>clean_sales!L1172</f>
        <v>3</v>
      </c>
      <c r="F1172">
        <f>clean_sales!T1172</f>
        <v>36000</v>
      </c>
    </row>
    <row r="1173" spans="1:6" x14ac:dyDescent="0.35">
      <c r="A1173" t="str">
        <v>TXN101171</v>
      </c>
      <c r="B1173">
        <f>_xlfn.XLOOKUP(clean_sales!P1173,Dim_Date!B:B,Dim_Date!A:A)</f>
        <v>20250811</v>
      </c>
      <c r="C1173">
        <f>_xlfn.XLOOKUP(clean_sales!C1173,Dim_Customer!B:B,Dim_Customer!A:A)</f>
        <v>685</v>
      </c>
      <c r="D1173">
        <f>_xlfn.XLOOKUP(clean_sales!I1173,Dim_Product!B:B,Dim_Product!A:A)</f>
        <v>2</v>
      </c>
      <c r="E1173">
        <f>clean_sales!L1173</f>
        <v>1</v>
      </c>
      <c r="F1173">
        <f>clean_sales!T1173</f>
        <v>65000</v>
      </c>
    </row>
    <row r="1174" spans="1:6" x14ac:dyDescent="0.35">
      <c r="A1174" t="str">
        <v>TXN101172</v>
      </c>
      <c r="B1174">
        <f>_xlfn.XLOOKUP(clean_sales!P1174,Dim_Date!B:B,Dim_Date!A:A)</f>
        <v>20251117</v>
      </c>
      <c r="C1174">
        <f>_xlfn.XLOOKUP(clean_sales!C1174,Dim_Customer!B:B,Dim_Customer!A:A)</f>
        <v>353</v>
      </c>
      <c r="D1174">
        <f>_xlfn.XLOOKUP(clean_sales!I1174,Dim_Product!B:B,Dim_Product!A:A)</f>
        <v>7</v>
      </c>
      <c r="E1174">
        <f>clean_sales!L1174</f>
        <v>4</v>
      </c>
      <c r="F1174">
        <f>clean_sales!T1174</f>
        <v>232000</v>
      </c>
    </row>
    <row r="1175" spans="1:6" x14ac:dyDescent="0.35">
      <c r="A1175" t="str">
        <v>TXN101173</v>
      </c>
      <c r="B1175">
        <f>_xlfn.XLOOKUP(clean_sales!P1175,Dim_Date!B:B,Dim_Date!A:A)</f>
        <v>20251203</v>
      </c>
      <c r="C1175">
        <f>_xlfn.XLOOKUP(clean_sales!C1175,Dim_Customer!B:B,Dim_Customer!A:A)</f>
        <v>104</v>
      </c>
      <c r="D1175">
        <f>_xlfn.XLOOKUP(clean_sales!I1175,Dim_Product!B:B,Dim_Product!A:A)</f>
        <v>2</v>
      </c>
      <c r="E1175">
        <f>clean_sales!L1175</f>
        <v>3</v>
      </c>
      <c r="F1175">
        <f>clean_sales!T1175</f>
        <v>195000</v>
      </c>
    </row>
    <row r="1176" spans="1:6" x14ac:dyDescent="0.35">
      <c r="A1176" t="str">
        <v>TXN101174</v>
      </c>
      <c r="B1176">
        <f>_xlfn.XLOOKUP(clean_sales!P1176,Dim_Date!B:B,Dim_Date!A:A)</f>
        <v>20250629</v>
      </c>
      <c r="C1176">
        <f>_xlfn.XLOOKUP(clean_sales!C1176,Dim_Customer!B:B,Dim_Customer!A:A)</f>
        <v>686</v>
      </c>
      <c r="D1176">
        <f>_xlfn.XLOOKUP(clean_sales!I1176,Dim_Product!B:B,Dim_Product!A:A)</f>
        <v>7</v>
      </c>
      <c r="E1176">
        <f>clean_sales!L1176</f>
        <v>1</v>
      </c>
      <c r="F1176">
        <f>clean_sales!T1176</f>
        <v>58000</v>
      </c>
    </row>
    <row r="1177" spans="1:6" x14ac:dyDescent="0.35">
      <c r="A1177" t="str">
        <v>TXN101175</v>
      </c>
      <c r="B1177">
        <f>_xlfn.XLOOKUP(clean_sales!P1177,Dim_Date!B:B,Dim_Date!A:A)</f>
        <v>20250226</v>
      </c>
      <c r="C1177">
        <f>_xlfn.XLOOKUP(clean_sales!C1177,Dim_Customer!B:B,Dim_Customer!A:A)</f>
        <v>687</v>
      </c>
      <c r="D1177">
        <f>_xlfn.XLOOKUP(clean_sales!I1177,Dim_Product!B:B,Dim_Product!A:A)</f>
        <v>3</v>
      </c>
      <c r="E1177">
        <f>clean_sales!L1177</f>
        <v>2</v>
      </c>
      <c r="F1177">
        <f>clean_sales!T1177</f>
        <v>10000</v>
      </c>
    </row>
    <row r="1178" spans="1:6" x14ac:dyDescent="0.35">
      <c r="A1178" t="str">
        <v>TXN101176</v>
      </c>
      <c r="B1178">
        <f>_xlfn.XLOOKUP(clean_sales!P1178,Dim_Date!B:B,Dim_Date!A:A)</f>
        <v>20250616</v>
      </c>
      <c r="C1178">
        <f>_xlfn.XLOOKUP(clean_sales!C1178,Dim_Customer!B:B,Dim_Customer!A:A)</f>
        <v>404</v>
      </c>
      <c r="D1178">
        <f>_xlfn.XLOOKUP(clean_sales!I1178,Dim_Product!B:B,Dim_Product!A:A)</f>
        <v>6</v>
      </c>
      <c r="E1178">
        <f>clean_sales!L1178</f>
        <v>2</v>
      </c>
      <c r="F1178">
        <f>clean_sales!T1178</f>
        <v>144000</v>
      </c>
    </row>
    <row r="1179" spans="1:6" x14ac:dyDescent="0.35">
      <c r="A1179" t="str">
        <v>TXN101177</v>
      </c>
      <c r="B1179">
        <f>_xlfn.XLOOKUP(clean_sales!P1179,Dim_Date!B:B,Dim_Date!A:A)</f>
        <v>20251021</v>
      </c>
      <c r="C1179">
        <f>_xlfn.XLOOKUP(clean_sales!C1179,Dim_Customer!B:B,Dim_Customer!A:A)</f>
        <v>688</v>
      </c>
      <c r="D1179">
        <f>_xlfn.XLOOKUP(clean_sales!I1179,Dim_Product!B:B,Dim_Product!A:A)</f>
        <v>3</v>
      </c>
      <c r="E1179">
        <f>clean_sales!L1179</f>
        <v>3</v>
      </c>
      <c r="F1179">
        <f>clean_sales!T1179</f>
        <v>15000</v>
      </c>
    </row>
    <row r="1180" spans="1:6" x14ac:dyDescent="0.35">
      <c r="A1180" t="str">
        <v>TXN101178</v>
      </c>
      <c r="B1180">
        <f>_xlfn.XLOOKUP(clean_sales!P1180,Dim_Date!B:B,Dim_Date!A:A)</f>
        <v>20260101</v>
      </c>
      <c r="C1180">
        <f>_xlfn.XLOOKUP(clean_sales!C1180,Dim_Customer!B:B,Dim_Customer!A:A)</f>
        <v>278</v>
      </c>
      <c r="D1180">
        <f>_xlfn.XLOOKUP(clean_sales!I1180,Dim_Product!B:B,Dim_Product!A:A)</f>
        <v>1</v>
      </c>
      <c r="E1180">
        <f>clean_sales!L1180</f>
        <v>4</v>
      </c>
      <c r="F1180">
        <f>clean_sales!T1180</f>
        <v>48000</v>
      </c>
    </row>
    <row r="1181" spans="1:6" x14ac:dyDescent="0.35">
      <c r="A1181" t="str">
        <v>TXN101179</v>
      </c>
      <c r="B1181">
        <f>_xlfn.XLOOKUP(clean_sales!P1181,Dim_Date!B:B,Dim_Date!A:A)</f>
        <v>20250411</v>
      </c>
      <c r="C1181">
        <f>_xlfn.XLOOKUP(clean_sales!C1181,Dim_Customer!B:B,Dim_Customer!A:A)</f>
        <v>352</v>
      </c>
      <c r="D1181">
        <f>_xlfn.XLOOKUP(clean_sales!I1181,Dim_Product!B:B,Dim_Product!A:A)</f>
        <v>6</v>
      </c>
      <c r="E1181">
        <f>clean_sales!L1181</f>
        <v>5</v>
      </c>
      <c r="F1181">
        <f>clean_sales!T1181</f>
        <v>360000</v>
      </c>
    </row>
    <row r="1182" spans="1:6" x14ac:dyDescent="0.35">
      <c r="A1182" t="str">
        <v>TXN101180</v>
      </c>
      <c r="B1182">
        <f>_xlfn.XLOOKUP(clean_sales!P1182,Dim_Date!B:B,Dim_Date!A:A)</f>
        <v>20250401</v>
      </c>
      <c r="C1182">
        <f>_xlfn.XLOOKUP(clean_sales!C1182,Dim_Customer!B:B,Dim_Customer!A:A)</f>
        <v>234</v>
      </c>
      <c r="D1182">
        <f>_xlfn.XLOOKUP(clean_sales!I1182,Dim_Product!B:B,Dim_Product!A:A)</f>
        <v>2</v>
      </c>
      <c r="E1182">
        <f>clean_sales!L1182</f>
        <v>2</v>
      </c>
      <c r="F1182">
        <f>clean_sales!T1182</f>
        <v>130000</v>
      </c>
    </row>
    <row r="1183" spans="1:6" x14ac:dyDescent="0.35">
      <c r="A1183" t="str">
        <v>TXN101181</v>
      </c>
      <c r="B1183">
        <f>_xlfn.XLOOKUP(clean_sales!P1183,Dim_Date!B:B,Dim_Date!A:A)</f>
        <v>20251129</v>
      </c>
      <c r="C1183">
        <f>_xlfn.XLOOKUP(clean_sales!C1183,Dim_Customer!B:B,Dim_Customer!A:A)</f>
        <v>689</v>
      </c>
      <c r="D1183">
        <f>_xlfn.XLOOKUP(clean_sales!I1183,Dim_Product!B:B,Dim_Product!A:A)</f>
        <v>6</v>
      </c>
      <c r="E1183">
        <f>clean_sales!L1183</f>
        <v>3</v>
      </c>
      <c r="F1183">
        <f>clean_sales!T1183</f>
        <v>216000</v>
      </c>
    </row>
    <row r="1184" spans="1:6" x14ac:dyDescent="0.35">
      <c r="A1184" t="str">
        <v>TXN101182</v>
      </c>
      <c r="B1184">
        <f>_xlfn.XLOOKUP(clean_sales!P1184,Dim_Date!B:B,Dim_Date!A:A)</f>
        <v>20250111</v>
      </c>
      <c r="C1184">
        <f>_xlfn.XLOOKUP(clean_sales!C1184,Dim_Customer!B:B,Dim_Customer!A:A)</f>
        <v>690</v>
      </c>
      <c r="D1184">
        <f>_xlfn.XLOOKUP(clean_sales!I1184,Dim_Product!B:B,Dim_Product!A:A)</f>
        <v>1</v>
      </c>
      <c r="E1184">
        <f>clean_sales!L1184</f>
        <v>3</v>
      </c>
      <c r="F1184">
        <f>clean_sales!T1184</f>
        <v>36000</v>
      </c>
    </row>
    <row r="1185" spans="1:6" x14ac:dyDescent="0.35">
      <c r="A1185" t="str">
        <v>TXN101183</v>
      </c>
      <c r="B1185">
        <f>_xlfn.XLOOKUP(clean_sales!P1185,Dim_Date!B:B,Dim_Date!A:A)</f>
        <v>20250622</v>
      </c>
      <c r="C1185">
        <f>_xlfn.XLOOKUP(clean_sales!C1185,Dim_Customer!B:B,Dim_Customer!A:A)</f>
        <v>259</v>
      </c>
      <c r="D1185">
        <f>_xlfn.XLOOKUP(clean_sales!I1185,Dim_Product!B:B,Dim_Product!A:A)</f>
        <v>4</v>
      </c>
      <c r="E1185">
        <f>clean_sales!L1185</f>
        <v>3</v>
      </c>
      <c r="F1185">
        <f>clean_sales!T1185</f>
        <v>13500</v>
      </c>
    </row>
    <row r="1186" spans="1:6" x14ac:dyDescent="0.35">
      <c r="A1186" t="str">
        <v>TXN101184</v>
      </c>
      <c r="B1186">
        <f>_xlfn.XLOOKUP(clean_sales!P1186,Dim_Date!B:B,Dim_Date!A:A)</f>
        <v>20250610</v>
      </c>
      <c r="C1186">
        <f>_xlfn.XLOOKUP(clean_sales!C1186,Dim_Customer!B:B,Dim_Customer!A:A)</f>
        <v>11</v>
      </c>
      <c r="D1186">
        <f>_xlfn.XLOOKUP(clean_sales!I1186,Dim_Product!B:B,Dim_Product!A:A)</f>
        <v>7</v>
      </c>
      <c r="E1186">
        <f>clean_sales!L1186</f>
        <v>2</v>
      </c>
      <c r="F1186">
        <f>clean_sales!T1186</f>
        <v>116000</v>
      </c>
    </row>
    <row r="1187" spans="1:6" x14ac:dyDescent="0.35">
      <c r="A1187" t="str">
        <v>TXN101185</v>
      </c>
      <c r="B1187">
        <f>_xlfn.XLOOKUP(clean_sales!P1187,Dim_Date!B:B,Dim_Date!A:A)</f>
        <v>20250602</v>
      </c>
      <c r="C1187">
        <f>_xlfn.XLOOKUP(clean_sales!C1187,Dim_Customer!B:B,Dim_Customer!A:A)</f>
        <v>501</v>
      </c>
      <c r="D1187">
        <f>_xlfn.XLOOKUP(clean_sales!I1187,Dim_Product!B:B,Dim_Product!A:A)</f>
        <v>1</v>
      </c>
      <c r="E1187">
        <f>clean_sales!L1187</f>
        <v>4</v>
      </c>
      <c r="F1187">
        <f>clean_sales!T1187</f>
        <v>48000</v>
      </c>
    </row>
    <row r="1188" spans="1:6" x14ac:dyDescent="0.35">
      <c r="A1188" t="str">
        <v>TXN101186</v>
      </c>
      <c r="B1188">
        <f>_xlfn.XLOOKUP(clean_sales!P1188,Dim_Date!B:B,Dim_Date!A:A)</f>
        <v>20251007</v>
      </c>
      <c r="C1188">
        <f>_xlfn.XLOOKUP(clean_sales!C1188,Dim_Customer!B:B,Dim_Customer!A:A)</f>
        <v>691</v>
      </c>
      <c r="D1188">
        <f>_xlfn.XLOOKUP(clean_sales!I1188,Dim_Product!B:B,Dim_Product!A:A)</f>
        <v>5</v>
      </c>
      <c r="E1188">
        <f>clean_sales!L1188</f>
        <v>5</v>
      </c>
      <c r="F1188">
        <f>clean_sales!T1188</f>
        <v>9000</v>
      </c>
    </row>
    <row r="1189" spans="1:6" x14ac:dyDescent="0.35">
      <c r="A1189" t="str">
        <v>TXN101187</v>
      </c>
      <c r="B1189">
        <f>_xlfn.XLOOKUP(clean_sales!P1189,Dim_Date!B:B,Dim_Date!A:A)</f>
        <v>20250706</v>
      </c>
      <c r="C1189">
        <f>_xlfn.XLOOKUP(clean_sales!C1189,Dim_Customer!B:B,Dim_Customer!A:A)</f>
        <v>692</v>
      </c>
      <c r="D1189">
        <f>_xlfn.XLOOKUP(clean_sales!I1189,Dim_Product!B:B,Dim_Product!A:A)</f>
        <v>2</v>
      </c>
      <c r="E1189">
        <f>clean_sales!L1189</f>
        <v>3</v>
      </c>
      <c r="F1189">
        <f>clean_sales!T1189</f>
        <v>195000</v>
      </c>
    </row>
    <row r="1190" spans="1:6" x14ac:dyDescent="0.35">
      <c r="A1190" t="str">
        <v>TXN101188</v>
      </c>
      <c r="B1190">
        <f>_xlfn.XLOOKUP(clean_sales!P1190,Dim_Date!B:B,Dim_Date!A:A)</f>
        <v>20250227</v>
      </c>
      <c r="C1190">
        <f>_xlfn.XLOOKUP(clean_sales!C1190,Dim_Customer!B:B,Dim_Customer!A:A)</f>
        <v>693</v>
      </c>
      <c r="D1190">
        <f>_xlfn.XLOOKUP(clean_sales!I1190,Dim_Product!B:B,Dim_Product!A:A)</f>
        <v>6</v>
      </c>
      <c r="E1190">
        <f>clean_sales!L1190</f>
        <v>3</v>
      </c>
      <c r="F1190">
        <f>clean_sales!T1190</f>
        <v>216000</v>
      </c>
    </row>
    <row r="1191" spans="1:6" x14ac:dyDescent="0.35">
      <c r="A1191" t="str">
        <v>TXN101189</v>
      </c>
      <c r="B1191">
        <f>_xlfn.XLOOKUP(clean_sales!P1191,Dim_Date!B:B,Dim_Date!A:A)</f>
        <v>20250415</v>
      </c>
      <c r="C1191">
        <f>_xlfn.XLOOKUP(clean_sales!C1191,Dim_Customer!B:B,Dim_Customer!A:A)</f>
        <v>108</v>
      </c>
      <c r="D1191">
        <f>_xlfn.XLOOKUP(clean_sales!I1191,Dim_Product!B:B,Dim_Product!A:A)</f>
        <v>2</v>
      </c>
      <c r="E1191">
        <f>clean_sales!L1191</f>
        <v>1</v>
      </c>
      <c r="F1191">
        <f>clean_sales!T1191</f>
        <v>65000</v>
      </c>
    </row>
    <row r="1192" spans="1:6" x14ac:dyDescent="0.35">
      <c r="A1192" t="str">
        <v>TXN101190</v>
      </c>
      <c r="B1192">
        <f>_xlfn.XLOOKUP(clean_sales!P1192,Dim_Date!B:B,Dim_Date!A:A)</f>
        <v>20250115</v>
      </c>
      <c r="C1192">
        <f>_xlfn.XLOOKUP(clean_sales!C1192,Dim_Customer!B:B,Dim_Customer!A:A)</f>
        <v>239</v>
      </c>
      <c r="D1192">
        <f>_xlfn.XLOOKUP(clean_sales!I1192,Dim_Product!B:B,Dim_Product!A:A)</f>
        <v>3</v>
      </c>
      <c r="E1192">
        <f>clean_sales!L1192</f>
        <v>3</v>
      </c>
      <c r="F1192">
        <f>clean_sales!T1192</f>
        <v>15000</v>
      </c>
    </row>
    <row r="1193" spans="1:6" x14ac:dyDescent="0.35">
      <c r="A1193" t="str">
        <v>TXN101191</v>
      </c>
      <c r="B1193">
        <f>_xlfn.XLOOKUP(clean_sales!P1193,Dim_Date!B:B,Dim_Date!A:A)</f>
        <v>20250501</v>
      </c>
      <c r="C1193">
        <f>_xlfn.XLOOKUP(clean_sales!C1193,Dim_Customer!B:B,Dim_Customer!A:A)</f>
        <v>529</v>
      </c>
      <c r="D1193">
        <f>_xlfn.XLOOKUP(clean_sales!I1193,Dim_Product!B:B,Dim_Product!A:A)</f>
        <v>1</v>
      </c>
      <c r="E1193">
        <f>clean_sales!L1193</f>
        <v>1</v>
      </c>
      <c r="F1193">
        <f>clean_sales!T1193</f>
        <v>12000</v>
      </c>
    </row>
    <row r="1194" spans="1:6" x14ac:dyDescent="0.35">
      <c r="A1194" t="str">
        <v>TXN101192</v>
      </c>
      <c r="B1194">
        <f>_xlfn.XLOOKUP(clean_sales!P1194,Dim_Date!B:B,Dim_Date!A:A)</f>
        <v>20250123</v>
      </c>
      <c r="C1194">
        <f>_xlfn.XLOOKUP(clean_sales!C1194,Dim_Customer!B:B,Dim_Customer!A:A)</f>
        <v>471</v>
      </c>
      <c r="D1194">
        <f>_xlfn.XLOOKUP(clean_sales!I1194,Dim_Product!B:B,Dim_Product!A:A)</f>
        <v>4</v>
      </c>
      <c r="E1194">
        <f>clean_sales!L1194</f>
        <v>3</v>
      </c>
      <c r="F1194">
        <f>clean_sales!T1194</f>
        <v>13500</v>
      </c>
    </row>
    <row r="1195" spans="1:6" x14ac:dyDescent="0.35">
      <c r="A1195" t="str">
        <v>TXN101193</v>
      </c>
      <c r="B1195">
        <f>_xlfn.XLOOKUP(clean_sales!P1195,Dim_Date!B:B,Dim_Date!A:A)</f>
        <v>20250113</v>
      </c>
      <c r="C1195">
        <f>_xlfn.XLOOKUP(clean_sales!C1195,Dim_Customer!B:B,Dim_Customer!A:A)</f>
        <v>482</v>
      </c>
      <c r="D1195">
        <f>_xlfn.XLOOKUP(clean_sales!I1195,Dim_Product!B:B,Dim_Product!A:A)</f>
        <v>7</v>
      </c>
      <c r="E1195">
        <f>clean_sales!L1195</f>
        <v>1</v>
      </c>
      <c r="F1195">
        <f>clean_sales!T1195</f>
        <v>58000</v>
      </c>
    </row>
    <row r="1196" spans="1:6" x14ac:dyDescent="0.35">
      <c r="A1196" t="str">
        <v>TXN101194</v>
      </c>
      <c r="B1196">
        <f>_xlfn.XLOOKUP(clean_sales!P1196,Dim_Date!B:B,Dim_Date!A:A)</f>
        <v>20251007</v>
      </c>
      <c r="C1196">
        <f>_xlfn.XLOOKUP(clean_sales!C1196,Dim_Customer!B:B,Dim_Customer!A:A)</f>
        <v>587</v>
      </c>
      <c r="D1196">
        <f>_xlfn.XLOOKUP(clean_sales!I1196,Dim_Product!B:B,Dim_Product!A:A)</f>
        <v>2</v>
      </c>
      <c r="E1196">
        <f>clean_sales!L1196</f>
        <v>2</v>
      </c>
      <c r="F1196">
        <f>clean_sales!T1196</f>
        <v>130000</v>
      </c>
    </row>
    <row r="1197" spans="1:6" x14ac:dyDescent="0.35">
      <c r="A1197" t="str">
        <v>TXN101195</v>
      </c>
      <c r="B1197">
        <f>_xlfn.XLOOKUP(clean_sales!P1197,Dim_Date!B:B,Dim_Date!A:A)</f>
        <v>20250517</v>
      </c>
      <c r="C1197">
        <f>_xlfn.XLOOKUP(clean_sales!C1197,Dim_Customer!B:B,Dim_Customer!A:A)</f>
        <v>100</v>
      </c>
      <c r="D1197">
        <f>_xlfn.XLOOKUP(clean_sales!I1197,Dim_Product!B:B,Dim_Product!A:A)</f>
        <v>2</v>
      </c>
      <c r="E1197">
        <f>clean_sales!L1197</f>
        <v>3</v>
      </c>
      <c r="F1197">
        <f>clean_sales!T1197</f>
        <v>195000</v>
      </c>
    </row>
    <row r="1198" spans="1:6" x14ac:dyDescent="0.35">
      <c r="A1198" t="str">
        <v>TXN101196</v>
      </c>
      <c r="B1198">
        <f>_xlfn.XLOOKUP(clean_sales!P1198,Dim_Date!B:B,Dim_Date!A:A)</f>
        <v>20251121</v>
      </c>
      <c r="C1198">
        <f>_xlfn.XLOOKUP(clean_sales!C1198,Dim_Customer!B:B,Dim_Customer!A:A)</f>
        <v>694</v>
      </c>
      <c r="D1198">
        <f>_xlfn.XLOOKUP(clean_sales!I1198,Dim_Product!B:B,Dim_Product!A:A)</f>
        <v>5</v>
      </c>
      <c r="E1198">
        <f>clean_sales!L1198</f>
        <v>2</v>
      </c>
      <c r="F1198">
        <f>clean_sales!T1198</f>
        <v>3600</v>
      </c>
    </row>
    <row r="1199" spans="1:6" x14ac:dyDescent="0.35">
      <c r="A1199" t="str">
        <v>TXN101197</v>
      </c>
      <c r="B1199">
        <f>_xlfn.XLOOKUP(clean_sales!P1199,Dim_Date!B:B,Dim_Date!A:A)</f>
        <v>20250121</v>
      </c>
      <c r="C1199">
        <f>_xlfn.XLOOKUP(clean_sales!C1199,Dim_Customer!B:B,Dim_Customer!A:A)</f>
        <v>170</v>
      </c>
      <c r="D1199">
        <f>_xlfn.XLOOKUP(clean_sales!I1199,Dim_Product!B:B,Dim_Product!A:A)</f>
        <v>6</v>
      </c>
      <c r="E1199">
        <f>clean_sales!L1199</f>
        <v>4</v>
      </c>
      <c r="F1199">
        <f>clean_sales!T1199</f>
        <v>288000</v>
      </c>
    </row>
    <row r="1200" spans="1:6" x14ac:dyDescent="0.35">
      <c r="A1200" t="str">
        <v>TXN101198</v>
      </c>
      <c r="B1200">
        <f>_xlfn.XLOOKUP(clean_sales!P1200,Dim_Date!B:B,Dim_Date!A:A)</f>
        <v>20250611</v>
      </c>
      <c r="C1200">
        <f>_xlfn.XLOOKUP(clean_sales!C1200,Dim_Customer!B:B,Dim_Customer!A:A)</f>
        <v>695</v>
      </c>
      <c r="D1200">
        <f>_xlfn.XLOOKUP(clean_sales!I1200,Dim_Product!B:B,Dim_Product!A:A)</f>
        <v>1</v>
      </c>
      <c r="E1200">
        <f>clean_sales!L1200</f>
        <v>1</v>
      </c>
      <c r="F1200">
        <f>clean_sales!T1200</f>
        <v>12000</v>
      </c>
    </row>
    <row r="1201" spans="1:6" x14ac:dyDescent="0.35">
      <c r="A1201" t="str">
        <v>TXN101199</v>
      </c>
      <c r="B1201">
        <f>_xlfn.XLOOKUP(clean_sales!P1201,Dim_Date!B:B,Dim_Date!A:A)</f>
        <v>20250526</v>
      </c>
      <c r="C1201">
        <f>_xlfn.XLOOKUP(clean_sales!C1201,Dim_Customer!B:B,Dim_Customer!A:A)</f>
        <v>364</v>
      </c>
      <c r="D1201">
        <f>_xlfn.XLOOKUP(clean_sales!I1201,Dim_Product!B:B,Dim_Product!A:A)</f>
        <v>4</v>
      </c>
      <c r="E1201">
        <f>clean_sales!L1201</f>
        <v>5</v>
      </c>
      <c r="F1201">
        <f>clean_sales!T1201</f>
        <v>22500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3A98-FDD5-4A89-AAFE-971F894F427A}">
  <dimension ref="A1:J696"/>
  <sheetViews>
    <sheetView tabSelected="1" topLeftCell="C1" workbookViewId="0">
      <selection activeCell="J2" sqref="J2:J696"/>
    </sheetView>
  </sheetViews>
  <sheetFormatPr defaultRowHeight="14.5" x14ac:dyDescent="0.35"/>
  <cols>
    <col min="1" max="1" width="10.81640625" bestFit="1" customWidth="1"/>
    <col min="2" max="2" width="15.6328125" bestFit="1" customWidth="1"/>
    <col min="4" max="4" width="9.453125" bestFit="1" customWidth="1"/>
    <col min="5" max="5" width="9" bestFit="1" customWidth="1"/>
    <col min="9" max="9" width="10.08984375" bestFit="1" customWidth="1"/>
  </cols>
  <sheetData>
    <row r="1" spans="1:10" x14ac:dyDescent="0.35">
      <c r="A1" s="1" t="s">
        <v>2</v>
      </c>
      <c r="B1" t="s">
        <v>3720</v>
      </c>
      <c r="C1" t="s">
        <v>3721</v>
      </c>
      <c r="D1" t="s">
        <v>3722</v>
      </c>
      <c r="E1" t="s">
        <v>3723</v>
      </c>
      <c r="F1" t="s">
        <v>3724</v>
      </c>
      <c r="G1" t="s">
        <v>3725</v>
      </c>
      <c r="H1" t="s">
        <v>3726</v>
      </c>
      <c r="I1" t="s">
        <v>3727</v>
      </c>
      <c r="J1" t="s">
        <v>3728</v>
      </c>
    </row>
    <row r="2" spans="1:10" x14ac:dyDescent="0.35">
      <c r="A2" t="s">
        <v>1788</v>
      </c>
      <c r="B2" s="2">
        <f>_xlfn.MAXIFS(clean_sales!P:P,clean_sales!C:C,RFM_Analysis!A2)</f>
        <v>45882</v>
      </c>
      <c r="C2">
        <f ca="1">TODAY()-B2</f>
        <v>146</v>
      </c>
      <c r="D2">
        <f>COUNTIFS(clean_sales!C:C,RFM_Analysis!A2)</f>
        <v>2</v>
      </c>
      <c r="E2">
        <f>SUMIFS(clean_sales!T:T,clean_sales!C:C,RFM_Analysis!A2)</f>
        <v>67200</v>
      </c>
      <c r="F2">
        <f ca="1">IF(C2&lt;=PERCENTILE($C:$C,0.2),5,
IF(C2&lt;=PERCENTILE($C:$C,0.4),4,
IF(C2&lt;=PERCENTILE($C:$C,0.6),3,
IF(C2&lt;=PERCENTILE($C:$C,0.8),2,1))))</f>
        <v>3</v>
      </c>
      <c r="G2">
        <f>IF(D2&lt;=PERCENTILE($D:$D,0.2),1,
IF(D2&lt;=PERCENTILE($D:$D,0.4),2,
IF(D2&lt;=PERCENTILE($D:$D,0.6),3,
IF(D2&lt;=PERCENTILE($D:$D,0.8),4,5))))</f>
        <v>3</v>
      </c>
      <c r="H2">
        <f>IF(E2&lt;=PERCENTILE($E:$E,0.2),1,
IF(E2&lt;=PERCENTILE($E:$E,0.4),2,
IF(E2&lt;=PERCENTILE($E:$E,0.6),3,
IF(E2&lt;=PERCENTILE($E:$E,0.8),4,5))))</f>
        <v>3</v>
      </c>
      <c r="I2" t="str">
        <f ca="1">F2&amp;G2&amp;H2</f>
        <v>333</v>
      </c>
      <c r="J2" t="str">
        <f ca="1">IF(I2="555","Champions",
IF(AND(F2&gt;=4,G2&gt;=4),"Loyal",
IF(F2&lt;=2,"At Risk","Regular")))</f>
        <v>Regular</v>
      </c>
    </row>
    <row r="3" spans="1:10" x14ac:dyDescent="0.35">
      <c r="A3" t="s">
        <v>1789</v>
      </c>
      <c r="B3" s="2">
        <f>_xlfn.MAXIFS(clean_sales!P:P,clean_sales!C:C,RFM_Analysis!A3)</f>
        <v>45938</v>
      </c>
      <c r="C3">
        <f t="shared" ref="C3:C66" ca="1" si="0">TODAY()-B3</f>
        <v>90</v>
      </c>
      <c r="D3">
        <f>COUNTIFS(clean_sales!C:C,RFM_Analysis!A3)</f>
        <v>2</v>
      </c>
      <c r="E3">
        <f>SUMIFS(clean_sales!T:T,clean_sales!C:C,RFM_Analysis!A3)</f>
        <v>41400</v>
      </c>
      <c r="F3">
        <f t="shared" ref="F3:F66" ca="1" si="1">IF(C3&lt;=PERCENTILE($C:$C,0.2),5,
IF(C3&lt;=PERCENTILE($C:$C,0.4),4,
IF(C3&lt;=PERCENTILE($C:$C,0.6),3,
IF(C3&lt;=PERCENTILE($C:$C,0.8),2,1))))</f>
        <v>4</v>
      </c>
      <c r="G3">
        <f t="shared" ref="G3:G66" si="2">IF(D3&lt;=PERCENTILE($D:$D,0.2),1,
IF(D3&lt;=PERCENTILE($D:$D,0.4),2,
IF(D3&lt;=PERCENTILE($D:$D,0.6),3,
IF(D3&lt;=PERCENTILE($D:$D,0.8),4,5))))</f>
        <v>3</v>
      </c>
      <c r="H3">
        <f t="shared" ref="H3:H66" si="3">IF(E3&lt;=PERCENTILE($E:$E,0.2),1,
IF(E3&lt;=PERCENTILE($E:$E,0.4),2,
IF(E3&lt;=PERCENTILE($E:$E,0.6),3,
IF(E3&lt;=PERCENTILE($E:$E,0.8),4,5))))</f>
        <v>2</v>
      </c>
      <c r="I3" t="str">
        <f t="shared" ref="I3:I66" ca="1" si="4">F3&amp;G3&amp;H3</f>
        <v>432</v>
      </c>
      <c r="J3" t="str">
        <f t="shared" ref="J3:J66" ca="1" si="5">IF(I3="555","Champions",
IF(AND(F3&gt;=4,G3&gt;=4),"Loyal",
IF(F3&lt;=2,"At Risk","Regular")))</f>
        <v>Regular</v>
      </c>
    </row>
    <row r="4" spans="1:10" x14ac:dyDescent="0.35">
      <c r="A4" t="s">
        <v>1790</v>
      </c>
      <c r="B4" s="2">
        <f>_xlfn.MAXIFS(clean_sales!P:P,clean_sales!C:C,RFM_Analysis!A4)</f>
        <v>45879</v>
      </c>
      <c r="C4">
        <f t="shared" ca="1" si="0"/>
        <v>149</v>
      </c>
      <c r="D4">
        <f>COUNTIFS(clean_sales!C:C,RFM_Analysis!A4)</f>
        <v>1</v>
      </c>
      <c r="E4">
        <f>SUMIFS(clean_sales!T:T,clean_sales!C:C,RFM_Analysis!A4)</f>
        <v>65000</v>
      </c>
      <c r="F4">
        <f t="shared" ca="1" si="1"/>
        <v>3</v>
      </c>
      <c r="G4">
        <f t="shared" si="2"/>
        <v>1</v>
      </c>
      <c r="H4">
        <f t="shared" si="3"/>
        <v>3</v>
      </c>
      <c r="I4" t="str">
        <f t="shared" ca="1" si="4"/>
        <v>313</v>
      </c>
      <c r="J4" t="str">
        <f t="shared" ca="1" si="5"/>
        <v>Regular</v>
      </c>
    </row>
    <row r="5" spans="1:10" x14ac:dyDescent="0.35">
      <c r="A5" t="s">
        <v>1791</v>
      </c>
      <c r="B5" s="2">
        <f>_xlfn.MAXIFS(clean_sales!P:P,clean_sales!C:C,RFM_Analysis!A5)</f>
        <v>46010</v>
      </c>
      <c r="C5">
        <f t="shared" ca="1" si="0"/>
        <v>18</v>
      </c>
      <c r="D5">
        <f>COUNTIFS(clean_sales!C:C,RFM_Analysis!A5)</f>
        <v>1</v>
      </c>
      <c r="E5">
        <f>SUMIFS(clean_sales!T:T,clean_sales!C:C,RFM_Analysis!A5)</f>
        <v>20000</v>
      </c>
      <c r="F5">
        <f t="shared" ca="1" si="1"/>
        <v>5</v>
      </c>
      <c r="G5">
        <f t="shared" si="2"/>
        <v>1</v>
      </c>
      <c r="H5">
        <f t="shared" si="3"/>
        <v>2</v>
      </c>
      <c r="I5" t="str">
        <f t="shared" ca="1" si="4"/>
        <v>512</v>
      </c>
      <c r="J5" t="str">
        <f t="shared" ca="1" si="5"/>
        <v>Regular</v>
      </c>
    </row>
    <row r="6" spans="1:10" x14ac:dyDescent="0.35">
      <c r="A6" t="s">
        <v>1792</v>
      </c>
      <c r="B6" s="2">
        <f>_xlfn.MAXIFS(clean_sales!P:P,clean_sales!C:C,RFM_Analysis!A6)</f>
        <v>45778</v>
      </c>
      <c r="C6">
        <f t="shared" ca="1" si="0"/>
        <v>250</v>
      </c>
      <c r="D6">
        <f>COUNTIFS(clean_sales!C:C,RFM_Analysis!A6)</f>
        <v>1</v>
      </c>
      <c r="E6">
        <f>SUMIFS(clean_sales!T:T,clean_sales!C:C,RFM_Analysis!A6)</f>
        <v>4500</v>
      </c>
      <c r="F6">
        <f t="shared" ca="1" si="1"/>
        <v>1</v>
      </c>
      <c r="G6">
        <f t="shared" si="2"/>
        <v>1</v>
      </c>
      <c r="H6">
        <f t="shared" si="3"/>
        <v>1</v>
      </c>
      <c r="I6" t="str">
        <f t="shared" ca="1" si="4"/>
        <v>111</v>
      </c>
      <c r="J6" t="str">
        <f t="shared" ca="1" si="5"/>
        <v>At Risk</v>
      </c>
    </row>
    <row r="7" spans="1:10" x14ac:dyDescent="0.35">
      <c r="A7" t="s">
        <v>1793</v>
      </c>
      <c r="B7" s="2">
        <f>_xlfn.MAXIFS(clean_sales!P:P,clean_sales!C:C,RFM_Analysis!A7)</f>
        <v>45872</v>
      </c>
      <c r="C7">
        <f t="shared" ca="1" si="0"/>
        <v>156</v>
      </c>
      <c r="D7">
        <f>COUNTIFS(clean_sales!C:C,RFM_Analysis!A7)</f>
        <v>3</v>
      </c>
      <c r="E7">
        <f>SUMIFS(clean_sales!T:T,clean_sales!C:C,RFM_Analysis!A7)</f>
        <v>37200</v>
      </c>
      <c r="F7">
        <f t="shared" ca="1" si="1"/>
        <v>3</v>
      </c>
      <c r="G7">
        <f t="shared" si="2"/>
        <v>5</v>
      </c>
      <c r="H7">
        <f t="shared" si="3"/>
        <v>2</v>
      </c>
      <c r="I7" t="str">
        <f t="shared" ca="1" si="4"/>
        <v>352</v>
      </c>
      <c r="J7" t="str">
        <f t="shared" ca="1" si="5"/>
        <v>Regular</v>
      </c>
    </row>
    <row r="8" spans="1:10" x14ac:dyDescent="0.35">
      <c r="A8" t="s">
        <v>1794</v>
      </c>
      <c r="B8" s="2">
        <f>_xlfn.MAXIFS(clean_sales!P:P,clean_sales!C:C,RFM_Analysis!A8)</f>
        <v>45804</v>
      </c>
      <c r="C8">
        <f t="shared" ca="1" si="0"/>
        <v>224</v>
      </c>
      <c r="D8">
        <f>COUNTIFS(clean_sales!C:C,RFM_Analysis!A8)</f>
        <v>2</v>
      </c>
      <c r="E8">
        <f>SUMIFS(clean_sales!T:T,clean_sales!C:C,RFM_Analysis!A8)</f>
        <v>208500</v>
      </c>
      <c r="F8">
        <f t="shared" ca="1" si="1"/>
        <v>2</v>
      </c>
      <c r="G8">
        <f t="shared" si="2"/>
        <v>3</v>
      </c>
      <c r="H8">
        <f t="shared" si="3"/>
        <v>4</v>
      </c>
      <c r="I8" t="str">
        <f t="shared" ca="1" si="4"/>
        <v>234</v>
      </c>
      <c r="J8" t="str">
        <f t="shared" ca="1" si="5"/>
        <v>At Risk</v>
      </c>
    </row>
    <row r="9" spans="1:10" x14ac:dyDescent="0.35">
      <c r="A9" t="s">
        <v>1795</v>
      </c>
      <c r="B9" s="2">
        <f>_xlfn.MAXIFS(clean_sales!P:P,clean_sales!C:C,RFM_Analysis!A9)</f>
        <v>45843</v>
      </c>
      <c r="C9">
        <f t="shared" ca="1" si="0"/>
        <v>185</v>
      </c>
      <c r="D9">
        <f>COUNTIFS(clean_sales!C:C,RFM_Analysis!A9)</f>
        <v>2</v>
      </c>
      <c r="E9">
        <f>SUMIFS(clean_sales!T:T,clean_sales!C:C,RFM_Analysis!A9)</f>
        <v>31500</v>
      </c>
      <c r="F9">
        <f t="shared" ca="1" si="1"/>
        <v>2</v>
      </c>
      <c r="G9">
        <f t="shared" si="2"/>
        <v>3</v>
      </c>
      <c r="H9">
        <f t="shared" si="3"/>
        <v>2</v>
      </c>
      <c r="I9" t="str">
        <f t="shared" ca="1" si="4"/>
        <v>232</v>
      </c>
      <c r="J9" t="str">
        <f t="shared" ca="1" si="5"/>
        <v>At Risk</v>
      </c>
    </row>
    <row r="10" spans="1:10" x14ac:dyDescent="0.35">
      <c r="A10" t="s">
        <v>1796</v>
      </c>
      <c r="B10" s="2">
        <f>_xlfn.MAXIFS(clean_sales!P:P,clean_sales!C:C,RFM_Analysis!A10)</f>
        <v>45939</v>
      </c>
      <c r="C10">
        <f t="shared" ca="1" si="0"/>
        <v>89</v>
      </c>
      <c r="D10">
        <f>COUNTIFS(clean_sales!C:C,RFM_Analysis!A10)</f>
        <v>3</v>
      </c>
      <c r="E10">
        <f>SUMIFS(clean_sales!T:T,clean_sales!C:C,RFM_Analysis!A10)</f>
        <v>310400</v>
      </c>
      <c r="F10">
        <f t="shared" ca="1" si="1"/>
        <v>4</v>
      </c>
      <c r="G10">
        <f t="shared" si="2"/>
        <v>5</v>
      </c>
      <c r="H10">
        <f t="shared" si="3"/>
        <v>5</v>
      </c>
      <c r="I10" t="str">
        <f t="shared" ca="1" si="4"/>
        <v>455</v>
      </c>
      <c r="J10" t="str">
        <f t="shared" ca="1" si="5"/>
        <v>Loyal</v>
      </c>
    </row>
    <row r="11" spans="1:10" x14ac:dyDescent="0.35">
      <c r="A11" t="s">
        <v>1797</v>
      </c>
      <c r="B11" s="2">
        <f>_xlfn.MAXIFS(clean_sales!P:P,clean_sales!C:C,RFM_Analysis!A11)</f>
        <v>45801</v>
      </c>
      <c r="C11">
        <f t="shared" ca="1" si="0"/>
        <v>227</v>
      </c>
      <c r="D11">
        <f>COUNTIFS(clean_sales!C:C,RFM_Analysis!A11)</f>
        <v>1</v>
      </c>
      <c r="E11">
        <f>SUMIFS(clean_sales!T:T,clean_sales!C:C,RFM_Analysis!A11)</f>
        <v>72000</v>
      </c>
      <c r="F11">
        <f t="shared" ca="1" si="1"/>
        <v>2</v>
      </c>
      <c r="G11">
        <f t="shared" si="2"/>
        <v>1</v>
      </c>
      <c r="H11">
        <f t="shared" si="3"/>
        <v>3</v>
      </c>
      <c r="I11" t="str">
        <f t="shared" ca="1" si="4"/>
        <v>213</v>
      </c>
      <c r="J11" t="str">
        <f t="shared" ca="1" si="5"/>
        <v>At Risk</v>
      </c>
    </row>
    <row r="12" spans="1:10" x14ac:dyDescent="0.35">
      <c r="A12" t="s">
        <v>1798</v>
      </c>
      <c r="B12" s="2">
        <f>_xlfn.MAXIFS(clean_sales!P:P,clean_sales!C:C,RFM_Analysis!A12)</f>
        <v>45863</v>
      </c>
      <c r="C12">
        <f t="shared" ca="1" si="0"/>
        <v>165</v>
      </c>
      <c r="D12">
        <f>COUNTIFS(clean_sales!C:C,RFM_Analysis!A12)</f>
        <v>3</v>
      </c>
      <c r="E12">
        <f>SUMIFS(clean_sales!T:T,clean_sales!C:C,RFM_Analysis!A12)</f>
        <v>253200</v>
      </c>
      <c r="F12">
        <f t="shared" ca="1" si="1"/>
        <v>3</v>
      </c>
      <c r="G12">
        <f t="shared" si="2"/>
        <v>5</v>
      </c>
      <c r="H12">
        <f t="shared" si="3"/>
        <v>4</v>
      </c>
      <c r="I12" t="str">
        <f t="shared" ca="1" si="4"/>
        <v>354</v>
      </c>
      <c r="J12" t="str">
        <f t="shared" ca="1" si="5"/>
        <v>Regular</v>
      </c>
    </row>
    <row r="13" spans="1:10" x14ac:dyDescent="0.35">
      <c r="A13" t="s">
        <v>1799</v>
      </c>
      <c r="B13" s="2">
        <f>_xlfn.MAXIFS(clean_sales!P:P,clean_sales!C:C,RFM_Analysis!A13)</f>
        <v>45858</v>
      </c>
      <c r="C13">
        <f t="shared" ca="1" si="0"/>
        <v>170</v>
      </c>
      <c r="D13">
        <f>COUNTIFS(clean_sales!C:C,RFM_Analysis!A13)</f>
        <v>2</v>
      </c>
      <c r="E13">
        <f>SUMIFS(clean_sales!T:T,clean_sales!C:C,RFM_Analysis!A13)</f>
        <v>46500</v>
      </c>
      <c r="F13">
        <f t="shared" ca="1" si="1"/>
        <v>2</v>
      </c>
      <c r="G13">
        <f t="shared" si="2"/>
        <v>3</v>
      </c>
      <c r="H13">
        <f t="shared" si="3"/>
        <v>2</v>
      </c>
      <c r="I13" t="str">
        <f t="shared" ca="1" si="4"/>
        <v>232</v>
      </c>
      <c r="J13" t="str">
        <f t="shared" ca="1" si="5"/>
        <v>At Risk</v>
      </c>
    </row>
    <row r="14" spans="1:10" x14ac:dyDescent="0.35">
      <c r="A14" t="s">
        <v>1800</v>
      </c>
      <c r="B14" s="2">
        <f>_xlfn.MAXIFS(clean_sales!P:P,clean_sales!C:C,RFM_Analysis!A14)</f>
        <v>45708</v>
      </c>
      <c r="C14">
        <f t="shared" ca="1" si="0"/>
        <v>320</v>
      </c>
      <c r="D14">
        <f>COUNTIFS(clean_sales!C:C,RFM_Analysis!A14)</f>
        <v>1</v>
      </c>
      <c r="E14">
        <f>SUMIFS(clean_sales!T:T,clean_sales!C:C,RFM_Analysis!A14)</f>
        <v>9000</v>
      </c>
      <c r="F14">
        <f t="shared" ca="1" si="1"/>
        <v>1</v>
      </c>
      <c r="G14">
        <f t="shared" si="2"/>
        <v>1</v>
      </c>
      <c r="H14">
        <f t="shared" si="3"/>
        <v>1</v>
      </c>
      <c r="I14" t="str">
        <f t="shared" ca="1" si="4"/>
        <v>111</v>
      </c>
      <c r="J14" t="str">
        <f t="shared" ca="1" si="5"/>
        <v>At Risk</v>
      </c>
    </row>
    <row r="15" spans="1:10" x14ac:dyDescent="0.35">
      <c r="A15" t="s">
        <v>1801</v>
      </c>
      <c r="B15" s="2">
        <f>_xlfn.MAXIFS(clean_sales!P:P,clean_sales!C:C,RFM_Analysis!A15)</f>
        <v>45996</v>
      </c>
      <c r="C15">
        <f t="shared" ca="1" si="0"/>
        <v>32</v>
      </c>
      <c r="D15">
        <f>COUNTIFS(clean_sales!C:C,RFM_Analysis!A15)</f>
        <v>2</v>
      </c>
      <c r="E15">
        <f>SUMIFS(clean_sales!T:T,clean_sales!C:C,RFM_Analysis!A15)</f>
        <v>31500</v>
      </c>
      <c r="F15">
        <f t="shared" ca="1" si="1"/>
        <v>5</v>
      </c>
      <c r="G15">
        <f t="shared" si="2"/>
        <v>3</v>
      </c>
      <c r="H15">
        <f t="shared" si="3"/>
        <v>2</v>
      </c>
      <c r="I15" t="str">
        <f t="shared" ca="1" si="4"/>
        <v>532</v>
      </c>
      <c r="J15" t="str">
        <f t="shared" ca="1" si="5"/>
        <v>Regular</v>
      </c>
    </row>
    <row r="16" spans="1:10" x14ac:dyDescent="0.35">
      <c r="A16" t="s">
        <v>1802</v>
      </c>
      <c r="B16" s="2">
        <f>_xlfn.MAXIFS(clean_sales!P:P,clean_sales!C:C,RFM_Analysis!A16)</f>
        <v>45732</v>
      </c>
      <c r="C16">
        <f t="shared" ca="1" si="0"/>
        <v>296</v>
      </c>
      <c r="D16">
        <f>COUNTIFS(clean_sales!C:C,RFM_Analysis!A16)</f>
        <v>1</v>
      </c>
      <c r="E16">
        <f>SUMIFS(clean_sales!T:T,clean_sales!C:C,RFM_Analysis!A16)</f>
        <v>72000</v>
      </c>
      <c r="F16">
        <f t="shared" ca="1" si="1"/>
        <v>1</v>
      </c>
      <c r="G16">
        <f t="shared" si="2"/>
        <v>1</v>
      </c>
      <c r="H16">
        <f t="shared" si="3"/>
        <v>3</v>
      </c>
      <c r="I16" t="str">
        <f t="shared" ca="1" si="4"/>
        <v>113</v>
      </c>
      <c r="J16" t="str">
        <f t="shared" ca="1" si="5"/>
        <v>At Risk</v>
      </c>
    </row>
    <row r="17" spans="1:10" x14ac:dyDescent="0.35">
      <c r="A17" t="s">
        <v>1803</v>
      </c>
      <c r="B17" s="2">
        <f>_xlfn.MAXIFS(clean_sales!P:P,clean_sales!C:C,RFM_Analysis!A17)</f>
        <v>46003</v>
      </c>
      <c r="C17">
        <f t="shared" ca="1" si="0"/>
        <v>25</v>
      </c>
      <c r="D17">
        <f>COUNTIFS(clean_sales!C:C,RFM_Analysis!A17)</f>
        <v>3</v>
      </c>
      <c r="E17">
        <f>SUMIFS(clean_sales!T:T,clean_sales!C:C,RFM_Analysis!A17)</f>
        <v>282500</v>
      </c>
      <c r="F17">
        <f t="shared" ca="1" si="1"/>
        <v>5</v>
      </c>
      <c r="G17">
        <f t="shared" si="2"/>
        <v>5</v>
      </c>
      <c r="H17">
        <f t="shared" si="3"/>
        <v>4</v>
      </c>
      <c r="I17" t="str">
        <f t="shared" ca="1" si="4"/>
        <v>554</v>
      </c>
      <c r="J17" t="str">
        <f t="shared" ca="1" si="5"/>
        <v>Loyal</v>
      </c>
    </row>
    <row r="18" spans="1:10" x14ac:dyDescent="0.35">
      <c r="A18" t="s">
        <v>1804</v>
      </c>
      <c r="B18" s="2">
        <f>_xlfn.MAXIFS(clean_sales!P:P,clean_sales!C:C,RFM_Analysis!A18)</f>
        <v>45890</v>
      </c>
      <c r="C18">
        <f t="shared" ca="1" si="0"/>
        <v>138</v>
      </c>
      <c r="D18">
        <f>COUNTIFS(clean_sales!C:C,RFM_Analysis!A18)</f>
        <v>2</v>
      </c>
      <c r="E18">
        <f>SUMIFS(clean_sales!T:T,clean_sales!C:C,RFM_Analysis!A18)</f>
        <v>35000</v>
      </c>
      <c r="F18">
        <f t="shared" ca="1" si="1"/>
        <v>3</v>
      </c>
      <c r="G18">
        <f t="shared" si="2"/>
        <v>3</v>
      </c>
      <c r="H18">
        <f t="shared" si="3"/>
        <v>2</v>
      </c>
      <c r="I18" t="str">
        <f t="shared" ca="1" si="4"/>
        <v>332</v>
      </c>
      <c r="J18" t="str">
        <f t="shared" ca="1" si="5"/>
        <v>Regular</v>
      </c>
    </row>
    <row r="19" spans="1:10" x14ac:dyDescent="0.35">
      <c r="A19" t="s">
        <v>1805</v>
      </c>
      <c r="B19" s="2">
        <f>_xlfn.MAXIFS(clean_sales!P:P,clean_sales!C:C,RFM_Analysis!A19)</f>
        <v>45973</v>
      </c>
      <c r="C19">
        <f t="shared" ca="1" si="0"/>
        <v>55</v>
      </c>
      <c r="D19">
        <f>COUNTIFS(clean_sales!C:C,RFM_Analysis!A19)</f>
        <v>2</v>
      </c>
      <c r="E19">
        <f>SUMIFS(clean_sales!T:T,clean_sales!C:C,RFM_Analysis!A19)</f>
        <v>69000</v>
      </c>
      <c r="F19">
        <f t="shared" ca="1" si="1"/>
        <v>4</v>
      </c>
      <c r="G19">
        <f t="shared" si="2"/>
        <v>3</v>
      </c>
      <c r="H19">
        <f t="shared" si="3"/>
        <v>3</v>
      </c>
      <c r="I19" t="str">
        <f t="shared" ca="1" si="4"/>
        <v>433</v>
      </c>
      <c r="J19" t="str">
        <f t="shared" ca="1" si="5"/>
        <v>Regular</v>
      </c>
    </row>
    <row r="20" spans="1:10" x14ac:dyDescent="0.35">
      <c r="A20" t="s">
        <v>1806</v>
      </c>
      <c r="B20" s="2">
        <f>_xlfn.MAXIFS(clean_sales!P:P,clean_sales!C:C,RFM_Analysis!A20)</f>
        <v>45921</v>
      </c>
      <c r="C20">
        <f t="shared" ca="1" si="0"/>
        <v>107</v>
      </c>
      <c r="D20">
        <f>COUNTIFS(clean_sales!C:C,RFM_Analysis!A20)</f>
        <v>1</v>
      </c>
      <c r="E20">
        <f>SUMIFS(clean_sales!T:T,clean_sales!C:C,RFM_Analysis!A20)</f>
        <v>48000</v>
      </c>
      <c r="F20">
        <f t="shared" ca="1" si="1"/>
        <v>4</v>
      </c>
      <c r="G20">
        <f t="shared" si="2"/>
        <v>1</v>
      </c>
      <c r="H20">
        <f t="shared" si="3"/>
        <v>2</v>
      </c>
      <c r="I20" t="str">
        <f t="shared" ca="1" si="4"/>
        <v>412</v>
      </c>
      <c r="J20" t="str">
        <f t="shared" ca="1" si="5"/>
        <v>Regular</v>
      </c>
    </row>
    <row r="21" spans="1:10" x14ac:dyDescent="0.35">
      <c r="A21" t="s">
        <v>1807</v>
      </c>
      <c r="B21" s="2">
        <f>_xlfn.MAXIFS(clean_sales!P:P,clean_sales!C:C,RFM_Analysis!A21)</f>
        <v>45946</v>
      </c>
      <c r="C21">
        <f t="shared" ca="1" si="0"/>
        <v>82</v>
      </c>
      <c r="D21">
        <f>COUNTIFS(clean_sales!C:C,RFM_Analysis!A21)</f>
        <v>4</v>
      </c>
      <c r="E21">
        <f>SUMIFS(clean_sales!T:T,clean_sales!C:C,RFM_Analysis!A21)</f>
        <v>441600</v>
      </c>
      <c r="F21">
        <f t="shared" ca="1" si="1"/>
        <v>4</v>
      </c>
      <c r="G21">
        <f t="shared" si="2"/>
        <v>5</v>
      </c>
      <c r="H21">
        <f t="shared" si="3"/>
        <v>5</v>
      </c>
      <c r="I21" t="str">
        <f t="shared" ca="1" si="4"/>
        <v>455</v>
      </c>
      <c r="J21" t="str">
        <f t="shared" ca="1" si="5"/>
        <v>Loyal</v>
      </c>
    </row>
    <row r="22" spans="1:10" x14ac:dyDescent="0.35">
      <c r="A22" t="s">
        <v>1808</v>
      </c>
      <c r="B22" s="2">
        <f>_xlfn.MAXIFS(clean_sales!P:P,clean_sales!C:C,RFM_Analysis!A22)</f>
        <v>45846</v>
      </c>
      <c r="C22">
        <f t="shared" ca="1" si="0"/>
        <v>182</v>
      </c>
      <c r="D22">
        <f>COUNTIFS(clean_sales!C:C,RFM_Analysis!A22)</f>
        <v>1</v>
      </c>
      <c r="E22">
        <f>SUMIFS(clean_sales!T:T,clean_sales!C:C,RFM_Analysis!A22)</f>
        <v>72000</v>
      </c>
      <c r="F22">
        <f t="shared" ca="1" si="1"/>
        <v>2</v>
      </c>
      <c r="G22">
        <f t="shared" si="2"/>
        <v>1</v>
      </c>
      <c r="H22">
        <f t="shared" si="3"/>
        <v>3</v>
      </c>
      <c r="I22" t="str">
        <f t="shared" ca="1" si="4"/>
        <v>213</v>
      </c>
      <c r="J22" t="str">
        <f t="shared" ca="1" si="5"/>
        <v>At Risk</v>
      </c>
    </row>
    <row r="23" spans="1:10" x14ac:dyDescent="0.35">
      <c r="A23" t="s">
        <v>1809</v>
      </c>
      <c r="B23" s="2">
        <f>_xlfn.MAXIFS(clean_sales!P:P,clean_sales!C:C,RFM_Analysis!A23)</f>
        <v>45892</v>
      </c>
      <c r="C23">
        <f t="shared" ca="1" si="0"/>
        <v>136</v>
      </c>
      <c r="D23">
        <f>COUNTIFS(clean_sales!C:C,RFM_Analysis!A23)</f>
        <v>3</v>
      </c>
      <c r="E23">
        <f>SUMIFS(clean_sales!T:T,clean_sales!C:C,RFM_Analysis!A23)</f>
        <v>308700</v>
      </c>
      <c r="F23">
        <f t="shared" ca="1" si="1"/>
        <v>3</v>
      </c>
      <c r="G23">
        <f t="shared" si="2"/>
        <v>5</v>
      </c>
      <c r="H23">
        <f t="shared" si="3"/>
        <v>5</v>
      </c>
      <c r="I23" t="str">
        <f t="shared" ca="1" si="4"/>
        <v>355</v>
      </c>
      <c r="J23" t="str">
        <f t="shared" ca="1" si="5"/>
        <v>Regular</v>
      </c>
    </row>
    <row r="24" spans="1:10" x14ac:dyDescent="0.35">
      <c r="A24" t="s">
        <v>1810</v>
      </c>
      <c r="B24" s="2">
        <f>_xlfn.MAXIFS(clean_sales!P:P,clean_sales!C:C,RFM_Analysis!A24)</f>
        <v>45845</v>
      </c>
      <c r="C24">
        <f t="shared" ca="1" si="0"/>
        <v>183</v>
      </c>
      <c r="D24">
        <f>COUNTIFS(clean_sales!C:C,RFM_Analysis!A24)</f>
        <v>4</v>
      </c>
      <c r="E24">
        <f>SUMIFS(clean_sales!T:T,clean_sales!C:C,RFM_Analysis!A24)</f>
        <v>127500</v>
      </c>
      <c r="F24">
        <f t="shared" ca="1" si="1"/>
        <v>2</v>
      </c>
      <c r="G24">
        <f t="shared" si="2"/>
        <v>5</v>
      </c>
      <c r="H24">
        <f t="shared" si="3"/>
        <v>3</v>
      </c>
      <c r="I24" t="str">
        <f t="shared" ca="1" si="4"/>
        <v>253</v>
      </c>
      <c r="J24" t="str">
        <f t="shared" ca="1" si="5"/>
        <v>At Risk</v>
      </c>
    </row>
    <row r="25" spans="1:10" x14ac:dyDescent="0.35">
      <c r="A25" t="s">
        <v>1811</v>
      </c>
      <c r="B25" s="2">
        <f>_xlfn.MAXIFS(clean_sales!P:P,clean_sales!C:C,RFM_Analysis!A25)</f>
        <v>45932</v>
      </c>
      <c r="C25">
        <f t="shared" ca="1" si="0"/>
        <v>96</v>
      </c>
      <c r="D25">
        <f>COUNTIFS(clean_sales!C:C,RFM_Analysis!A25)</f>
        <v>2</v>
      </c>
      <c r="E25">
        <f>SUMIFS(clean_sales!T:T,clean_sales!C:C,RFM_Analysis!A25)</f>
        <v>312500</v>
      </c>
      <c r="F25">
        <f t="shared" ca="1" si="1"/>
        <v>4</v>
      </c>
      <c r="G25">
        <f t="shared" si="2"/>
        <v>3</v>
      </c>
      <c r="H25">
        <f t="shared" si="3"/>
        <v>5</v>
      </c>
      <c r="I25" t="str">
        <f t="shared" ca="1" si="4"/>
        <v>435</v>
      </c>
      <c r="J25" t="str">
        <f t="shared" ca="1" si="5"/>
        <v>Regular</v>
      </c>
    </row>
    <row r="26" spans="1:10" x14ac:dyDescent="0.35">
      <c r="A26" t="s">
        <v>1812</v>
      </c>
      <c r="B26" s="2">
        <f>_xlfn.MAXIFS(clean_sales!P:P,clean_sales!C:C,RFM_Analysis!A26)</f>
        <v>45969</v>
      </c>
      <c r="C26">
        <f t="shared" ca="1" si="0"/>
        <v>59</v>
      </c>
      <c r="D26">
        <f>COUNTIFS(clean_sales!C:C,RFM_Analysis!A26)</f>
        <v>4</v>
      </c>
      <c r="E26">
        <f>SUMIFS(clean_sales!T:T,clean_sales!C:C,RFM_Analysis!A26)</f>
        <v>208500</v>
      </c>
      <c r="F26">
        <f t="shared" ca="1" si="1"/>
        <v>4</v>
      </c>
      <c r="G26">
        <f t="shared" si="2"/>
        <v>5</v>
      </c>
      <c r="H26">
        <f t="shared" si="3"/>
        <v>4</v>
      </c>
      <c r="I26" t="str">
        <f t="shared" ca="1" si="4"/>
        <v>454</v>
      </c>
      <c r="J26" t="str">
        <f t="shared" ca="1" si="5"/>
        <v>Loyal</v>
      </c>
    </row>
    <row r="27" spans="1:10" x14ac:dyDescent="0.35">
      <c r="A27" t="s">
        <v>1813</v>
      </c>
      <c r="B27" s="2">
        <f>_xlfn.MAXIFS(clean_sales!P:P,clean_sales!C:C,RFM_Analysis!A27)</f>
        <v>46017</v>
      </c>
      <c r="C27">
        <f t="shared" ca="1" si="0"/>
        <v>11</v>
      </c>
      <c r="D27">
        <f>COUNTIFS(clean_sales!C:C,RFM_Analysis!A27)</f>
        <v>3</v>
      </c>
      <c r="E27">
        <f>SUMIFS(clean_sales!T:T,clean_sales!C:C,RFM_Analysis!A27)</f>
        <v>550000</v>
      </c>
      <c r="F27">
        <f t="shared" ca="1" si="1"/>
        <v>5</v>
      </c>
      <c r="G27">
        <f t="shared" si="2"/>
        <v>5</v>
      </c>
      <c r="H27">
        <f t="shared" si="3"/>
        <v>5</v>
      </c>
      <c r="I27" t="str">
        <f t="shared" ca="1" si="4"/>
        <v>555</v>
      </c>
      <c r="J27" t="str">
        <f t="shared" ca="1" si="5"/>
        <v>Champions</v>
      </c>
    </row>
    <row r="28" spans="1:10" x14ac:dyDescent="0.35">
      <c r="A28" t="s">
        <v>1814</v>
      </c>
      <c r="B28" s="2">
        <f>_xlfn.MAXIFS(clean_sales!P:P,clean_sales!C:C,RFM_Analysis!A28)</f>
        <v>45967</v>
      </c>
      <c r="C28">
        <f t="shared" ca="1" si="0"/>
        <v>61</v>
      </c>
      <c r="D28">
        <f>COUNTIFS(clean_sales!C:C,RFM_Analysis!A28)</f>
        <v>1</v>
      </c>
      <c r="E28">
        <f>SUMIFS(clean_sales!T:T,clean_sales!C:C,RFM_Analysis!A28)</f>
        <v>9000</v>
      </c>
      <c r="F28">
        <f t="shared" ca="1" si="1"/>
        <v>4</v>
      </c>
      <c r="G28">
        <f t="shared" si="2"/>
        <v>1</v>
      </c>
      <c r="H28">
        <f t="shared" si="3"/>
        <v>1</v>
      </c>
      <c r="I28" t="str">
        <f t="shared" ca="1" si="4"/>
        <v>411</v>
      </c>
      <c r="J28" t="str">
        <f t="shared" ca="1" si="5"/>
        <v>Regular</v>
      </c>
    </row>
    <row r="29" spans="1:10" x14ac:dyDescent="0.35">
      <c r="A29" t="s">
        <v>1815</v>
      </c>
      <c r="B29" s="2">
        <f>_xlfn.MAXIFS(clean_sales!P:P,clean_sales!C:C,RFM_Analysis!A29)</f>
        <v>45693</v>
      </c>
      <c r="C29">
        <f t="shared" ca="1" si="0"/>
        <v>335</v>
      </c>
      <c r="D29">
        <f>COUNTIFS(clean_sales!C:C,RFM_Analysis!A29)</f>
        <v>1</v>
      </c>
      <c r="E29">
        <f>SUMIFS(clean_sales!T:T,clean_sales!C:C,RFM_Analysis!A29)</f>
        <v>58000</v>
      </c>
      <c r="F29">
        <f t="shared" ca="1" si="1"/>
        <v>1</v>
      </c>
      <c r="G29">
        <f t="shared" si="2"/>
        <v>1</v>
      </c>
      <c r="H29">
        <f t="shared" si="3"/>
        <v>2</v>
      </c>
      <c r="I29" t="str">
        <f t="shared" ca="1" si="4"/>
        <v>112</v>
      </c>
      <c r="J29" t="str">
        <f t="shared" ca="1" si="5"/>
        <v>At Risk</v>
      </c>
    </row>
    <row r="30" spans="1:10" x14ac:dyDescent="0.35">
      <c r="A30" t="s">
        <v>1816</v>
      </c>
      <c r="B30" s="2">
        <f>_xlfn.MAXIFS(clean_sales!P:P,clean_sales!C:C,RFM_Analysis!A30)</f>
        <v>45678</v>
      </c>
      <c r="C30">
        <f t="shared" ca="1" si="0"/>
        <v>350</v>
      </c>
      <c r="D30">
        <f>COUNTIFS(clean_sales!C:C,RFM_Analysis!A30)</f>
        <v>1</v>
      </c>
      <c r="E30">
        <f>SUMIFS(clean_sales!T:T,clean_sales!C:C,RFM_Analysis!A30)</f>
        <v>36000</v>
      </c>
      <c r="F30">
        <f t="shared" ca="1" si="1"/>
        <v>1</v>
      </c>
      <c r="G30">
        <f t="shared" si="2"/>
        <v>1</v>
      </c>
      <c r="H30">
        <f t="shared" si="3"/>
        <v>2</v>
      </c>
      <c r="I30" t="str">
        <f t="shared" ca="1" si="4"/>
        <v>112</v>
      </c>
      <c r="J30" t="str">
        <f t="shared" ca="1" si="5"/>
        <v>At Risk</v>
      </c>
    </row>
    <row r="31" spans="1:10" x14ac:dyDescent="0.35">
      <c r="A31" t="s">
        <v>1817</v>
      </c>
      <c r="B31" s="2">
        <f>_xlfn.MAXIFS(clean_sales!P:P,clean_sales!C:C,RFM_Analysis!A31)</f>
        <v>46010</v>
      </c>
      <c r="C31">
        <f t="shared" ca="1" si="0"/>
        <v>18</v>
      </c>
      <c r="D31">
        <f>COUNTIFS(clean_sales!C:C,RFM_Analysis!A31)</f>
        <v>3</v>
      </c>
      <c r="E31">
        <f>SUMIFS(clean_sales!T:T,clean_sales!C:C,RFM_Analysis!A31)</f>
        <v>419000</v>
      </c>
      <c r="F31">
        <f t="shared" ca="1" si="1"/>
        <v>5</v>
      </c>
      <c r="G31">
        <f t="shared" si="2"/>
        <v>5</v>
      </c>
      <c r="H31">
        <f t="shared" si="3"/>
        <v>5</v>
      </c>
      <c r="I31" t="str">
        <f t="shared" ca="1" si="4"/>
        <v>555</v>
      </c>
      <c r="J31" t="str">
        <f t="shared" ca="1" si="5"/>
        <v>Champions</v>
      </c>
    </row>
    <row r="32" spans="1:10" x14ac:dyDescent="0.35">
      <c r="A32" t="s">
        <v>1818</v>
      </c>
      <c r="B32" s="2">
        <f>_xlfn.MAXIFS(clean_sales!P:P,clean_sales!C:C,RFM_Analysis!A32)</f>
        <v>46012</v>
      </c>
      <c r="C32">
        <f t="shared" ca="1" si="0"/>
        <v>16</v>
      </c>
      <c r="D32">
        <f>COUNTIFS(clean_sales!C:C,RFM_Analysis!A32)</f>
        <v>4</v>
      </c>
      <c r="E32">
        <f>SUMIFS(clean_sales!T:T,clean_sales!C:C,RFM_Analysis!A32)</f>
        <v>89000</v>
      </c>
      <c r="F32">
        <f t="shared" ca="1" si="1"/>
        <v>5</v>
      </c>
      <c r="G32">
        <f t="shared" si="2"/>
        <v>5</v>
      </c>
      <c r="H32">
        <f t="shared" si="3"/>
        <v>3</v>
      </c>
      <c r="I32" t="str">
        <f t="shared" ca="1" si="4"/>
        <v>553</v>
      </c>
      <c r="J32" t="str">
        <f t="shared" ca="1" si="5"/>
        <v>Loyal</v>
      </c>
    </row>
    <row r="33" spans="1:10" x14ac:dyDescent="0.35">
      <c r="A33" t="s">
        <v>1819</v>
      </c>
      <c r="B33" s="2">
        <f>_xlfn.MAXIFS(clean_sales!P:P,clean_sales!C:C,RFM_Analysis!A33)</f>
        <v>45749</v>
      </c>
      <c r="C33">
        <f t="shared" ca="1" si="0"/>
        <v>279</v>
      </c>
      <c r="D33">
        <f>COUNTIFS(clean_sales!C:C,RFM_Analysis!A33)</f>
        <v>2</v>
      </c>
      <c r="E33">
        <f>SUMIFS(clean_sales!T:T,clean_sales!C:C,RFM_Analysis!A33)</f>
        <v>85000</v>
      </c>
      <c r="F33">
        <f t="shared" ca="1" si="1"/>
        <v>1</v>
      </c>
      <c r="G33">
        <f t="shared" si="2"/>
        <v>3</v>
      </c>
      <c r="H33">
        <f t="shared" si="3"/>
        <v>3</v>
      </c>
      <c r="I33" t="str">
        <f t="shared" ca="1" si="4"/>
        <v>133</v>
      </c>
      <c r="J33" t="str">
        <f t="shared" ca="1" si="5"/>
        <v>At Risk</v>
      </c>
    </row>
    <row r="34" spans="1:10" x14ac:dyDescent="0.35">
      <c r="A34" t="s">
        <v>1820</v>
      </c>
      <c r="B34" s="2">
        <f>_xlfn.MAXIFS(clean_sales!P:P,clean_sales!C:C,RFM_Analysis!A34)</f>
        <v>45884</v>
      </c>
      <c r="C34">
        <f t="shared" ca="1" si="0"/>
        <v>144</v>
      </c>
      <c r="D34">
        <f>COUNTIFS(clean_sales!C:C,RFM_Analysis!A34)</f>
        <v>3</v>
      </c>
      <c r="E34">
        <f>SUMIFS(clean_sales!T:T,clean_sales!C:C,RFM_Analysis!A34)</f>
        <v>54000</v>
      </c>
      <c r="F34">
        <f t="shared" ca="1" si="1"/>
        <v>3</v>
      </c>
      <c r="G34">
        <f t="shared" si="2"/>
        <v>5</v>
      </c>
      <c r="H34">
        <f t="shared" si="3"/>
        <v>2</v>
      </c>
      <c r="I34" t="str">
        <f t="shared" ca="1" si="4"/>
        <v>352</v>
      </c>
      <c r="J34" t="str">
        <f t="shared" ca="1" si="5"/>
        <v>Regular</v>
      </c>
    </row>
    <row r="35" spans="1:10" x14ac:dyDescent="0.35">
      <c r="A35" t="s">
        <v>1821</v>
      </c>
      <c r="B35" s="2">
        <f>_xlfn.MAXIFS(clean_sales!P:P,clean_sales!C:C,RFM_Analysis!A35)</f>
        <v>45828</v>
      </c>
      <c r="C35">
        <f t="shared" ca="1" si="0"/>
        <v>200</v>
      </c>
      <c r="D35">
        <f>COUNTIFS(clean_sales!C:C,RFM_Analysis!A35)</f>
        <v>1</v>
      </c>
      <c r="E35">
        <f>SUMIFS(clean_sales!T:T,clean_sales!C:C,RFM_Analysis!A35)</f>
        <v>3600</v>
      </c>
      <c r="F35">
        <f t="shared" ca="1" si="1"/>
        <v>2</v>
      </c>
      <c r="G35">
        <f t="shared" si="2"/>
        <v>1</v>
      </c>
      <c r="H35">
        <f t="shared" si="3"/>
        <v>1</v>
      </c>
      <c r="I35" t="str">
        <f t="shared" ca="1" si="4"/>
        <v>211</v>
      </c>
      <c r="J35" t="str">
        <f t="shared" ca="1" si="5"/>
        <v>At Risk</v>
      </c>
    </row>
    <row r="36" spans="1:10" x14ac:dyDescent="0.35">
      <c r="A36" t="s">
        <v>1822</v>
      </c>
      <c r="B36" s="2">
        <f>_xlfn.MAXIFS(clean_sales!P:P,clean_sales!C:C,RFM_Analysis!A36)</f>
        <v>45957</v>
      </c>
      <c r="C36">
        <f t="shared" ca="1" si="0"/>
        <v>71</v>
      </c>
      <c r="D36">
        <f>COUNTIFS(clean_sales!C:C,RFM_Analysis!A36)</f>
        <v>2</v>
      </c>
      <c r="E36">
        <f>SUMIFS(clean_sales!T:T,clean_sales!C:C,RFM_Analysis!A36)</f>
        <v>14400</v>
      </c>
      <c r="F36">
        <f t="shared" ca="1" si="1"/>
        <v>4</v>
      </c>
      <c r="G36">
        <f t="shared" si="2"/>
        <v>3</v>
      </c>
      <c r="H36">
        <f t="shared" si="3"/>
        <v>1</v>
      </c>
      <c r="I36" t="str">
        <f t="shared" ca="1" si="4"/>
        <v>431</v>
      </c>
      <c r="J36" t="str">
        <f t="shared" ca="1" si="5"/>
        <v>Regular</v>
      </c>
    </row>
    <row r="37" spans="1:10" x14ac:dyDescent="0.35">
      <c r="A37" t="s">
        <v>1823</v>
      </c>
      <c r="B37" s="2">
        <f>_xlfn.MAXIFS(clean_sales!P:P,clean_sales!C:C,RFM_Analysis!A37)</f>
        <v>45816</v>
      </c>
      <c r="C37">
        <f t="shared" ca="1" si="0"/>
        <v>212</v>
      </c>
      <c r="D37">
        <f>COUNTIFS(clean_sales!C:C,RFM_Analysis!A37)</f>
        <v>2</v>
      </c>
      <c r="E37">
        <f>SUMIFS(clean_sales!T:T,clean_sales!C:C,RFM_Analysis!A37)</f>
        <v>9500</v>
      </c>
      <c r="F37">
        <f t="shared" ca="1" si="1"/>
        <v>2</v>
      </c>
      <c r="G37">
        <f t="shared" si="2"/>
        <v>3</v>
      </c>
      <c r="H37">
        <f t="shared" si="3"/>
        <v>1</v>
      </c>
      <c r="I37" t="str">
        <f t="shared" ca="1" si="4"/>
        <v>231</v>
      </c>
      <c r="J37" t="str">
        <f t="shared" ca="1" si="5"/>
        <v>At Risk</v>
      </c>
    </row>
    <row r="38" spans="1:10" x14ac:dyDescent="0.35">
      <c r="A38" t="s">
        <v>1824</v>
      </c>
      <c r="B38" s="2">
        <f>_xlfn.MAXIFS(clean_sales!P:P,clean_sales!C:C,RFM_Analysis!A38)</f>
        <v>46014</v>
      </c>
      <c r="C38">
        <f t="shared" ca="1" si="0"/>
        <v>14</v>
      </c>
      <c r="D38">
        <f>COUNTIFS(clean_sales!C:C,RFM_Analysis!A38)</f>
        <v>3</v>
      </c>
      <c r="E38">
        <f>SUMIFS(clean_sales!T:T,clean_sales!C:C,RFM_Analysis!A38)</f>
        <v>176000</v>
      </c>
      <c r="F38">
        <f t="shared" ca="1" si="1"/>
        <v>5</v>
      </c>
      <c r="G38">
        <f t="shared" si="2"/>
        <v>5</v>
      </c>
      <c r="H38">
        <f t="shared" si="3"/>
        <v>4</v>
      </c>
      <c r="I38" t="str">
        <f t="shared" ca="1" si="4"/>
        <v>554</v>
      </c>
      <c r="J38" t="str">
        <f t="shared" ca="1" si="5"/>
        <v>Loyal</v>
      </c>
    </row>
    <row r="39" spans="1:10" x14ac:dyDescent="0.35">
      <c r="A39" t="s">
        <v>1825</v>
      </c>
      <c r="B39" s="2">
        <f>_xlfn.MAXIFS(clean_sales!P:P,clean_sales!C:C,RFM_Analysis!A39)</f>
        <v>45806</v>
      </c>
      <c r="C39">
        <f t="shared" ca="1" si="0"/>
        <v>222</v>
      </c>
      <c r="D39">
        <f>COUNTIFS(clean_sales!C:C,RFM_Analysis!A39)</f>
        <v>1</v>
      </c>
      <c r="E39">
        <f>SUMIFS(clean_sales!T:T,clean_sales!C:C,RFM_Analysis!A39)</f>
        <v>130000</v>
      </c>
      <c r="F39">
        <f t="shared" ca="1" si="1"/>
        <v>2</v>
      </c>
      <c r="G39">
        <f t="shared" si="2"/>
        <v>1</v>
      </c>
      <c r="H39">
        <f t="shared" si="3"/>
        <v>3</v>
      </c>
      <c r="I39" t="str">
        <f t="shared" ca="1" si="4"/>
        <v>213</v>
      </c>
      <c r="J39" t="str">
        <f t="shared" ca="1" si="5"/>
        <v>At Risk</v>
      </c>
    </row>
    <row r="40" spans="1:10" x14ac:dyDescent="0.35">
      <c r="A40" t="s">
        <v>1826</v>
      </c>
      <c r="B40" s="2">
        <f>_xlfn.MAXIFS(clean_sales!P:P,clean_sales!C:C,RFM_Analysis!A40)</f>
        <v>45994</v>
      </c>
      <c r="C40">
        <f t="shared" ca="1" si="0"/>
        <v>34</v>
      </c>
      <c r="D40">
        <f>COUNTIFS(clean_sales!C:C,RFM_Analysis!A40)</f>
        <v>2</v>
      </c>
      <c r="E40">
        <f>SUMIFS(clean_sales!T:T,clean_sales!C:C,RFM_Analysis!A40)</f>
        <v>383000</v>
      </c>
      <c r="F40">
        <f t="shared" ca="1" si="1"/>
        <v>5</v>
      </c>
      <c r="G40">
        <f t="shared" si="2"/>
        <v>3</v>
      </c>
      <c r="H40">
        <f t="shared" si="3"/>
        <v>5</v>
      </c>
      <c r="I40" t="str">
        <f t="shared" ca="1" si="4"/>
        <v>535</v>
      </c>
      <c r="J40" t="str">
        <f t="shared" ca="1" si="5"/>
        <v>Regular</v>
      </c>
    </row>
    <row r="41" spans="1:10" x14ac:dyDescent="0.35">
      <c r="A41" t="s">
        <v>1827</v>
      </c>
      <c r="B41" s="2">
        <f>_xlfn.MAXIFS(clean_sales!P:P,clean_sales!C:C,RFM_Analysis!A41)</f>
        <v>45941</v>
      </c>
      <c r="C41">
        <f t="shared" ca="1" si="0"/>
        <v>87</v>
      </c>
      <c r="D41">
        <f>COUNTIFS(clean_sales!C:C,RFM_Analysis!A41)</f>
        <v>4</v>
      </c>
      <c r="E41">
        <f>SUMIFS(clean_sales!T:T,clean_sales!C:C,RFM_Analysis!A41)</f>
        <v>105000</v>
      </c>
      <c r="F41">
        <f t="shared" ca="1" si="1"/>
        <v>4</v>
      </c>
      <c r="G41">
        <f t="shared" si="2"/>
        <v>5</v>
      </c>
      <c r="H41">
        <f t="shared" si="3"/>
        <v>3</v>
      </c>
      <c r="I41" t="str">
        <f t="shared" ca="1" si="4"/>
        <v>453</v>
      </c>
      <c r="J41" t="str">
        <f t="shared" ca="1" si="5"/>
        <v>Loyal</v>
      </c>
    </row>
    <row r="42" spans="1:10" x14ac:dyDescent="0.35">
      <c r="A42" t="s">
        <v>1828</v>
      </c>
      <c r="B42" s="2">
        <f>_xlfn.MAXIFS(clean_sales!P:P,clean_sales!C:C,RFM_Analysis!A42)</f>
        <v>45917</v>
      </c>
      <c r="C42">
        <f t="shared" ca="1" si="0"/>
        <v>111</v>
      </c>
      <c r="D42">
        <f>COUNTIFS(clean_sales!C:C,RFM_Analysis!A42)</f>
        <v>2</v>
      </c>
      <c r="E42">
        <f>SUMIFS(clean_sales!T:T,clean_sales!C:C,RFM_Analysis!A42)</f>
        <v>14400</v>
      </c>
      <c r="F42">
        <f t="shared" ca="1" si="1"/>
        <v>3</v>
      </c>
      <c r="G42">
        <f t="shared" si="2"/>
        <v>3</v>
      </c>
      <c r="H42">
        <f t="shared" si="3"/>
        <v>1</v>
      </c>
      <c r="I42" t="str">
        <f t="shared" ca="1" si="4"/>
        <v>331</v>
      </c>
      <c r="J42" t="str">
        <f t="shared" ca="1" si="5"/>
        <v>Regular</v>
      </c>
    </row>
    <row r="43" spans="1:10" x14ac:dyDescent="0.35">
      <c r="A43" t="s">
        <v>1829</v>
      </c>
      <c r="B43" s="2">
        <f>_xlfn.MAXIFS(clean_sales!P:P,clean_sales!C:C,RFM_Analysis!A43)</f>
        <v>45782</v>
      </c>
      <c r="C43">
        <f t="shared" ca="1" si="0"/>
        <v>246</v>
      </c>
      <c r="D43">
        <f>COUNTIFS(clean_sales!C:C,RFM_Analysis!A43)</f>
        <v>4</v>
      </c>
      <c r="E43">
        <f>SUMIFS(clean_sales!T:T,clean_sales!C:C,RFM_Analysis!A43)</f>
        <v>430500</v>
      </c>
      <c r="F43">
        <f t="shared" ca="1" si="1"/>
        <v>1</v>
      </c>
      <c r="G43">
        <f t="shared" si="2"/>
        <v>5</v>
      </c>
      <c r="H43">
        <f t="shared" si="3"/>
        <v>5</v>
      </c>
      <c r="I43" t="str">
        <f t="shared" ca="1" si="4"/>
        <v>155</v>
      </c>
      <c r="J43" t="str">
        <f t="shared" ca="1" si="5"/>
        <v>At Risk</v>
      </c>
    </row>
    <row r="44" spans="1:10" x14ac:dyDescent="0.35">
      <c r="A44" t="s">
        <v>1830</v>
      </c>
      <c r="B44" s="2">
        <f>_xlfn.MAXIFS(clean_sales!P:P,clean_sales!C:C,RFM_Analysis!A44)</f>
        <v>45818</v>
      </c>
      <c r="C44">
        <f t="shared" ca="1" si="0"/>
        <v>210</v>
      </c>
      <c r="D44">
        <f>COUNTIFS(clean_sales!C:C,RFM_Analysis!A44)</f>
        <v>1</v>
      </c>
      <c r="E44">
        <f>SUMIFS(clean_sales!T:T,clean_sales!C:C,RFM_Analysis!A44)</f>
        <v>7200</v>
      </c>
      <c r="F44">
        <f t="shared" ca="1" si="1"/>
        <v>2</v>
      </c>
      <c r="G44">
        <f t="shared" si="2"/>
        <v>1</v>
      </c>
      <c r="H44">
        <f t="shared" si="3"/>
        <v>1</v>
      </c>
      <c r="I44" t="str">
        <f t="shared" ca="1" si="4"/>
        <v>211</v>
      </c>
      <c r="J44" t="str">
        <f t="shared" ca="1" si="5"/>
        <v>At Risk</v>
      </c>
    </row>
    <row r="45" spans="1:10" x14ac:dyDescent="0.35">
      <c r="A45" t="s">
        <v>1831</v>
      </c>
      <c r="B45" s="2">
        <f>_xlfn.MAXIFS(clean_sales!P:P,clean_sales!C:C,RFM_Analysis!A45)</f>
        <v>46026</v>
      </c>
      <c r="C45">
        <f t="shared" ca="1" si="0"/>
        <v>2</v>
      </c>
      <c r="D45">
        <f>COUNTIFS(clean_sales!C:C,RFM_Analysis!A45)</f>
        <v>3</v>
      </c>
      <c r="E45">
        <f>SUMIFS(clean_sales!T:T,clean_sales!C:C,RFM_Analysis!A45)</f>
        <v>74400</v>
      </c>
      <c r="F45">
        <f t="shared" ca="1" si="1"/>
        <v>5</v>
      </c>
      <c r="G45">
        <f t="shared" si="2"/>
        <v>5</v>
      </c>
      <c r="H45">
        <f t="shared" si="3"/>
        <v>3</v>
      </c>
      <c r="I45" t="str">
        <f t="shared" ca="1" si="4"/>
        <v>553</v>
      </c>
      <c r="J45" t="str">
        <f t="shared" ca="1" si="5"/>
        <v>Loyal</v>
      </c>
    </row>
    <row r="46" spans="1:10" x14ac:dyDescent="0.35">
      <c r="A46" t="s">
        <v>1832</v>
      </c>
      <c r="B46" s="2">
        <f>_xlfn.MAXIFS(clean_sales!P:P,clean_sales!C:C,RFM_Analysis!A46)</f>
        <v>45877</v>
      </c>
      <c r="C46">
        <f t="shared" ca="1" si="0"/>
        <v>151</v>
      </c>
      <c r="D46">
        <f>COUNTIFS(clean_sales!C:C,RFM_Analysis!A46)</f>
        <v>2</v>
      </c>
      <c r="E46">
        <f>SUMIFS(clean_sales!T:T,clean_sales!C:C,RFM_Analysis!A46)</f>
        <v>506000</v>
      </c>
      <c r="F46">
        <f t="shared" ca="1" si="1"/>
        <v>3</v>
      </c>
      <c r="G46">
        <f t="shared" si="2"/>
        <v>3</v>
      </c>
      <c r="H46">
        <f t="shared" si="3"/>
        <v>5</v>
      </c>
      <c r="I46" t="str">
        <f t="shared" ca="1" si="4"/>
        <v>335</v>
      </c>
      <c r="J46" t="str">
        <f t="shared" ca="1" si="5"/>
        <v>Regular</v>
      </c>
    </row>
    <row r="47" spans="1:10" x14ac:dyDescent="0.35">
      <c r="A47" t="s">
        <v>1833</v>
      </c>
      <c r="B47" s="2">
        <f>_xlfn.MAXIFS(clean_sales!P:P,clean_sales!C:C,RFM_Analysis!A47)</f>
        <v>45857</v>
      </c>
      <c r="C47">
        <f t="shared" ca="1" si="0"/>
        <v>171</v>
      </c>
      <c r="D47">
        <f>COUNTIFS(clean_sales!C:C,RFM_Analysis!A47)</f>
        <v>3</v>
      </c>
      <c r="E47">
        <f>SUMIFS(clean_sales!T:T,clean_sales!C:C,RFM_Analysis!A47)</f>
        <v>377000</v>
      </c>
      <c r="F47">
        <f t="shared" ca="1" si="1"/>
        <v>2</v>
      </c>
      <c r="G47">
        <f t="shared" si="2"/>
        <v>5</v>
      </c>
      <c r="H47">
        <f t="shared" si="3"/>
        <v>5</v>
      </c>
      <c r="I47" t="str">
        <f t="shared" ca="1" si="4"/>
        <v>255</v>
      </c>
      <c r="J47" t="str">
        <f t="shared" ca="1" si="5"/>
        <v>At Risk</v>
      </c>
    </row>
    <row r="48" spans="1:10" x14ac:dyDescent="0.35">
      <c r="A48" t="s">
        <v>1834</v>
      </c>
      <c r="B48" s="2">
        <f>_xlfn.MAXIFS(clean_sales!P:P,clean_sales!C:C,RFM_Analysis!A48)</f>
        <v>45955</v>
      </c>
      <c r="C48">
        <f t="shared" ca="1" si="0"/>
        <v>73</v>
      </c>
      <c r="D48">
        <f>COUNTIFS(clean_sales!C:C,RFM_Analysis!A48)</f>
        <v>5</v>
      </c>
      <c r="E48">
        <f>SUMIFS(clean_sales!T:T,clean_sales!C:C,RFM_Analysis!A48)</f>
        <v>463000</v>
      </c>
      <c r="F48">
        <f t="shared" ca="1" si="1"/>
        <v>4</v>
      </c>
      <c r="G48">
        <f t="shared" si="2"/>
        <v>5</v>
      </c>
      <c r="H48">
        <f t="shared" si="3"/>
        <v>5</v>
      </c>
      <c r="I48" t="str">
        <f t="shared" ca="1" si="4"/>
        <v>455</v>
      </c>
      <c r="J48" t="str">
        <f t="shared" ca="1" si="5"/>
        <v>Loyal</v>
      </c>
    </row>
    <row r="49" spans="1:10" x14ac:dyDescent="0.35">
      <c r="A49" t="s">
        <v>1835</v>
      </c>
      <c r="B49" s="2">
        <f>_xlfn.MAXIFS(clean_sales!P:P,clean_sales!C:C,RFM_Analysis!A49)</f>
        <v>45909</v>
      </c>
      <c r="C49">
        <f t="shared" ca="1" si="0"/>
        <v>119</v>
      </c>
      <c r="D49">
        <f>COUNTIFS(clean_sales!C:C,RFM_Analysis!A49)</f>
        <v>3</v>
      </c>
      <c r="E49">
        <f>SUMIFS(clean_sales!T:T,clean_sales!C:C,RFM_Analysis!A49)</f>
        <v>104500</v>
      </c>
      <c r="F49">
        <f t="shared" ca="1" si="1"/>
        <v>3</v>
      </c>
      <c r="G49">
        <f t="shared" si="2"/>
        <v>5</v>
      </c>
      <c r="H49">
        <f t="shared" si="3"/>
        <v>3</v>
      </c>
      <c r="I49" t="str">
        <f t="shared" ca="1" si="4"/>
        <v>353</v>
      </c>
      <c r="J49" t="str">
        <f t="shared" ca="1" si="5"/>
        <v>Regular</v>
      </c>
    </row>
    <row r="50" spans="1:10" x14ac:dyDescent="0.35">
      <c r="A50" t="s">
        <v>1836</v>
      </c>
      <c r="B50" s="2">
        <f>_xlfn.MAXIFS(clean_sales!P:P,clean_sales!C:C,RFM_Analysis!A50)</f>
        <v>45959</v>
      </c>
      <c r="C50">
        <f t="shared" ca="1" si="0"/>
        <v>69</v>
      </c>
      <c r="D50">
        <f>COUNTIFS(clean_sales!C:C,RFM_Analysis!A50)</f>
        <v>2</v>
      </c>
      <c r="E50">
        <f>SUMIFS(clean_sales!T:T,clean_sales!C:C,RFM_Analysis!A50)</f>
        <v>464000</v>
      </c>
      <c r="F50">
        <f t="shared" ca="1" si="1"/>
        <v>4</v>
      </c>
      <c r="G50">
        <f t="shared" si="2"/>
        <v>3</v>
      </c>
      <c r="H50">
        <f t="shared" si="3"/>
        <v>5</v>
      </c>
      <c r="I50" t="str">
        <f t="shared" ca="1" si="4"/>
        <v>435</v>
      </c>
      <c r="J50" t="str">
        <f t="shared" ca="1" si="5"/>
        <v>Regular</v>
      </c>
    </row>
    <row r="51" spans="1:10" x14ac:dyDescent="0.35">
      <c r="A51" t="s">
        <v>1837</v>
      </c>
      <c r="B51" s="2">
        <f>_xlfn.MAXIFS(clean_sales!P:P,clean_sales!C:C,RFM_Analysis!A51)</f>
        <v>45979</v>
      </c>
      <c r="C51">
        <f t="shared" ca="1" si="0"/>
        <v>49</v>
      </c>
      <c r="D51">
        <f>COUNTIFS(clean_sales!C:C,RFM_Analysis!A51)</f>
        <v>1</v>
      </c>
      <c r="E51">
        <f>SUMIFS(clean_sales!T:T,clean_sales!C:C,RFM_Analysis!A51)</f>
        <v>22500</v>
      </c>
      <c r="F51">
        <f t="shared" ca="1" si="1"/>
        <v>4</v>
      </c>
      <c r="G51">
        <f t="shared" si="2"/>
        <v>1</v>
      </c>
      <c r="H51">
        <f t="shared" si="3"/>
        <v>2</v>
      </c>
      <c r="I51" t="str">
        <f t="shared" ca="1" si="4"/>
        <v>412</v>
      </c>
      <c r="J51" t="str">
        <f t="shared" ca="1" si="5"/>
        <v>Regular</v>
      </c>
    </row>
    <row r="52" spans="1:10" x14ac:dyDescent="0.35">
      <c r="A52" t="s">
        <v>1838</v>
      </c>
      <c r="B52" s="2">
        <f>_xlfn.MAXIFS(clean_sales!P:P,clean_sales!C:C,RFM_Analysis!A52)</f>
        <v>45877</v>
      </c>
      <c r="C52">
        <f t="shared" ca="1" si="0"/>
        <v>151</v>
      </c>
      <c r="D52">
        <f>COUNTIFS(clean_sales!C:C,RFM_Analysis!A52)</f>
        <v>3</v>
      </c>
      <c r="E52">
        <f>SUMIFS(clean_sales!T:T,clean_sales!C:C,RFM_Analysis!A52)</f>
        <v>594000</v>
      </c>
      <c r="F52">
        <f t="shared" ca="1" si="1"/>
        <v>3</v>
      </c>
      <c r="G52">
        <f t="shared" si="2"/>
        <v>5</v>
      </c>
      <c r="H52">
        <f t="shared" si="3"/>
        <v>5</v>
      </c>
      <c r="I52" t="str">
        <f t="shared" ca="1" si="4"/>
        <v>355</v>
      </c>
      <c r="J52" t="str">
        <f t="shared" ca="1" si="5"/>
        <v>Regular</v>
      </c>
    </row>
    <row r="53" spans="1:10" x14ac:dyDescent="0.35">
      <c r="A53" t="s">
        <v>1839</v>
      </c>
      <c r="B53" s="2">
        <f>_xlfn.MAXIFS(clean_sales!P:P,clean_sales!C:C,RFM_Analysis!A53)</f>
        <v>45984</v>
      </c>
      <c r="C53">
        <f t="shared" ca="1" si="0"/>
        <v>44</v>
      </c>
      <c r="D53">
        <f>COUNTIFS(clean_sales!C:C,RFM_Analysis!A53)</f>
        <v>3</v>
      </c>
      <c r="E53">
        <f>SUMIFS(clean_sales!T:T,clean_sales!C:C,RFM_Analysis!A53)</f>
        <v>322000</v>
      </c>
      <c r="F53">
        <f t="shared" ca="1" si="1"/>
        <v>5</v>
      </c>
      <c r="G53">
        <f t="shared" si="2"/>
        <v>5</v>
      </c>
      <c r="H53">
        <f t="shared" si="3"/>
        <v>5</v>
      </c>
      <c r="I53" t="str">
        <f t="shared" ca="1" si="4"/>
        <v>555</v>
      </c>
      <c r="J53" t="str">
        <f t="shared" ca="1" si="5"/>
        <v>Champions</v>
      </c>
    </row>
    <row r="54" spans="1:10" x14ac:dyDescent="0.35">
      <c r="A54" t="s">
        <v>1840</v>
      </c>
      <c r="B54" s="2">
        <f>_xlfn.MAXIFS(clean_sales!P:P,clean_sales!C:C,RFM_Analysis!A54)</f>
        <v>45945</v>
      </c>
      <c r="C54">
        <f t="shared" ca="1" si="0"/>
        <v>83</v>
      </c>
      <c r="D54">
        <f>COUNTIFS(clean_sales!C:C,RFM_Analysis!A54)</f>
        <v>2</v>
      </c>
      <c r="E54">
        <f>SUMIFS(clean_sales!T:T,clean_sales!C:C,RFM_Analysis!A54)</f>
        <v>43000</v>
      </c>
      <c r="F54">
        <f t="shared" ca="1" si="1"/>
        <v>4</v>
      </c>
      <c r="G54">
        <f t="shared" si="2"/>
        <v>3</v>
      </c>
      <c r="H54">
        <f t="shared" si="3"/>
        <v>2</v>
      </c>
      <c r="I54" t="str">
        <f t="shared" ca="1" si="4"/>
        <v>432</v>
      </c>
      <c r="J54" t="str">
        <f t="shared" ca="1" si="5"/>
        <v>Regular</v>
      </c>
    </row>
    <row r="55" spans="1:10" x14ac:dyDescent="0.35">
      <c r="A55" t="s">
        <v>1841</v>
      </c>
      <c r="B55" s="2">
        <f>_xlfn.MAXIFS(clean_sales!P:P,clean_sales!C:C,RFM_Analysis!A55)</f>
        <v>45827</v>
      </c>
      <c r="C55">
        <f t="shared" ca="1" si="0"/>
        <v>201</v>
      </c>
      <c r="D55">
        <f>COUNTIFS(clean_sales!C:C,RFM_Analysis!A55)</f>
        <v>2</v>
      </c>
      <c r="E55">
        <f>SUMIFS(clean_sales!T:T,clean_sales!C:C,RFM_Analysis!A55)</f>
        <v>125000</v>
      </c>
      <c r="F55">
        <f t="shared" ca="1" si="1"/>
        <v>2</v>
      </c>
      <c r="G55">
        <f t="shared" si="2"/>
        <v>3</v>
      </c>
      <c r="H55">
        <f t="shared" si="3"/>
        <v>3</v>
      </c>
      <c r="I55" t="str">
        <f t="shared" ca="1" si="4"/>
        <v>233</v>
      </c>
      <c r="J55" t="str">
        <f t="shared" ca="1" si="5"/>
        <v>At Risk</v>
      </c>
    </row>
    <row r="56" spans="1:10" x14ac:dyDescent="0.35">
      <c r="A56" t="s">
        <v>1842</v>
      </c>
      <c r="B56" s="2">
        <f>_xlfn.MAXIFS(clean_sales!P:P,clean_sales!C:C,RFM_Analysis!A56)</f>
        <v>45981</v>
      </c>
      <c r="C56">
        <f t="shared" ca="1" si="0"/>
        <v>47</v>
      </c>
      <c r="D56">
        <f>COUNTIFS(clean_sales!C:C,RFM_Analysis!A56)</f>
        <v>3</v>
      </c>
      <c r="E56">
        <f>SUMIFS(clean_sales!T:T,clean_sales!C:C,RFM_Analysis!A56)</f>
        <v>61000</v>
      </c>
      <c r="F56">
        <f t="shared" ca="1" si="1"/>
        <v>5</v>
      </c>
      <c r="G56">
        <f t="shared" si="2"/>
        <v>5</v>
      </c>
      <c r="H56">
        <f t="shared" si="3"/>
        <v>3</v>
      </c>
      <c r="I56" t="str">
        <f t="shared" ca="1" si="4"/>
        <v>553</v>
      </c>
      <c r="J56" t="str">
        <f t="shared" ca="1" si="5"/>
        <v>Loyal</v>
      </c>
    </row>
    <row r="57" spans="1:10" x14ac:dyDescent="0.35">
      <c r="A57" t="s">
        <v>1843</v>
      </c>
      <c r="B57" s="2">
        <f>_xlfn.MAXIFS(clean_sales!P:P,clean_sales!C:C,RFM_Analysis!A57)</f>
        <v>45827</v>
      </c>
      <c r="C57">
        <f t="shared" ca="1" si="0"/>
        <v>201</v>
      </c>
      <c r="D57">
        <f>COUNTIFS(clean_sales!C:C,RFM_Analysis!A57)</f>
        <v>2</v>
      </c>
      <c r="E57">
        <f>SUMIFS(clean_sales!T:T,clean_sales!C:C,RFM_Analysis!A57)</f>
        <v>334000</v>
      </c>
      <c r="F57">
        <f t="shared" ca="1" si="1"/>
        <v>2</v>
      </c>
      <c r="G57">
        <f t="shared" si="2"/>
        <v>3</v>
      </c>
      <c r="H57">
        <f t="shared" si="3"/>
        <v>5</v>
      </c>
      <c r="I57" t="str">
        <f t="shared" ca="1" si="4"/>
        <v>235</v>
      </c>
      <c r="J57" t="str">
        <f t="shared" ca="1" si="5"/>
        <v>At Risk</v>
      </c>
    </row>
    <row r="58" spans="1:10" x14ac:dyDescent="0.35">
      <c r="A58" t="s">
        <v>1844</v>
      </c>
      <c r="B58" s="2">
        <f>_xlfn.MAXIFS(clean_sales!P:P,clean_sales!C:C,RFM_Analysis!A58)</f>
        <v>45984</v>
      </c>
      <c r="C58">
        <f t="shared" ca="1" si="0"/>
        <v>44</v>
      </c>
      <c r="D58">
        <f>COUNTIFS(clean_sales!C:C,RFM_Analysis!A58)</f>
        <v>2</v>
      </c>
      <c r="E58">
        <f>SUMIFS(clean_sales!T:T,clean_sales!C:C,RFM_Analysis!A58)</f>
        <v>41400</v>
      </c>
      <c r="F58">
        <f t="shared" ca="1" si="1"/>
        <v>5</v>
      </c>
      <c r="G58">
        <f t="shared" si="2"/>
        <v>3</v>
      </c>
      <c r="H58">
        <f t="shared" si="3"/>
        <v>2</v>
      </c>
      <c r="I58" t="str">
        <f t="shared" ca="1" si="4"/>
        <v>532</v>
      </c>
      <c r="J58" t="str">
        <f t="shared" ca="1" si="5"/>
        <v>Regular</v>
      </c>
    </row>
    <row r="59" spans="1:10" x14ac:dyDescent="0.35">
      <c r="A59" t="s">
        <v>1845</v>
      </c>
      <c r="B59" s="2">
        <f>_xlfn.MAXIFS(clean_sales!P:P,clean_sales!C:C,RFM_Analysis!A59)</f>
        <v>45953</v>
      </c>
      <c r="C59">
        <f t="shared" ca="1" si="0"/>
        <v>75</v>
      </c>
      <c r="D59">
        <f>COUNTIFS(clean_sales!C:C,RFM_Analysis!A59)</f>
        <v>2</v>
      </c>
      <c r="E59">
        <f>SUMIFS(clean_sales!T:T,clean_sales!C:C,RFM_Analysis!A59)</f>
        <v>70000</v>
      </c>
      <c r="F59">
        <f t="shared" ca="1" si="1"/>
        <v>4</v>
      </c>
      <c r="G59">
        <f t="shared" si="2"/>
        <v>3</v>
      </c>
      <c r="H59">
        <f t="shared" si="3"/>
        <v>3</v>
      </c>
      <c r="I59" t="str">
        <f t="shared" ca="1" si="4"/>
        <v>433</v>
      </c>
      <c r="J59" t="str">
        <f t="shared" ca="1" si="5"/>
        <v>Regular</v>
      </c>
    </row>
    <row r="60" spans="1:10" x14ac:dyDescent="0.35">
      <c r="A60" t="s">
        <v>1846</v>
      </c>
      <c r="B60" s="2">
        <f>_xlfn.MAXIFS(clean_sales!P:P,clean_sales!C:C,RFM_Analysis!A60)</f>
        <v>45866</v>
      </c>
      <c r="C60">
        <f t="shared" ca="1" si="0"/>
        <v>162</v>
      </c>
      <c r="D60">
        <f>COUNTIFS(clean_sales!C:C,RFM_Analysis!A60)</f>
        <v>2</v>
      </c>
      <c r="E60">
        <f>SUMIFS(clean_sales!T:T,clean_sales!C:C,RFM_Analysis!A60)</f>
        <v>293400</v>
      </c>
      <c r="F60">
        <f t="shared" ca="1" si="1"/>
        <v>3</v>
      </c>
      <c r="G60">
        <f t="shared" si="2"/>
        <v>3</v>
      </c>
      <c r="H60">
        <f t="shared" si="3"/>
        <v>4</v>
      </c>
      <c r="I60" t="str">
        <f t="shared" ca="1" si="4"/>
        <v>334</v>
      </c>
      <c r="J60" t="str">
        <f t="shared" ca="1" si="5"/>
        <v>Regular</v>
      </c>
    </row>
    <row r="61" spans="1:10" x14ac:dyDescent="0.35">
      <c r="A61" t="s">
        <v>1847</v>
      </c>
      <c r="B61" s="2">
        <f>_xlfn.MAXIFS(clean_sales!P:P,clean_sales!C:C,RFM_Analysis!A61)</f>
        <v>45992</v>
      </c>
      <c r="C61">
        <f t="shared" ca="1" si="0"/>
        <v>36</v>
      </c>
      <c r="D61">
        <f>COUNTIFS(clean_sales!C:C,RFM_Analysis!A61)</f>
        <v>1</v>
      </c>
      <c r="E61">
        <f>SUMIFS(clean_sales!T:T,clean_sales!C:C,RFM_Analysis!A61)</f>
        <v>325000</v>
      </c>
      <c r="F61">
        <f t="shared" ca="1" si="1"/>
        <v>5</v>
      </c>
      <c r="G61">
        <f t="shared" si="2"/>
        <v>1</v>
      </c>
      <c r="H61">
        <f t="shared" si="3"/>
        <v>5</v>
      </c>
      <c r="I61" t="str">
        <f t="shared" ca="1" si="4"/>
        <v>515</v>
      </c>
      <c r="J61" t="str">
        <f t="shared" ca="1" si="5"/>
        <v>Regular</v>
      </c>
    </row>
    <row r="62" spans="1:10" x14ac:dyDescent="0.35">
      <c r="A62" t="s">
        <v>1848</v>
      </c>
      <c r="B62" s="2">
        <f>_xlfn.MAXIFS(clean_sales!P:P,clean_sales!C:C,RFM_Analysis!A62)</f>
        <v>45924</v>
      </c>
      <c r="C62">
        <f t="shared" ca="1" si="0"/>
        <v>104</v>
      </c>
      <c r="D62">
        <f>COUNTIFS(clean_sales!C:C,RFM_Analysis!A62)</f>
        <v>1</v>
      </c>
      <c r="E62">
        <f>SUMIFS(clean_sales!T:T,clean_sales!C:C,RFM_Analysis!A62)</f>
        <v>48000</v>
      </c>
      <c r="F62">
        <f t="shared" ca="1" si="1"/>
        <v>4</v>
      </c>
      <c r="G62">
        <f t="shared" si="2"/>
        <v>1</v>
      </c>
      <c r="H62">
        <f t="shared" si="3"/>
        <v>2</v>
      </c>
      <c r="I62" t="str">
        <f t="shared" ca="1" si="4"/>
        <v>412</v>
      </c>
      <c r="J62" t="str">
        <f t="shared" ca="1" si="5"/>
        <v>Regular</v>
      </c>
    </row>
    <row r="63" spans="1:10" x14ac:dyDescent="0.35">
      <c r="A63" t="s">
        <v>1849</v>
      </c>
      <c r="B63" s="2">
        <f>_xlfn.MAXIFS(clean_sales!P:P,clean_sales!C:C,RFM_Analysis!A63)</f>
        <v>45717</v>
      </c>
      <c r="C63">
        <f t="shared" ca="1" si="0"/>
        <v>311</v>
      </c>
      <c r="D63">
        <f>COUNTIFS(clean_sales!C:C,RFM_Analysis!A63)</f>
        <v>1</v>
      </c>
      <c r="E63">
        <f>SUMIFS(clean_sales!T:T,clean_sales!C:C,RFM_Analysis!A63)</f>
        <v>216000</v>
      </c>
      <c r="F63">
        <f t="shared" ca="1" si="1"/>
        <v>1</v>
      </c>
      <c r="G63">
        <f t="shared" si="2"/>
        <v>1</v>
      </c>
      <c r="H63">
        <f t="shared" si="3"/>
        <v>4</v>
      </c>
      <c r="I63" t="str">
        <f t="shared" ca="1" si="4"/>
        <v>114</v>
      </c>
      <c r="J63" t="str">
        <f t="shared" ca="1" si="5"/>
        <v>At Risk</v>
      </c>
    </row>
    <row r="64" spans="1:10" x14ac:dyDescent="0.35">
      <c r="A64" t="s">
        <v>1850</v>
      </c>
      <c r="B64" s="2">
        <f>_xlfn.MAXIFS(clean_sales!P:P,clean_sales!C:C,RFM_Analysis!A64)</f>
        <v>45780</v>
      </c>
      <c r="C64">
        <f t="shared" ca="1" si="0"/>
        <v>248</v>
      </c>
      <c r="D64">
        <f>COUNTIFS(clean_sales!C:C,RFM_Analysis!A64)</f>
        <v>1</v>
      </c>
      <c r="E64">
        <f>SUMIFS(clean_sales!T:T,clean_sales!C:C,RFM_Analysis!A64)</f>
        <v>18000</v>
      </c>
      <c r="F64">
        <f t="shared" ca="1" si="1"/>
        <v>1</v>
      </c>
      <c r="G64">
        <f t="shared" si="2"/>
        <v>1</v>
      </c>
      <c r="H64">
        <f t="shared" si="3"/>
        <v>2</v>
      </c>
      <c r="I64" t="str">
        <f t="shared" ca="1" si="4"/>
        <v>112</v>
      </c>
      <c r="J64" t="str">
        <f t="shared" ca="1" si="5"/>
        <v>At Risk</v>
      </c>
    </row>
    <row r="65" spans="1:10" x14ac:dyDescent="0.35">
      <c r="A65" t="s">
        <v>1851</v>
      </c>
      <c r="B65" s="2">
        <f>_xlfn.MAXIFS(clean_sales!P:P,clean_sales!C:C,RFM_Analysis!A65)</f>
        <v>45825</v>
      </c>
      <c r="C65">
        <f t="shared" ca="1" si="0"/>
        <v>203</v>
      </c>
      <c r="D65">
        <f>COUNTIFS(clean_sales!C:C,RFM_Analysis!A65)</f>
        <v>2</v>
      </c>
      <c r="E65">
        <f>SUMIFS(clean_sales!T:T,clean_sales!C:C,RFM_Analysis!A65)</f>
        <v>13500</v>
      </c>
      <c r="F65">
        <f t="shared" ca="1" si="1"/>
        <v>2</v>
      </c>
      <c r="G65">
        <f t="shared" si="2"/>
        <v>3</v>
      </c>
      <c r="H65">
        <f t="shared" si="3"/>
        <v>1</v>
      </c>
      <c r="I65" t="str">
        <f t="shared" ca="1" si="4"/>
        <v>231</v>
      </c>
      <c r="J65" t="str">
        <f t="shared" ca="1" si="5"/>
        <v>At Risk</v>
      </c>
    </row>
    <row r="66" spans="1:10" x14ac:dyDescent="0.35">
      <c r="A66" t="s">
        <v>1852</v>
      </c>
      <c r="B66" s="2">
        <f>_xlfn.MAXIFS(clean_sales!P:P,clean_sales!C:C,RFM_Analysis!A66)</f>
        <v>46003</v>
      </c>
      <c r="C66">
        <f t="shared" ca="1" si="0"/>
        <v>25</v>
      </c>
      <c r="D66">
        <f>COUNTIFS(clean_sales!C:C,RFM_Analysis!A66)</f>
        <v>1</v>
      </c>
      <c r="E66">
        <f>SUMIFS(clean_sales!T:T,clean_sales!C:C,RFM_Analysis!A66)</f>
        <v>18000</v>
      </c>
      <c r="F66">
        <f t="shared" ca="1" si="1"/>
        <v>5</v>
      </c>
      <c r="G66">
        <f t="shared" si="2"/>
        <v>1</v>
      </c>
      <c r="H66">
        <f t="shared" si="3"/>
        <v>2</v>
      </c>
      <c r="I66" t="str">
        <f t="shared" ca="1" si="4"/>
        <v>512</v>
      </c>
      <c r="J66" t="str">
        <f t="shared" ca="1" si="5"/>
        <v>Regular</v>
      </c>
    </row>
    <row r="67" spans="1:10" x14ac:dyDescent="0.35">
      <c r="A67" t="s">
        <v>1853</v>
      </c>
      <c r="B67" s="2">
        <f>_xlfn.MAXIFS(clean_sales!P:P,clean_sales!C:C,RFM_Analysis!A67)</f>
        <v>45687</v>
      </c>
      <c r="C67">
        <f t="shared" ref="C67:C130" ca="1" si="6">TODAY()-B67</f>
        <v>341</v>
      </c>
      <c r="D67">
        <f>COUNTIFS(clean_sales!C:C,RFM_Analysis!A67)</f>
        <v>2</v>
      </c>
      <c r="E67">
        <f>SUMIFS(clean_sales!T:T,clean_sales!C:C,RFM_Analysis!A67)</f>
        <v>312000</v>
      </c>
      <c r="F67">
        <f t="shared" ref="F67:F130" ca="1" si="7">IF(C67&lt;=PERCENTILE($C:$C,0.2),5,
IF(C67&lt;=PERCENTILE($C:$C,0.4),4,
IF(C67&lt;=PERCENTILE($C:$C,0.6),3,
IF(C67&lt;=PERCENTILE($C:$C,0.8),2,1))))</f>
        <v>1</v>
      </c>
      <c r="G67">
        <f t="shared" ref="G67:G130" si="8">IF(D67&lt;=PERCENTILE($D:$D,0.2),1,
IF(D67&lt;=PERCENTILE($D:$D,0.4),2,
IF(D67&lt;=PERCENTILE($D:$D,0.6),3,
IF(D67&lt;=PERCENTILE($D:$D,0.8),4,5))))</f>
        <v>3</v>
      </c>
      <c r="H67">
        <f t="shared" ref="H67:H130" si="9">IF(E67&lt;=PERCENTILE($E:$E,0.2),1,
IF(E67&lt;=PERCENTILE($E:$E,0.4),2,
IF(E67&lt;=PERCENTILE($E:$E,0.6),3,
IF(E67&lt;=PERCENTILE($E:$E,0.8),4,5))))</f>
        <v>5</v>
      </c>
      <c r="I67" t="str">
        <f t="shared" ref="I67:I130" ca="1" si="10">F67&amp;G67&amp;H67</f>
        <v>135</v>
      </c>
      <c r="J67" t="str">
        <f t="shared" ref="J67:J130" ca="1" si="11">IF(I67="555","Champions",
IF(AND(F67&gt;=4,G67&gt;=4),"Loyal",
IF(F67&lt;=2,"At Risk","Regular")))</f>
        <v>At Risk</v>
      </c>
    </row>
    <row r="68" spans="1:10" x14ac:dyDescent="0.35">
      <c r="A68" t="s">
        <v>1854</v>
      </c>
      <c r="B68" s="2">
        <f>_xlfn.MAXIFS(clean_sales!P:P,clean_sales!C:C,RFM_Analysis!A68)</f>
        <v>45996</v>
      </c>
      <c r="C68">
        <f t="shared" ca="1" si="6"/>
        <v>32</v>
      </c>
      <c r="D68">
        <f>COUNTIFS(clean_sales!C:C,RFM_Analysis!A68)</f>
        <v>3</v>
      </c>
      <c r="E68">
        <f>SUMIFS(clean_sales!T:T,clean_sales!C:C,RFM_Analysis!A68)</f>
        <v>395000</v>
      </c>
      <c r="F68">
        <f t="shared" ca="1" si="7"/>
        <v>5</v>
      </c>
      <c r="G68">
        <f t="shared" si="8"/>
        <v>5</v>
      </c>
      <c r="H68">
        <f t="shared" si="9"/>
        <v>5</v>
      </c>
      <c r="I68" t="str">
        <f t="shared" ca="1" si="10"/>
        <v>555</v>
      </c>
      <c r="J68" t="str">
        <f t="shared" ca="1" si="11"/>
        <v>Champions</v>
      </c>
    </row>
    <row r="69" spans="1:10" x14ac:dyDescent="0.35">
      <c r="A69" t="s">
        <v>1855</v>
      </c>
      <c r="B69" s="2">
        <f>_xlfn.MAXIFS(clean_sales!P:P,clean_sales!C:C,RFM_Analysis!A69)</f>
        <v>45938</v>
      </c>
      <c r="C69">
        <f t="shared" ca="1" si="6"/>
        <v>90</v>
      </c>
      <c r="D69">
        <f>COUNTIFS(clean_sales!C:C,RFM_Analysis!A69)</f>
        <v>2</v>
      </c>
      <c r="E69">
        <f>SUMIFS(clean_sales!T:T,clean_sales!C:C,RFM_Analysis!A69)</f>
        <v>34500</v>
      </c>
      <c r="F69">
        <f t="shared" ca="1" si="7"/>
        <v>4</v>
      </c>
      <c r="G69">
        <f t="shared" si="8"/>
        <v>3</v>
      </c>
      <c r="H69">
        <f t="shared" si="9"/>
        <v>2</v>
      </c>
      <c r="I69" t="str">
        <f t="shared" ca="1" si="10"/>
        <v>432</v>
      </c>
      <c r="J69" t="str">
        <f t="shared" ca="1" si="11"/>
        <v>Regular</v>
      </c>
    </row>
    <row r="70" spans="1:10" x14ac:dyDescent="0.35">
      <c r="A70" t="s">
        <v>1856</v>
      </c>
      <c r="B70" s="2">
        <f>_xlfn.MAXIFS(clean_sales!P:P,clean_sales!C:C,RFM_Analysis!A70)</f>
        <v>45967</v>
      </c>
      <c r="C70">
        <f t="shared" ca="1" si="6"/>
        <v>61</v>
      </c>
      <c r="D70">
        <f>COUNTIFS(clean_sales!C:C,RFM_Analysis!A70)</f>
        <v>1</v>
      </c>
      <c r="E70">
        <f>SUMIFS(clean_sales!T:T,clean_sales!C:C,RFM_Analysis!A70)</f>
        <v>116000</v>
      </c>
      <c r="F70">
        <f t="shared" ca="1" si="7"/>
        <v>4</v>
      </c>
      <c r="G70">
        <f t="shared" si="8"/>
        <v>1</v>
      </c>
      <c r="H70">
        <f t="shared" si="9"/>
        <v>3</v>
      </c>
      <c r="I70" t="str">
        <f t="shared" ca="1" si="10"/>
        <v>413</v>
      </c>
      <c r="J70" t="str">
        <f t="shared" ca="1" si="11"/>
        <v>Regular</v>
      </c>
    </row>
    <row r="71" spans="1:10" x14ac:dyDescent="0.35">
      <c r="A71" t="s">
        <v>1857</v>
      </c>
      <c r="B71" s="2">
        <f>_xlfn.MAXIFS(clean_sales!P:P,clean_sales!C:C,RFM_Analysis!A71)</f>
        <v>45903</v>
      </c>
      <c r="C71">
        <f t="shared" ca="1" si="6"/>
        <v>125</v>
      </c>
      <c r="D71">
        <f>COUNTIFS(clean_sales!C:C,RFM_Analysis!A71)</f>
        <v>5</v>
      </c>
      <c r="E71">
        <f>SUMIFS(clean_sales!T:T,clean_sales!C:C,RFM_Analysis!A71)</f>
        <v>624200</v>
      </c>
      <c r="F71">
        <f t="shared" ca="1" si="7"/>
        <v>3</v>
      </c>
      <c r="G71">
        <f t="shared" si="8"/>
        <v>5</v>
      </c>
      <c r="H71">
        <f t="shared" si="9"/>
        <v>5</v>
      </c>
      <c r="I71" t="str">
        <f t="shared" ca="1" si="10"/>
        <v>355</v>
      </c>
      <c r="J71" t="str">
        <f t="shared" ca="1" si="11"/>
        <v>Regular</v>
      </c>
    </row>
    <row r="72" spans="1:10" x14ac:dyDescent="0.35">
      <c r="A72" t="s">
        <v>1858</v>
      </c>
      <c r="B72" s="2">
        <f>_xlfn.MAXIFS(clean_sales!P:P,clean_sales!C:C,RFM_Analysis!A72)</f>
        <v>46023</v>
      </c>
      <c r="C72">
        <f t="shared" ca="1" si="6"/>
        <v>5</v>
      </c>
      <c r="D72">
        <f>COUNTIFS(clean_sales!C:C,RFM_Analysis!A72)</f>
        <v>4</v>
      </c>
      <c r="E72">
        <f>SUMIFS(clean_sales!T:T,clean_sales!C:C,RFM_Analysis!A72)</f>
        <v>244000</v>
      </c>
      <c r="F72">
        <f t="shared" ca="1" si="7"/>
        <v>5</v>
      </c>
      <c r="G72">
        <f t="shared" si="8"/>
        <v>5</v>
      </c>
      <c r="H72">
        <f t="shared" si="9"/>
        <v>4</v>
      </c>
      <c r="I72" t="str">
        <f t="shared" ca="1" si="10"/>
        <v>554</v>
      </c>
      <c r="J72" t="str">
        <f t="shared" ca="1" si="11"/>
        <v>Loyal</v>
      </c>
    </row>
    <row r="73" spans="1:10" x14ac:dyDescent="0.35">
      <c r="A73" t="s">
        <v>1859</v>
      </c>
      <c r="B73" s="2">
        <f>_xlfn.MAXIFS(clean_sales!P:P,clean_sales!C:C,RFM_Analysis!A73)</f>
        <v>45895</v>
      </c>
      <c r="C73">
        <f t="shared" ca="1" si="6"/>
        <v>133</v>
      </c>
      <c r="D73">
        <f>COUNTIFS(clean_sales!C:C,RFM_Analysis!A73)</f>
        <v>2</v>
      </c>
      <c r="E73">
        <f>SUMIFS(clean_sales!T:T,clean_sales!C:C,RFM_Analysis!A73)</f>
        <v>39600</v>
      </c>
      <c r="F73">
        <f t="shared" ca="1" si="7"/>
        <v>3</v>
      </c>
      <c r="G73">
        <f t="shared" si="8"/>
        <v>3</v>
      </c>
      <c r="H73">
        <f t="shared" si="9"/>
        <v>2</v>
      </c>
      <c r="I73" t="str">
        <f t="shared" ca="1" si="10"/>
        <v>332</v>
      </c>
      <c r="J73" t="str">
        <f t="shared" ca="1" si="11"/>
        <v>Regular</v>
      </c>
    </row>
    <row r="74" spans="1:10" x14ac:dyDescent="0.35">
      <c r="A74" t="s">
        <v>1860</v>
      </c>
      <c r="B74" s="2">
        <f>_xlfn.MAXIFS(clean_sales!P:P,clean_sales!C:C,RFM_Analysis!A74)</f>
        <v>45956</v>
      </c>
      <c r="C74">
        <f t="shared" ca="1" si="6"/>
        <v>72</v>
      </c>
      <c r="D74">
        <f>COUNTIFS(clean_sales!C:C,RFM_Analysis!A74)</f>
        <v>1</v>
      </c>
      <c r="E74">
        <f>SUMIFS(clean_sales!T:T,clean_sales!C:C,RFM_Analysis!A74)</f>
        <v>24000</v>
      </c>
      <c r="F74">
        <f t="shared" ca="1" si="7"/>
        <v>4</v>
      </c>
      <c r="G74">
        <f t="shared" si="8"/>
        <v>1</v>
      </c>
      <c r="H74">
        <f t="shared" si="9"/>
        <v>2</v>
      </c>
      <c r="I74" t="str">
        <f t="shared" ca="1" si="10"/>
        <v>412</v>
      </c>
      <c r="J74" t="str">
        <f t="shared" ca="1" si="11"/>
        <v>Regular</v>
      </c>
    </row>
    <row r="75" spans="1:10" x14ac:dyDescent="0.35">
      <c r="A75" t="s">
        <v>1861</v>
      </c>
      <c r="B75" s="2">
        <f>_xlfn.MAXIFS(clean_sales!P:P,clean_sales!C:C,RFM_Analysis!A75)</f>
        <v>45917</v>
      </c>
      <c r="C75">
        <f t="shared" ca="1" si="6"/>
        <v>111</v>
      </c>
      <c r="D75">
        <f>COUNTIFS(clean_sales!C:C,RFM_Analysis!A75)</f>
        <v>2</v>
      </c>
      <c r="E75">
        <f>SUMIFS(clean_sales!T:T,clean_sales!C:C,RFM_Analysis!A75)</f>
        <v>320000</v>
      </c>
      <c r="F75">
        <f t="shared" ca="1" si="7"/>
        <v>3</v>
      </c>
      <c r="G75">
        <f t="shared" si="8"/>
        <v>3</v>
      </c>
      <c r="H75">
        <f t="shared" si="9"/>
        <v>5</v>
      </c>
      <c r="I75" t="str">
        <f t="shared" ca="1" si="10"/>
        <v>335</v>
      </c>
      <c r="J75" t="str">
        <f t="shared" ca="1" si="11"/>
        <v>Regular</v>
      </c>
    </row>
    <row r="76" spans="1:10" x14ac:dyDescent="0.35">
      <c r="A76" t="s">
        <v>1862</v>
      </c>
      <c r="B76" s="2">
        <f>_xlfn.MAXIFS(clean_sales!P:P,clean_sales!C:C,RFM_Analysis!A76)</f>
        <v>45992</v>
      </c>
      <c r="C76">
        <f t="shared" ca="1" si="6"/>
        <v>36</v>
      </c>
      <c r="D76">
        <f>COUNTIFS(clean_sales!C:C,RFM_Analysis!A76)</f>
        <v>1</v>
      </c>
      <c r="E76">
        <f>SUMIFS(clean_sales!T:T,clean_sales!C:C,RFM_Analysis!A76)</f>
        <v>325000</v>
      </c>
      <c r="F76">
        <f t="shared" ca="1" si="7"/>
        <v>5</v>
      </c>
      <c r="G76">
        <f t="shared" si="8"/>
        <v>1</v>
      </c>
      <c r="H76">
        <f t="shared" si="9"/>
        <v>5</v>
      </c>
      <c r="I76" t="str">
        <f t="shared" ca="1" si="10"/>
        <v>515</v>
      </c>
      <c r="J76" t="str">
        <f t="shared" ca="1" si="11"/>
        <v>Regular</v>
      </c>
    </row>
    <row r="77" spans="1:10" x14ac:dyDescent="0.35">
      <c r="A77" t="s">
        <v>1863</v>
      </c>
      <c r="B77" s="2">
        <f>_xlfn.MAXIFS(clean_sales!P:P,clean_sales!C:C,RFM_Analysis!A77)</f>
        <v>46011</v>
      </c>
      <c r="C77">
        <f t="shared" ca="1" si="6"/>
        <v>17</v>
      </c>
      <c r="D77">
        <f>COUNTIFS(clean_sales!C:C,RFM_Analysis!A77)</f>
        <v>2</v>
      </c>
      <c r="E77">
        <f>SUMIFS(clean_sales!T:T,clean_sales!C:C,RFM_Analysis!A77)</f>
        <v>58500</v>
      </c>
      <c r="F77">
        <f t="shared" ca="1" si="7"/>
        <v>5</v>
      </c>
      <c r="G77">
        <f t="shared" si="8"/>
        <v>3</v>
      </c>
      <c r="H77">
        <f t="shared" si="9"/>
        <v>3</v>
      </c>
      <c r="I77" t="str">
        <f t="shared" ca="1" si="10"/>
        <v>533</v>
      </c>
      <c r="J77" t="str">
        <f t="shared" ca="1" si="11"/>
        <v>Regular</v>
      </c>
    </row>
    <row r="78" spans="1:10" x14ac:dyDescent="0.35">
      <c r="A78" t="s">
        <v>1864</v>
      </c>
      <c r="B78" s="2">
        <f>_xlfn.MAXIFS(clean_sales!P:P,clean_sales!C:C,RFM_Analysis!A78)</f>
        <v>45989</v>
      </c>
      <c r="C78">
        <f t="shared" ca="1" si="6"/>
        <v>39</v>
      </c>
      <c r="D78">
        <f>COUNTIFS(clean_sales!C:C,RFM_Analysis!A78)</f>
        <v>2</v>
      </c>
      <c r="E78">
        <f>SUMIFS(clean_sales!T:T,clean_sales!C:C,RFM_Analysis!A78)</f>
        <v>234000</v>
      </c>
      <c r="F78">
        <f t="shared" ca="1" si="7"/>
        <v>5</v>
      </c>
      <c r="G78">
        <f t="shared" si="8"/>
        <v>3</v>
      </c>
      <c r="H78">
        <f t="shared" si="9"/>
        <v>4</v>
      </c>
      <c r="I78" t="str">
        <f t="shared" ca="1" si="10"/>
        <v>534</v>
      </c>
      <c r="J78" t="str">
        <f t="shared" ca="1" si="11"/>
        <v>Regular</v>
      </c>
    </row>
    <row r="79" spans="1:10" x14ac:dyDescent="0.35">
      <c r="A79" t="s">
        <v>1865</v>
      </c>
      <c r="B79" s="2">
        <f>_xlfn.MAXIFS(clean_sales!P:P,clean_sales!C:C,RFM_Analysis!A79)</f>
        <v>45896</v>
      </c>
      <c r="C79">
        <f t="shared" ca="1" si="6"/>
        <v>132</v>
      </c>
      <c r="D79">
        <f>COUNTIFS(clean_sales!C:C,RFM_Analysis!A79)</f>
        <v>3</v>
      </c>
      <c r="E79">
        <f>SUMIFS(clean_sales!T:T,clean_sales!C:C,RFM_Analysis!A79)</f>
        <v>34800</v>
      </c>
      <c r="F79">
        <f t="shared" ca="1" si="7"/>
        <v>3</v>
      </c>
      <c r="G79">
        <f t="shared" si="8"/>
        <v>5</v>
      </c>
      <c r="H79">
        <f t="shared" si="9"/>
        <v>2</v>
      </c>
      <c r="I79" t="str">
        <f t="shared" ca="1" si="10"/>
        <v>352</v>
      </c>
      <c r="J79" t="str">
        <f t="shared" ca="1" si="11"/>
        <v>Regular</v>
      </c>
    </row>
    <row r="80" spans="1:10" x14ac:dyDescent="0.35">
      <c r="A80" t="s">
        <v>1866</v>
      </c>
      <c r="B80" s="2">
        <f>_xlfn.MAXIFS(clean_sales!P:P,clean_sales!C:C,RFM_Analysis!A80)</f>
        <v>45871</v>
      </c>
      <c r="C80">
        <f t="shared" ca="1" si="6"/>
        <v>157</v>
      </c>
      <c r="D80">
        <f>COUNTIFS(clean_sales!C:C,RFM_Analysis!A80)</f>
        <v>1</v>
      </c>
      <c r="E80">
        <f>SUMIFS(clean_sales!T:T,clean_sales!C:C,RFM_Analysis!A80)</f>
        <v>144000</v>
      </c>
      <c r="F80">
        <f t="shared" ca="1" si="7"/>
        <v>3</v>
      </c>
      <c r="G80">
        <f t="shared" si="8"/>
        <v>1</v>
      </c>
      <c r="H80">
        <f t="shared" si="9"/>
        <v>3</v>
      </c>
      <c r="I80" t="str">
        <f t="shared" ca="1" si="10"/>
        <v>313</v>
      </c>
      <c r="J80" t="str">
        <f t="shared" ca="1" si="11"/>
        <v>Regular</v>
      </c>
    </row>
    <row r="81" spans="1:10" x14ac:dyDescent="0.35">
      <c r="A81" t="s">
        <v>1867</v>
      </c>
      <c r="B81" s="2">
        <f>_xlfn.MAXIFS(clean_sales!P:P,clean_sales!C:C,RFM_Analysis!A81)</f>
        <v>45755</v>
      </c>
      <c r="C81">
        <f t="shared" ca="1" si="6"/>
        <v>273</v>
      </c>
      <c r="D81">
        <f>COUNTIFS(clean_sales!C:C,RFM_Analysis!A81)</f>
        <v>1</v>
      </c>
      <c r="E81">
        <f>SUMIFS(clean_sales!T:T,clean_sales!C:C,RFM_Analysis!A81)</f>
        <v>58000</v>
      </c>
      <c r="F81">
        <f t="shared" ca="1" si="7"/>
        <v>1</v>
      </c>
      <c r="G81">
        <f t="shared" si="8"/>
        <v>1</v>
      </c>
      <c r="H81">
        <f t="shared" si="9"/>
        <v>2</v>
      </c>
      <c r="I81" t="str">
        <f t="shared" ca="1" si="10"/>
        <v>112</v>
      </c>
      <c r="J81" t="str">
        <f t="shared" ca="1" si="11"/>
        <v>At Risk</v>
      </c>
    </row>
    <row r="82" spans="1:10" x14ac:dyDescent="0.35">
      <c r="A82" t="s">
        <v>1868</v>
      </c>
      <c r="B82" s="2">
        <f>_xlfn.MAXIFS(clean_sales!P:P,clean_sales!C:C,RFM_Analysis!A82)</f>
        <v>45757</v>
      </c>
      <c r="C82">
        <f t="shared" ca="1" si="6"/>
        <v>271</v>
      </c>
      <c r="D82">
        <f>COUNTIFS(clean_sales!C:C,RFM_Analysis!A82)</f>
        <v>1</v>
      </c>
      <c r="E82">
        <f>SUMIFS(clean_sales!T:T,clean_sales!C:C,RFM_Analysis!A82)</f>
        <v>9000</v>
      </c>
      <c r="F82">
        <f t="shared" ca="1" si="7"/>
        <v>1</v>
      </c>
      <c r="G82">
        <f t="shared" si="8"/>
        <v>1</v>
      </c>
      <c r="H82">
        <f t="shared" si="9"/>
        <v>1</v>
      </c>
      <c r="I82" t="str">
        <f t="shared" ca="1" si="10"/>
        <v>111</v>
      </c>
      <c r="J82" t="str">
        <f t="shared" ca="1" si="11"/>
        <v>At Risk</v>
      </c>
    </row>
    <row r="83" spans="1:10" x14ac:dyDescent="0.35">
      <c r="A83" t="s">
        <v>1869</v>
      </c>
      <c r="B83" s="2">
        <f>_xlfn.MAXIFS(clean_sales!P:P,clean_sales!C:C,RFM_Analysis!A83)</f>
        <v>45985</v>
      </c>
      <c r="C83">
        <f t="shared" ca="1" si="6"/>
        <v>43</v>
      </c>
      <c r="D83">
        <f>COUNTIFS(clean_sales!C:C,RFM_Analysis!A83)</f>
        <v>4</v>
      </c>
      <c r="E83">
        <f>SUMIFS(clean_sales!T:T,clean_sales!C:C,RFM_Analysis!A83)</f>
        <v>203700</v>
      </c>
      <c r="F83">
        <f t="shared" ca="1" si="7"/>
        <v>5</v>
      </c>
      <c r="G83">
        <f t="shared" si="8"/>
        <v>5</v>
      </c>
      <c r="H83">
        <f t="shared" si="9"/>
        <v>4</v>
      </c>
      <c r="I83" t="str">
        <f t="shared" ca="1" si="10"/>
        <v>554</v>
      </c>
      <c r="J83" t="str">
        <f t="shared" ca="1" si="11"/>
        <v>Loyal</v>
      </c>
    </row>
    <row r="84" spans="1:10" x14ac:dyDescent="0.35">
      <c r="A84" t="s">
        <v>1870</v>
      </c>
      <c r="B84" s="2">
        <f>_xlfn.MAXIFS(clean_sales!P:P,clean_sales!C:C,RFM_Analysis!A84)</f>
        <v>45905</v>
      </c>
      <c r="C84">
        <f t="shared" ca="1" si="6"/>
        <v>123</v>
      </c>
      <c r="D84">
        <f>COUNTIFS(clean_sales!C:C,RFM_Analysis!A84)</f>
        <v>2</v>
      </c>
      <c r="E84">
        <f>SUMIFS(clean_sales!T:T,clean_sales!C:C,RFM_Analysis!A84)</f>
        <v>265400</v>
      </c>
      <c r="F84">
        <f t="shared" ca="1" si="7"/>
        <v>3</v>
      </c>
      <c r="G84">
        <f t="shared" si="8"/>
        <v>3</v>
      </c>
      <c r="H84">
        <f t="shared" si="9"/>
        <v>4</v>
      </c>
      <c r="I84" t="str">
        <f t="shared" ca="1" si="10"/>
        <v>334</v>
      </c>
      <c r="J84" t="str">
        <f t="shared" ca="1" si="11"/>
        <v>Regular</v>
      </c>
    </row>
    <row r="85" spans="1:10" x14ac:dyDescent="0.35">
      <c r="A85" t="s">
        <v>1871</v>
      </c>
      <c r="B85" s="2">
        <f>_xlfn.MAXIFS(clean_sales!P:P,clean_sales!C:C,RFM_Analysis!A85)</f>
        <v>45815</v>
      </c>
      <c r="C85">
        <f t="shared" ca="1" si="6"/>
        <v>213</v>
      </c>
      <c r="D85">
        <f>COUNTIFS(clean_sales!C:C,RFM_Analysis!A85)</f>
        <v>4</v>
      </c>
      <c r="E85">
        <f>SUMIFS(clean_sales!T:T,clean_sales!C:C,RFM_Analysis!A85)</f>
        <v>709600</v>
      </c>
      <c r="F85">
        <f t="shared" ca="1" si="7"/>
        <v>2</v>
      </c>
      <c r="G85">
        <f t="shared" si="8"/>
        <v>5</v>
      </c>
      <c r="H85">
        <f t="shared" si="9"/>
        <v>5</v>
      </c>
      <c r="I85" t="str">
        <f t="shared" ca="1" si="10"/>
        <v>255</v>
      </c>
      <c r="J85" t="str">
        <f t="shared" ca="1" si="11"/>
        <v>At Risk</v>
      </c>
    </row>
    <row r="86" spans="1:10" x14ac:dyDescent="0.35">
      <c r="A86" t="s">
        <v>1872</v>
      </c>
      <c r="B86" s="2">
        <f>_xlfn.MAXIFS(clean_sales!P:P,clean_sales!C:C,RFM_Analysis!A86)</f>
        <v>45878</v>
      </c>
      <c r="C86">
        <f t="shared" ca="1" si="6"/>
        <v>150</v>
      </c>
      <c r="D86">
        <f>COUNTIFS(clean_sales!C:C,RFM_Analysis!A86)</f>
        <v>4</v>
      </c>
      <c r="E86">
        <f>SUMIFS(clean_sales!T:T,clean_sales!C:C,RFM_Analysis!A86)</f>
        <v>941400</v>
      </c>
      <c r="F86">
        <f t="shared" ca="1" si="7"/>
        <v>3</v>
      </c>
      <c r="G86">
        <f t="shared" si="8"/>
        <v>5</v>
      </c>
      <c r="H86">
        <f t="shared" si="9"/>
        <v>5</v>
      </c>
      <c r="I86" t="str">
        <f t="shared" ca="1" si="10"/>
        <v>355</v>
      </c>
      <c r="J86" t="str">
        <f t="shared" ca="1" si="11"/>
        <v>Regular</v>
      </c>
    </row>
    <row r="87" spans="1:10" x14ac:dyDescent="0.35">
      <c r="A87" t="s">
        <v>1873</v>
      </c>
      <c r="B87" s="2">
        <f>_xlfn.MAXIFS(clean_sales!P:P,clean_sales!C:C,RFM_Analysis!A87)</f>
        <v>46018</v>
      </c>
      <c r="C87">
        <f t="shared" ca="1" si="6"/>
        <v>10</v>
      </c>
      <c r="D87">
        <f>COUNTIFS(clean_sales!C:C,RFM_Analysis!A87)</f>
        <v>4</v>
      </c>
      <c r="E87">
        <f>SUMIFS(clean_sales!T:T,clean_sales!C:C,RFM_Analysis!A87)</f>
        <v>390500</v>
      </c>
      <c r="F87">
        <f t="shared" ca="1" si="7"/>
        <v>5</v>
      </c>
      <c r="G87">
        <f t="shared" si="8"/>
        <v>5</v>
      </c>
      <c r="H87">
        <f t="shared" si="9"/>
        <v>5</v>
      </c>
      <c r="I87" t="str">
        <f t="shared" ca="1" si="10"/>
        <v>555</v>
      </c>
      <c r="J87" t="str">
        <f t="shared" ca="1" si="11"/>
        <v>Champions</v>
      </c>
    </row>
    <row r="88" spans="1:10" x14ac:dyDescent="0.35">
      <c r="A88" t="s">
        <v>1874</v>
      </c>
      <c r="B88" s="2">
        <f>_xlfn.MAXIFS(clean_sales!P:P,clean_sales!C:C,RFM_Analysis!A88)</f>
        <v>45943</v>
      </c>
      <c r="C88">
        <f t="shared" ca="1" si="6"/>
        <v>85</v>
      </c>
      <c r="D88">
        <f>COUNTIFS(clean_sales!C:C,RFM_Analysis!A88)</f>
        <v>2</v>
      </c>
      <c r="E88">
        <f>SUMIFS(clean_sales!T:T,clean_sales!C:C,RFM_Analysis!A88)</f>
        <v>200400</v>
      </c>
      <c r="F88">
        <f t="shared" ca="1" si="7"/>
        <v>4</v>
      </c>
      <c r="G88">
        <f t="shared" si="8"/>
        <v>3</v>
      </c>
      <c r="H88">
        <f t="shared" si="9"/>
        <v>4</v>
      </c>
      <c r="I88" t="str">
        <f t="shared" ca="1" si="10"/>
        <v>434</v>
      </c>
      <c r="J88" t="str">
        <f t="shared" ca="1" si="11"/>
        <v>Regular</v>
      </c>
    </row>
    <row r="89" spans="1:10" x14ac:dyDescent="0.35">
      <c r="A89" t="s">
        <v>1875</v>
      </c>
      <c r="B89" s="2">
        <f>_xlfn.MAXIFS(clean_sales!P:P,clean_sales!C:C,RFM_Analysis!A89)</f>
        <v>45848</v>
      </c>
      <c r="C89">
        <f t="shared" ca="1" si="6"/>
        <v>180</v>
      </c>
      <c r="D89">
        <f>COUNTIFS(clean_sales!C:C,RFM_Analysis!A89)</f>
        <v>3</v>
      </c>
      <c r="E89">
        <f>SUMIFS(clean_sales!T:T,clean_sales!C:C,RFM_Analysis!A89)</f>
        <v>338500</v>
      </c>
      <c r="F89">
        <f t="shared" ca="1" si="7"/>
        <v>2</v>
      </c>
      <c r="G89">
        <f t="shared" si="8"/>
        <v>5</v>
      </c>
      <c r="H89">
        <f t="shared" si="9"/>
        <v>5</v>
      </c>
      <c r="I89" t="str">
        <f t="shared" ca="1" si="10"/>
        <v>255</v>
      </c>
      <c r="J89" t="str">
        <f t="shared" ca="1" si="11"/>
        <v>At Risk</v>
      </c>
    </row>
    <row r="90" spans="1:10" x14ac:dyDescent="0.35">
      <c r="A90" t="s">
        <v>1876</v>
      </c>
      <c r="B90" s="2">
        <f>_xlfn.MAXIFS(clean_sales!P:P,clean_sales!C:C,RFM_Analysis!A90)</f>
        <v>45671</v>
      </c>
      <c r="C90">
        <f t="shared" ca="1" si="6"/>
        <v>357</v>
      </c>
      <c r="D90">
        <f>COUNTIFS(clean_sales!C:C,RFM_Analysis!A90)</f>
        <v>1</v>
      </c>
      <c r="E90">
        <f>SUMIFS(clean_sales!T:T,clean_sales!C:C,RFM_Analysis!A90)</f>
        <v>7200</v>
      </c>
      <c r="F90">
        <f t="shared" ca="1" si="7"/>
        <v>1</v>
      </c>
      <c r="G90">
        <f t="shared" si="8"/>
        <v>1</v>
      </c>
      <c r="H90">
        <f t="shared" si="9"/>
        <v>1</v>
      </c>
      <c r="I90" t="str">
        <f t="shared" ca="1" si="10"/>
        <v>111</v>
      </c>
      <c r="J90" t="str">
        <f t="shared" ca="1" si="11"/>
        <v>At Risk</v>
      </c>
    </row>
    <row r="91" spans="1:10" x14ac:dyDescent="0.35">
      <c r="A91" t="s">
        <v>1877</v>
      </c>
      <c r="B91" s="2">
        <f>_xlfn.MAXIFS(clean_sales!P:P,clean_sales!C:C,RFM_Analysis!A91)</f>
        <v>45965</v>
      </c>
      <c r="C91">
        <f t="shared" ca="1" si="6"/>
        <v>63</v>
      </c>
      <c r="D91">
        <f>COUNTIFS(clean_sales!C:C,RFM_Analysis!A91)</f>
        <v>2</v>
      </c>
      <c r="E91">
        <f>SUMIFS(clean_sales!T:T,clean_sales!C:C,RFM_Analysis!A91)</f>
        <v>202000</v>
      </c>
      <c r="F91">
        <f t="shared" ca="1" si="7"/>
        <v>4</v>
      </c>
      <c r="G91">
        <f t="shared" si="8"/>
        <v>3</v>
      </c>
      <c r="H91">
        <f t="shared" si="9"/>
        <v>4</v>
      </c>
      <c r="I91" t="str">
        <f t="shared" ca="1" si="10"/>
        <v>434</v>
      </c>
      <c r="J91" t="str">
        <f t="shared" ca="1" si="11"/>
        <v>Regular</v>
      </c>
    </row>
    <row r="92" spans="1:10" x14ac:dyDescent="0.35">
      <c r="A92" t="s">
        <v>1878</v>
      </c>
      <c r="B92" s="2">
        <f>_xlfn.MAXIFS(clean_sales!P:P,clean_sales!C:C,RFM_Analysis!A92)</f>
        <v>45837</v>
      </c>
      <c r="C92">
        <f t="shared" ca="1" si="6"/>
        <v>191</v>
      </c>
      <c r="D92">
        <f>COUNTIFS(clean_sales!C:C,RFM_Analysis!A92)</f>
        <v>2</v>
      </c>
      <c r="E92">
        <f>SUMIFS(clean_sales!T:T,clean_sales!C:C,RFM_Analysis!A92)</f>
        <v>339000</v>
      </c>
      <c r="F92">
        <f t="shared" ca="1" si="7"/>
        <v>2</v>
      </c>
      <c r="G92">
        <f t="shared" si="8"/>
        <v>3</v>
      </c>
      <c r="H92">
        <f t="shared" si="9"/>
        <v>5</v>
      </c>
      <c r="I92" t="str">
        <f t="shared" ca="1" si="10"/>
        <v>235</v>
      </c>
      <c r="J92" t="str">
        <f t="shared" ca="1" si="11"/>
        <v>At Risk</v>
      </c>
    </row>
    <row r="93" spans="1:10" x14ac:dyDescent="0.35">
      <c r="A93" t="s">
        <v>1879</v>
      </c>
      <c r="B93" s="2">
        <f>_xlfn.MAXIFS(clean_sales!P:P,clean_sales!C:C,RFM_Analysis!A93)</f>
        <v>45802</v>
      </c>
      <c r="C93">
        <f t="shared" ca="1" si="6"/>
        <v>226</v>
      </c>
      <c r="D93">
        <f>COUNTIFS(clean_sales!C:C,RFM_Analysis!A93)</f>
        <v>2</v>
      </c>
      <c r="E93">
        <f>SUMIFS(clean_sales!T:T,clean_sales!C:C,RFM_Analysis!A93)</f>
        <v>462000</v>
      </c>
      <c r="F93">
        <f t="shared" ca="1" si="7"/>
        <v>2</v>
      </c>
      <c r="G93">
        <f t="shared" si="8"/>
        <v>3</v>
      </c>
      <c r="H93">
        <f t="shared" si="9"/>
        <v>5</v>
      </c>
      <c r="I93" t="str">
        <f t="shared" ca="1" si="10"/>
        <v>235</v>
      </c>
      <c r="J93" t="str">
        <f t="shared" ca="1" si="11"/>
        <v>At Risk</v>
      </c>
    </row>
    <row r="94" spans="1:10" x14ac:dyDescent="0.35">
      <c r="A94" t="s">
        <v>1880</v>
      </c>
      <c r="B94" s="2">
        <f>_xlfn.MAXIFS(clean_sales!P:P,clean_sales!C:C,RFM_Analysis!A94)</f>
        <v>45958</v>
      </c>
      <c r="C94">
        <f t="shared" ca="1" si="6"/>
        <v>70</v>
      </c>
      <c r="D94">
        <f>COUNTIFS(clean_sales!C:C,RFM_Analysis!A94)</f>
        <v>3</v>
      </c>
      <c r="E94">
        <f>SUMIFS(clean_sales!T:T,clean_sales!C:C,RFM_Analysis!A94)</f>
        <v>22200</v>
      </c>
      <c r="F94">
        <f t="shared" ca="1" si="7"/>
        <v>4</v>
      </c>
      <c r="G94">
        <f t="shared" si="8"/>
        <v>5</v>
      </c>
      <c r="H94">
        <f t="shared" si="9"/>
        <v>2</v>
      </c>
      <c r="I94" t="str">
        <f t="shared" ca="1" si="10"/>
        <v>452</v>
      </c>
      <c r="J94" t="str">
        <f t="shared" ca="1" si="11"/>
        <v>Loyal</v>
      </c>
    </row>
    <row r="95" spans="1:10" x14ac:dyDescent="0.35">
      <c r="A95" t="s">
        <v>1881</v>
      </c>
      <c r="B95" s="2">
        <f>_xlfn.MAXIFS(clean_sales!P:P,clean_sales!C:C,RFM_Analysis!A95)</f>
        <v>45758</v>
      </c>
      <c r="C95">
        <f t="shared" ca="1" si="6"/>
        <v>270</v>
      </c>
      <c r="D95">
        <f>COUNTIFS(clean_sales!C:C,RFM_Analysis!A95)</f>
        <v>3</v>
      </c>
      <c r="E95">
        <f>SUMIFS(clean_sales!T:T,clean_sales!C:C,RFM_Analysis!A95)</f>
        <v>554500</v>
      </c>
      <c r="F95">
        <f t="shared" ca="1" si="7"/>
        <v>1</v>
      </c>
      <c r="G95">
        <f t="shared" si="8"/>
        <v>5</v>
      </c>
      <c r="H95">
        <f t="shared" si="9"/>
        <v>5</v>
      </c>
      <c r="I95" t="str">
        <f t="shared" ca="1" si="10"/>
        <v>155</v>
      </c>
      <c r="J95" t="str">
        <f t="shared" ca="1" si="11"/>
        <v>At Risk</v>
      </c>
    </row>
    <row r="96" spans="1:10" x14ac:dyDescent="0.35">
      <c r="A96" t="s">
        <v>1882</v>
      </c>
      <c r="B96" s="2">
        <f>_xlfn.MAXIFS(clean_sales!P:P,clean_sales!C:C,RFM_Analysis!A96)</f>
        <v>45903</v>
      </c>
      <c r="C96">
        <f t="shared" ca="1" si="6"/>
        <v>125</v>
      </c>
      <c r="D96">
        <f>COUNTIFS(clean_sales!C:C,RFM_Analysis!A96)</f>
        <v>2</v>
      </c>
      <c r="E96">
        <f>SUMIFS(clean_sales!T:T,clean_sales!C:C,RFM_Analysis!A96)</f>
        <v>390000</v>
      </c>
      <c r="F96">
        <f t="shared" ca="1" si="7"/>
        <v>3</v>
      </c>
      <c r="G96">
        <f t="shared" si="8"/>
        <v>3</v>
      </c>
      <c r="H96">
        <f t="shared" si="9"/>
        <v>5</v>
      </c>
      <c r="I96" t="str">
        <f t="shared" ca="1" si="10"/>
        <v>335</v>
      </c>
      <c r="J96" t="str">
        <f t="shared" ca="1" si="11"/>
        <v>Regular</v>
      </c>
    </row>
    <row r="97" spans="1:10" x14ac:dyDescent="0.35">
      <c r="A97" t="s">
        <v>1883</v>
      </c>
      <c r="B97" s="2">
        <f>_xlfn.MAXIFS(clean_sales!P:P,clean_sales!C:C,RFM_Analysis!A97)</f>
        <v>45751</v>
      </c>
      <c r="C97">
        <f t="shared" ca="1" si="6"/>
        <v>277</v>
      </c>
      <c r="D97">
        <f>COUNTIFS(clean_sales!C:C,RFM_Analysis!A97)</f>
        <v>3</v>
      </c>
      <c r="E97">
        <f>SUMIFS(clean_sales!T:T,clean_sales!C:C,RFM_Analysis!A97)</f>
        <v>256500</v>
      </c>
      <c r="F97">
        <f t="shared" ca="1" si="7"/>
        <v>1</v>
      </c>
      <c r="G97">
        <f t="shared" si="8"/>
        <v>5</v>
      </c>
      <c r="H97">
        <f t="shared" si="9"/>
        <v>4</v>
      </c>
      <c r="I97" t="str">
        <f t="shared" ca="1" si="10"/>
        <v>154</v>
      </c>
      <c r="J97" t="str">
        <f t="shared" ca="1" si="11"/>
        <v>At Risk</v>
      </c>
    </row>
    <row r="98" spans="1:10" x14ac:dyDescent="0.35">
      <c r="A98" t="s">
        <v>1884</v>
      </c>
      <c r="B98" s="2">
        <f>_xlfn.MAXIFS(clean_sales!P:P,clean_sales!C:C,RFM_Analysis!A98)</f>
        <v>46023</v>
      </c>
      <c r="C98">
        <f t="shared" ca="1" si="6"/>
        <v>5</v>
      </c>
      <c r="D98">
        <f>COUNTIFS(clean_sales!C:C,RFM_Analysis!A98)</f>
        <v>3</v>
      </c>
      <c r="E98">
        <f>SUMIFS(clean_sales!T:T,clean_sales!C:C,RFM_Analysis!A98)</f>
        <v>198600</v>
      </c>
      <c r="F98">
        <f t="shared" ca="1" si="7"/>
        <v>5</v>
      </c>
      <c r="G98">
        <f t="shared" si="8"/>
        <v>5</v>
      </c>
      <c r="H98">
        <f t="shared" si="9"/>
        <v>4</v>
      </c>
      <c r="I98" t="str">
        <f t="shared" ca="1" si="10"/>
        <v>554</v>
      </c>
      <c r="J98" t="str">
        <f t="shared" ca="1" si="11"/>
        <v>Loyal</v>
      </c>
    </row>
    <row r="99" spans="1:10" x14ac:dyDescent="0.35">
      <c r="A99" t="s">
        <v>1885</v>
      </c>
      <c r="B99" s="2">
        <f>_xlfn.MAXIFS(clean_sales!P:P,clean_sales!C:C,RFM_Analysis!A99)</f>
        <v>46004</v>
      </c>
      <c r="C99">
        <f t="shared" ca="1" si="6"/>
        <v>24</v>
      </c>
      <c r="D99">
        <f>COUNTIFS(clean_sales!C:C,RFM_Analysis!A99)</f>
        <v>3</v>
      </c>
      <c r="E99">
        <f>SUMIFS(clean_sales!T:T,clean_sales!C:C,RFM_Analysis!A99)</f>
        <v>350000</v>
      </c>
      <c r="F99">
        <f t="shared" ca="1" si="7"/>
        <v>5</v>
      </c>
      <c r="G99">
        <f t="shared" si="8"/>
        <v>5</v>
      </c>
      <c r="H99">
        <f t="shared" si="9"/>
        <v>5</v>
      </c>
      <c r="I99" t="str">
        <f t="shared" ca="1" si="10"/>
        <v>555</v>
      </c>
      <c r="J99" t="str">
        <f t="shared" ca="1" si="11"/>
        <v>Champions</v>
      </c>
    </row>
    <row r="100" spans="1:10" x14ac:dyDescent="0.35">
      <c r="A100" t="s">
        <v>1886</v>
      </c>
      <c r="B100" s="2">
        <f>_xlfn.MAXIFS(clean_sales!P:P,clean_sales!C:C,RFM_Analysis!A100)</f>
        <v>46006</v>
      </c>
      <c r="C100">
        <f t="shared" ca="1" si="6"/>
        <v>22</v>
      </c>
      <c r="D100">
        <f>COUNTIFS(clean_sales!C:C,RFM_Analysis!A100)</f>
        <v>2</v>
      </c>
      <c r="E100">
        <f>SUMIFS(clean_sales!T:T,clean_sales!C:C,RFM_Analysis!A100)</f>
        <v>37500</v>
      </c>
      <c r="F100">
        <f t="shared" ca="1" si="7"/>
        <v>5</v>
      </c>
      <c r="G100">
        <f t="shared" si="8"/>
        <v>3</v>
      </c>
      <c r="H100">
        <f t="shared" si="9"/>
        <v>2</v>
      </c>
      <c r="I100" t="str">
        <f t="shared" ca="1" si="10"/>
        <v>532</v>
      </c>
      <c r="J100" t="str">
        <f t="shared" ca="1" si="11"/>
        <v>Regular</v>
      </c>
    </row>
    <row r="101" spans="1:10" x14ac:dyDescent="0.35">
      <c r="A101" t="s">
        <v>1887</v>
      </c>
      <c r="B101" s="2">
        <f>_xlfn.MAXIFS(clean_sales!P:P,clean_sales!C:C,RFM_Analysis!A101)</f>
        <v>45927</v>
      </c>
      <c r="C101">
        <f t="shared" ca="1" si="6"/>
        <v>101</v>
      </c>
      <c r="D101">
        <f>COUNTIFS(clean_sales!C:C,RFM_Analysis!A101)</f>
        <v>3</v>
      </c>
      <c r="E101">
        <f>SUMIFS(clean_sales!T:T,clean_sales!C:C,RFM_Analysis!A101)</f>
        <v>214200</v>
      </c>
      <c r="F101">
        <f t="shared" ca="1" si="7"/>
        <v>4</v>
      </c>
      <c r="G101">
        <f t="shared" si="8"/>
        <v>5</v>
      </c>
      <c r="H101">
        <f t="shared" si="9"/>
        <v>4</v>
      </c>
      <c r="I101" t="str">
        <f t="shared" ca="1" si="10"/>
        <v>454</v>
      </c>
      <c r="J101" t="str">
        <f t="shared" ca="1" si="11"/>
        <v>Loyal</v>
      </c>
    </row>
    <row r="102" spans="1:10" x14ac:dyDescent="0.35">
      <c r="A102" t="s">
        <v>1888</v>
      </c>
      <c r="B102" s="2">
        <f>_xlfn.MAXIFS(clean_sales!P:P,clean_sales!C:C,RFM_Analysis!A102)</f>
        <v>45995</v>
      </c>
      <c r="C102">
        <f t="shared" ca="1" si="6"/>
        <v>33</v>
      </c>
      <c r="D102">
        <f>COUNTIFS(clean_sales!C:C,RFM_Analysis!A102)</f>
        <v>3</v>
      </c>
      <c r="E102">
        <f>SUMIFS(clean_sales!T:T,clean_sales!C:C,RFM_Analysis!A102)</f>
        <v>158500</v>
      </c>
      <c r="F102">
        <f t="shared" ca="1" si="7"/>
        <v>5</v>
      </c>
      <c r="G102">
        <f t="shared" si="8"/>
        <v>5</v>
      </c>
      <c r="H102">
        <f t="shared" si="9"/>
        <v>3</v>
      </c>
      <c r="I102" t="str">
        <f t="shared" ca="1" si="10"/>
        <v>553</v>
      </c>
      <c r="J102" t="str">
        <f t="shared" ca="1" si="11"/>
        <v>Loyal</v>
      </c>
    </row>
    <row r="103" spans="1:10" x14ac:dyDescent="0.35">
      <c r="A103" t="s">
        <v>1889</v>
      </c>
      <c r="B103" s="2">
        <f>_xlfn.MAXIFS(clean_sales!P:P,clean_sales!C:C,RFM_Analysis!A103)</f>
        <v>45841</v>
      </c>
      <c r="C103">
        <f t="shared" ca="1" si="6"/>
        <v>187</v>
      </c>
      <c r="D103">
        <f>COUNTIFS(clean_sales!C:C,RFM_Analysis!A103)</f>
        <v>1</v>
      </c>
      <c r="E103">
        <f>SUMIFS(clean_sales!T:T,clean_sales!C:C,RFM_Analysis!A103)</f>
        <v>325000</v>
      </c>
      <c r="F103">
        <f t="shared" ca="1" si="7"/>
        <v>2</v>
      </c>
      <c r="G103">
        <f t="shared" si="8"/>
        <v>1</v>
      </c>
      <c r="H103">
        <f t="shared" si="9"/>
        <v>5</v>
      </c>
      <c r="I103" t="str">
        <f t="shared" ca="1" si="10"/>
        <v>215</v>
      </c>
      <c r="J103" t="str">
        <f t="shared" ca="1" si="11"/>
        <v>At Risk</v>
      </c>
    </row>
    <row r="104" spans="1:10" x14ac:dyDescent="0.35">
      <c r="A104" t="s">
        <v>1890</v>
      </c>
      <c r="B104" s="2">
        <f>_xlfn.MAXIFS(clean_sales!P:P,clean_sales!C:C,RFM_Analysis!A104)</f>
        <v>45801</v>
      </c>
      <c r="C104">
        <f t="shared" ca="1" si="6"/>
        <v>227</v>
      </c>
      <c r="D104">
        <f>COUNTIFS(clean_sales!C:C,RFM_Analysis!A104)</f>
        <v>4</v>
      </c>
      <c r="E104">
        <f>SUMIFS(clean_sales!T:T,clean_sales!C:C,RFM_Analysis!A104)</f>
        <v>954000</v>
      </c>
      <c r="F104">
        <f t="shared" ca="1" si="7"/>
        <v>2</v>
      </c>
      <c r="G104">
        <f t="shared" si="8"/>
        <v>5</v>
      </c>
      <c r="H104">
        <f t="shared" si="9"/>
        <v>5</v>
      </c>
      <c r="I104" t="str">
        <f t="shared" ca="1" si="10"/>
        <v>255</v>
      </c>
      <c r="J104" t="str">
        <f t="shared" ca="1" si="11"/>
        <v>At Risk</v>
      </c>
    </row>
    <row r="105" spans="1:10" x14ac:dyDescent="0.35">
      <c r="A105" t="s">
        <v>1891</v>
      </c>
      <c r="B105" s="2">
        <f>_xlfn.MAXIFS(clean_sales!P:P,clean_sales!C:C,RFM_Analysis!A105)</f>
        <v>45994</v>
      </c>
      <c r="C105">
        <f t="shared" ca="1" si="6"/>
        <v>34</v>
      </c>
      <c r="D105">
        <f>COUNTIFS(clean_sales!C:C,RFM_Analysis!A105)</f>
        <v>2</v>
      </c>
      <c r="E105">
        <f>SUMIFS(clean_sales!T:T,clean_sales!C:C,RFM_Analysis!A105)</f>
        <v>390000</v>
      </c>
      <c r="F105">
        <f t="shared" ca="1" si="7"/>
        <v>5</v>
      </c>
      <c r="G105">
        <f t="shared" si="8"/>
        <v>3</v>
      </c>
      <c r="H105">
        <f t="shared" si="9"/>
        <v>5</v>
      </c>
      <c r="I105" t="str">
        <f t="shared" ca="1" si="10"/>
        <v>535</v>
      </c>
      <c r="J105" t="str">
        <f t="shared" ca="1" si="11"/>
        <v>Regular</v>
      </c>
    </row>
    <row r="106" spans="1:10" x14ac:dyDescent="0.35">
      <c r="A106" t="s">
        <v>1892</v>
      </c>
      <c r="B106" s="2">
        <f>_xlfn.MAXIFS(clean_sales!P:P,clean_sales!C:C,RFM_Analysis!A106)</f>
        <v>45911</v>
      </c>
      <c r="C106">
        <f t="shared" ca="1" si="6"/>
        <v>117</v>
      </c>
      <c r="D106">
        <f>COUNTIFS(clean_sales!C:C,RFM_Analysis!A106)</f>
        <v>2</v>
      </c>
      <c r="E106">
        <f>SUMIFS(clean_sales!T:T,clean_sales!C:C,RFM_Analysis!A106)</f>
        <v>313000</v>
      </c>
      <c r="F106">
        <f t="shared" ca="1" si="7"/>
        <v>3</v>
      </c>
      <c r="G106">
        <f t="shared" si="8"/>
        <v>3</v>
      </c>
      <c r="H106">
        <f t="shared" si="9"/>
        <v>5</v>
      </c>
      <c r="I106" t="str">
        <f t="shared" ca="1" si="10"/>
        <v>335</v>
      </c>
      <c r="J106" t="str">
        <f t="shared" ca="1" si="11"/>
        <v>Regular</v>
      </c>
    </row>
    <row r="107" spans="1:10" x14ac:dyDescent="0.35">
      <c r="A107" t="s">
        <v>1893</v>
      </c>
      <c r="B107" s="2">
        <f>_xlfn.MAXIFS(clean_sales!P:P,clean_sales!C:C,RFM_Analysis!A107)</f>
        <v>45897</v>
      </c>
      <c r="C107">
        <f t="shared" ca="1" si="6"/>
        <v>131</v>
      </c>
      <c r="D107">
        <f>COUNTIFS(clean_sales!C:C,RFM_Analysis!A107)</f>
        <v>4</v>
      </c>
      <c r="E107">
        <f>SUMIFS(clean_sales!T:T,clean_sales!C:C,RFM_Analysis!A107)</f>
        <v>147500</v>
      </c>
      <c r="F107">
        <f t="shared" ca="1" si="7"/>
        <v>3</v>
      </c>
      <c r="G107">
        <f t="shared" si="8"/>
        <v>5</v>
      </c>
      <c r="H107">
        <f t="shared" si="9"/>
        <v>3</v>
      </c>
      <c r="I107" t="str">
        <f t="shared" ca="1" si="10"/>
        <v>353</v>
      </c>
      <c r="J107" t="str">
        <f t="shared" ca="1" si="11"/>
        <v>Regular</v>
      </c>
    </row>
    <row r="108" spans="1:10" x14ac:dyDescent="0.35">
      <c r="A108" t="s">
        <v>1894</v>
      </c>
      <c r="B108" s="2">
        <f>_xlfn.MAXIFS(clean_sales!P:P,clean_sales!C:C,RFM_Analysis!A108)</f>
        <v>45906</v>
      </c>
      <c r="C108">
        <f t="shared" ca="1" si="6"/>
        <v>122</v>
      </c>
      <c r="D108">
        <f>COUNTIFS(clean_sales!C:C,RFM_Analysis!A108)</f>
        <v>2</v>
      </c>
      <c r="E108">
        <f>SUMIFS(clean_sales!T:T,clean_sales!C:C,RFM_Analysis!A108)</f>
        <v>305000</v>
      </c>
      <c r="F108">
        <f t="shared" ca="1" si="7"/>
        <v>3</v>
      </c>
      <c r="G108">
        <f t="shared" si="8"/>
        <v>3</v>
      </c>
      <c r="H108">
        <f t="shared" si="9"/>
        <v>4</v>
      </c>
      <c r="I108" t="str">
        <f t="shared" ca="1" si="10"/>
        <v>334</v>
      </c>
      <c r="J108" t="str">
        <f t="shared" ca="1" si="11"/>
        <v>Regular</v>
      </c>
    </row>
    <row r="109" spans="1:10" x14ac:dyDescent="0.35">
      <c r="A109" t="s">
        <v>1895</v>
      </c>
      <c r="B109" s="2">
        <f>_xlfn.MAXIFS(clean_sales!P:P,clean_sales!C:C,RFM_Analysis!A109)</f>
        <v>45998</v>
      </c>
      <c r="C109">
        <f t="shared" ca="1" si="6"/>
        <v>30</v>
      </c>
      <c r="D109">
        <f>COUNTIFS(clean_sales!C:C,RFM_Analysis!A109)</f>
        <v>4</v>
      </c>
      <c r="E109">
        <f>SUMIFS(clean_sales!T:T,clean_sales!C:C,RFM_Analysis!A109)</f>
        <v>345000</v>
      </c>
      <c r="F109">
        <f t="shared" ca="1" si="7"/>
        <v>5</v>
      </c>
      <c r="G109">
        <f t="shared" si="8"/>
        <v>5</v>
      </c>
      <c r="H109">
        <f t="shared" si="9"/>
        <v>5</v>
      </c>
      <c r="I109" t="str">
        <f t="shared" ca="1" si="10"/>
        <v>555</v>
      </c>
      <c r="J109" t="str">
        <f t="shared" ca="1" si="11"/>
        <v>Champions</v>
      </c>
    </row>
    <row r="110" spans="1:10" x14ac:dyDescent="0.35">
      <c r="A110" t="s">
        <v>1896</v>
      </c>
      <c r="B110" s="2">
        <f>_xlfn.MAXIFS(clean_sales!P:P,clean_sales!C:C,RFM_Analysis!A110)</f>
        <v>45760</v>
      </c>
      <c r="C110">
        <f t="shared" ca="1" si="6"/>
        <v>268</v>
      </c>
      <c r="D110">
        <f>COUNTIFS(clean_sales!C:C,RFM_Analysis!A110)</f>
        <v>2</v>
      </c>
      <c r="E110">
        <f>SUMIFS(clean_sales!T:T,clean_sales!C:C,RFM_Analysis!A110)</f>
        <v>97000</v>
      </c>
      <c r="F110">
        <f t="shared" ca="1" si="7"/>
        <v>1</v>
      </c>
      <c r="G110">
        <f t="shared" si="8"/>
        <v>3</v>
      </c>
      <c r="H110">
        <f t="shared" si="9"/>
        <v>3</v>
      </c>
      <c r="I110" t="str">
        <f t="shared" ca="1" si="10"/>
        <v>133</v>
      </c>
      <c r="J110" t="str">
        <f t="shared" ca="1" si="11"/>
        <v>At Risk</v>
      </c>
    </row>
    <row r="111" spans="1:10" x14ac:dyDescent="0.35">
      <c r="A111" t="s">
        <v>1897</v>
      </c>
      <c r="B111" s="2">
        <f>_xlfn.MAXIFS(clean_sales!P:P,clean_sales!C:C,RFM_Analysis!A111)</f>
        <v>45898</v>
      </c>
      <c r="C111">
        <f t="shared" ca="1" si="6"/>
        <v>130</v>
      </c>
      <c r="D111">
        <f>COUNTIFS(clean_sales!C:C,RFM_Analysis!A111)</f>
        <v>2</v>
      </c>
      <c r="E111">
        <f>SUMIFS(clean_sales!T:T,clean_sales!C:C,RFM_Analysis!A111)</f>
        <v>154000</v>
      </c>
      <c r="F111">
        <f t="shared" ca="1" si="7"/>
        <v>3</v>
      </c>
      <c r="G111">
        <f t="shared" si="8"/>
        <v>3</v>
      </c>
      <c r="H111">
        <f t="shared" si="9"/>
        <v>3</v>
      </c>
      <c r="I111" t="str">
        <f t="shared" ca="1" si="10"/>
        <v>333</v>
      </c>
      <c r="J111" t="str">
        <f t="shared" ca="1" si="11"/>
        <v>Regular</v>
      </c>
    </row>
    <row r="112" spans="1:10" x14ac:dyDescent="0.35">
      <c r="A112" t="s">
        <v>1898</v>
      </c>
      <c r="B112" s="2">
        <f>_xlfn.MAXIFS(clean_sales!P:P,clean_sales!C:C,RFM_Analysis!A112)</f>
        <v>45965</v>
      </c>
      <c r="C112">
        <f t="shared" ca="1" si="6"/>
        <v>63</v>
      </c>
      <c r="D112">
        <f>COUNTIFS(clean_sales!C:C,RFM_Analysis!A112)</f>
        <v>1</v>
      </c>
      <c r="E112">
        <f>SUMIFS(clean_sales!T:T,clean_sales!C:C,RFM_Analysis!A112)</f>
        <v>36000</v>
      </c>
      <c r="F112">
        <f t="shared" ca="1" si="7"/>
        <v>4</v>
      </c>
      <c r="G112">
        <f t="shared" si="8"/>
        <v>1</v>
      </c>
      <c r="H112">
        <f t="shared" si="9"/>
        <v>2</v>
      </c>
      <c r="I112" t="str">
        <f t="shared" ca="1" si="10"/>
        <v>412</v>
      </c>
      <c r="J112" t="str">
        <f t="shared" ca="1" si="11"/>
        <v>Regular</v>
      </c>
    </row>
    <row r="113" spans="1:10" x14ac:dyDescent="0.35">
      <c r="A113" t="s">
        <v>1899</v>
      </c>
      <c r="B113" s="2">
        <f>_xlfn.MAXIFS(clean_sales!P:P,clean_sales!C:C,RFM_Analysis!A113)</f>
        <v>45979</v>
      </c>
      <c r="C113">
        <f t="shared" ca="1" si="6"/>
        <v>49</v>
      </c>
      <c r="D113">
        <f>COUNTIFS(clean_sales!C:C,RFM_Analysis!A113)</f>
        <v>2</v>
      </c>
      <c r="E113">
        <f>SUMIFS(clean_sales!T:T,clean_sales!C:C,RFM_Analysis!A113)</f>
        <v>490000</v>
      </c>
      <c r="F113">
        <f t="shared" ca="1" si="7"/>
        <v>4</v>
      </c>
      <c r="G113">
        <f t="shared" si="8"/>
        <v>3</v>
      </c>
      <c r="H113">
        <f t="shared" si="9"/>
        <v>5</v>
      </c>
      <c r="I113" t="str">
        <f t="shared" ca="1" si="10"/>
        <v>435</v>
      </c>
      <c r="J113" t="str">
        <f t="shared" ca="1" si="11"/>
        <v>Regular</v>
      </c>
    </row>
    <row r="114" spans="1:10" x14ac:dyDescent="0.35">
      <c r="A114" t="s">
        <v>1900</v>
      </c>
      <c r="B114" s="2">
        <f>_xlfn.MAXIFS(clean_sales!P:P,clean_sales!C:C,RFM_Analysis!A114)</f>
        <v>46023</v>
      </c>
      <c r="C114">
        <f t="shared" ca="1" si="6"/>
        <v>5</v>
      </c>
      <c r="D114">
        <f>COUNTIFS(clean_sales!C:C,RFM_Analysis!A114)</f>
        <v>2</v>
      </c>
      <c r="E114">
        <f>SUMIFS(clean_sales!T:T,clean_sales!C:C,RFM_Analysis!A114)</f>
        <v>140000</v>
      </c>
      <c r="F114">
        <f t="shared" ca="1" si="7"/>
        <v>5</v>
      </c>
      <c r="G114">
        <f t="shared" si="8"/>
        <v>3</v>
      </c>
      <c r="H114">
        <f t="shared" si="9"/>
        <v>3</v>
      </c>
      <c r="I114" t="str">
        <f t="shared" ca="1" si="10"/>
        <v>533</v>
      </c>
      <c r="J114" t="str">
        <f t="shared" ca="1" si="11"/>
        <v>Regular</v>
      </c>
    </row>
    <row r="115" spans="1:10" x14ac:dyDescent="0.35">
      <c r="A115" t="s">
        <v>1901</v>
      </c>
      <c r="B115" s="2">
        <f>_xlfn.MAXIFS(clean_sales!P:P,clean_sales!C:C,RFM_Analysis!A115)</f>
        <v>45948</v>
      </c>
      <c r="C115">
        <f t="shared" ca="1" si="6"/>
        <v>80</v>
      </c>
      <c r="D115">
        <f>COUNTIFS(clean_sales!C:C,RFM_Analysis!A115)</f>
        <v>1</v>
      </c>
      <c r="E115">
        <f>SUMIFS(clean_sales!T:T,clean_sales!C:C,RFM_Analysis!A115)</f>
        <v>24000</v>
      </c>
      <c r="F115">
        <f t="shared" ca="1" si="7"/>
        <v>4</v>
      </c>
      <c r="G115">
        <f t="shared" si="8"/>
        <v>1</v>
      </c>
      <c r="H115">
        <f t="shared" si="9"/>
        <v>2</v>
      </c>
      <c r="I115" t="str">
        <f t="shared" ca="1" si="10"/>
        <v>412</v>
      </c>
      <c r="J115" t="str">
        <f t="shared" ca="1" si="11"/>
        <v>Regular</v>
      </c>
    </row>
    <row r="116" spans="1:10" x14ac:dyDescent="0.35">
      <c r="A116" t="s">
        <v>1902</v>
      </c>
      <c r="B116" s="2">
        <f>_xlfn.MAXIFS(clean_sales!P:P,clean_sales!C:C,RFM_Analysis!A116)</f>
        <v>45924</v>
      </c>
      <c r="C116">
        <f t="shared" ca="1" si="6"/>
        <v>104</v>
      </c>
      <c r="D116">
        <f>COUNTIFS(clean_sales!C:C,RFM_Analysis!A116)</f>
        <v>2</v>
      </c>
      <c r="E116">
        <f>SUMIFS(clean_sales!T:T,clean_sales!C:C,RFM_Analysis!A116)</f>
        <v>64500</v>
      </c>
      <c r="F116">
        <f t="shared" ca="1" si="7"/>
        <v>4</v>
      </c>
      <c r="G116">
        <f t="shared" si="8"/>
        <v>3</v>
      </c>
      <c r="H116">
        <f t="shared" si="9"/>
        <v>3</v>
      </c>
      <c r="I116" t="str">
        <f t="shared" ca="1" si="10"/>
        <v>433</v>
      </c>
      <c r="J116" t="str">
        <f t="shared" ca="1" si="11"/>
        <v>Regular</v>
      </c>
    </row>
    <row r="117" spans="1:10" x14ac:dyDescent="0.35">
      <c r="A117" t="s">
        <v>1903</v>
      </c>
      <c r="B117" s="2">
        <f>_xlfn.MAXIFS(clean_sales!P:P,clean_sales!C:C,RFM_Analysis!A117)</f>
        <v>45869</v>
      </c>
      <c r="C117">
        <f t="shared" ca="1" si="6"/>
        <v>159</v>
      </c>
      <c r="D117">
        <f>COUNTIFS(clean_sales!C:C,RFM_Analysis!A117)</f>
        <v>2</v>
      </c>
      <c r="E117">
        <f>SUMIFS(clean_sales!T:T,clean_sales!C:C,RFM_Analysis!A117)</f>
        <v>346000</v>
      </c>
      <c r="F117">
        <f t="shared" ca="1" si="7"/>
        <v>3</v>
      </c>
      <c r="G117">
        <f t="shared" si="8"/>
        <v>3</v>
      </c>
      <c r="H117">
        <f t="shared" si="9"/>
        <v>5</v>
      </c>
      <c r="I117" t="str">
        <f t="shared" ca="1" si="10"/>
        <v>335</v>
      </c>
      <c r="J117" t="str">
        <f t="shared" ca="1" si="11"/>
        <v>Regular</v>
      </c>
    </row>
    <row r="118" spans="1:10" x14ac:dyDescent="0.35">
      <c r="A118" t="s">
        <v>1904</v>
      </c>
      <c r="B118" s="2">
        <f>_xlfn.MAXIFS(clean_sales!P:P,clean_sales!C:C,RFM_Analysis!A118)</f>
        <v>45923</v>
      </c>
      <c r="C118">
        <f t="shared" ca="1" si="6"/>
        <v>105</v>
      </c>
      <c r="D118">
        <f>COUNTIFS(clean_sales!C:C,RFM_Analysis!A118)</f>
        <v>2</v>
      </c>
      <c r="E118">
        <f>SUMIFS(clean_sales!T:T,clean_sales!C:C,RFM_Analysis!A118)</f>
        <v>108000</v>
      </c>
      <c r="F118">
        <f t="shared" ca="1" si="7"/>
        <v>4</v>
      </c>
      <c r="G118">
        <f t="shared" si="8"/>
        <v>3</v>
      </c>
      <c r="H118">
        <f t="shared" si="9"/>
        <v>3</v>
      </c>
      <c r="I118" t="str">
        <f t="shared" ca="1" si="10"/>
        <v>433</v>
      </c>
      <c r="J118" t="str">
        <f t="shared" ca="1" si="11"/>
        <v>Regular</v>
      </c>
    </row>
    <row r="119" spans="1:10" x14ac:dyDescent="0.35">
      <c r="A119" t="s">
        <v>1905</v>
      </c>
      <c r="B119" s="2">
        <f>_xlfn.MAXIFS(clean_sales!P:P,clean_sales!C:C,RFM_Analysis!A119)</f>
        <v>45870</v>
      </c>
      <c r="C119">
        <f t="shared" ca="1" si="6"/>
        <v>158</v>
      </c>
      <c r="D119">
        <f>COUNTIFS(clean_sales!C:C,RFM_Analysis!A119)</f>
        <v>1</v>
      </c>
      <c r="E119">
        <f>SUMIFS(clean_sales!T:T,clean_sales!C:C,RFM_Analysis!A119)</f>
        <v>20000</v>
      </c>
      <c r="F119">
        <f t="shared" ca="1" si="7"/>
        <v>3</v>
      </c>
      <c r="G119">
        <f t="shared" si="8"/>
        <v>1</v>
      </c>
      <c r="H119">
        <f t="shared" si="9"/>
        <v>2</v>
      </c>
      <c r="I119" t="str">
        <f t="shared" ca="1" si="10"/>
        <v>312</v>
      </c>
      <c r="J119" t="str">
        <f t="shared" ca="1" si="11"/>
        <v>Regular</v>
      </c>
    </row>
    <row r="120" spans="1:10" x14ac:dyDescent="0.35">
      <c r="A120" t="s">
        <v>1906</v>
      </c>
      <c r="B120" s="2">
        <f>_xlfn.MAXIFS(clean_sales!P:P,clean_sales!C:C,RFM_Analysis!A120)</f>
        <v>45873</v>
      </c>
      <c r="C120">
        <f t="shared" ca="1" si="6"/>
        <v>155</v>
      </c>
      <c r="D120">
        <f>COUNTIFS(clean_sales!C:C,RFM_Analysis!A120)</f>
        <v>2</v>
      </c>
      <c r="E120">
        <f>SUMIFS(clean_sales!T:T,clean_sales!C:C,RFM_Analysis!A120)</f>
        <v>291800</v>
      </c>
      <c r="F120">
        <f t="shared" ca="1" si="7"/>
        <v>3</v>
      </c>
      <c r="G120">
        <f t="shared" si="8"/>
        <v>3</v>
      </c>
      <c r="H120">
        <f t="shared" si="9"/>
        <v>4</v>
      </c>
      <c r="I120" t="str">
        <f t="shared" ca="1" si="10"/>
        <v>334</v>
      </c>
      <c r="J120" t="str">
        <f t="shared" ca="1" si="11"/>
        <v>Regular</v>
      </c>
    </row>
    <row r="121" spans="1:10" x14ac:dyDescent="0.35">
      <c r="A121" t="s">
        <v>1907</v>
      </c>
      <c r="B121" s="2">
        <f>_xlfn.MAXIFS(clean_sales!P:P,clean_sales!C:C,RFM_Analysis!A121)</f>
        <v>45880</v>
      </c>
      <c r="C121">
        <f t="shared" ca="1" si="6"/>
        <v>148</v>
      </c>
      <c r="D121">
        <f>COUNTIFS(clean_sales!C:C,RFM_Analysis!A121)</f>
        <v>2</v>
      </c>
      <c r="E121">
        <f>SUMIFS(clean_sales!T:T,clean_sales!C:C,RFM_Analysis!A121)</f>
        <v>9000</v>
      </c>
      <c r="F121">
        <f t="shared" ca="1" si="7"/>
        <v>3</v>
      </c>
      <c r="G121">
        <f t="shared" si="8"/>
        <v>3</v>
      </c>
      <c r="H121">
        <f t="shared" si="9"/>
        <v>1</v>
      </c>
      <c r="I121" t="str">
        <f t="shared" ca="1" si="10"/>
        <v>331</v>
      </c>
      <c r="J121" t="str">
        <f t="shared" ca="1" si="11"/>
        <v>Regular</v>
      </c>
    </row>
    <row r="122" spans="1:10" x14ac:dyDescent="0.35">
      <c r="A122" t="s">
        <v>1908</v>
      </c>
      <c r="B122" s="2">
        <f>_xlfn.MAXIFS(clean_sales!P:P,clean_sales!C:C,RFM_Analysis!A122)</f>
        <v>45718</v>
      </c>
      <c r="C122">
        <f t="shared" ca="1" si="6"/>
        <v>310</v>
      </c>
      <c r="D122">
        <f>COUNTIFS(clean_sales!C:C,RFM_Analysis!A122)</f>
        <v>1</v>
      </c>
      <c r="E122">
        <f>SUMIFS(clean_sales!T:T,clean_sales!C:C,RFM_Analysis!A122)</f>
        <v>10000</v>
      </c>
      <c r="F122">
        <f t="shared" ca="1" si="7"/>
        <v>1</v>
      </c>
      <c r="G122">
        <f t="shared" si="8"/>
        <v>1</v>
      </c>
      <c r="H122">
        <f t="shared" si="9"/>
        <v>1</v>
      </c>
      <c r="I122" t="str">
        <f t="shared" ca="1" si="10"/>
        <v>111</v>
      </c>
      <c r="J122" t="str">
        <f t="shared" ca="1" si="11"/>
        <v>At Risk</v>
      </c>
    </row>
    <row r="123" spans="1:10" x14ac:dyDescent="0.35">
      <c r="A123" t="s">
        <v>1909</v>
      </c>
      <c r="B123" s="2">
        <f>_xlfn.MAXIFS(clean_sales!P:P,clean_sales!C:C,RFM_Analysis!A123)</f>
        <v>46024</v>
      </c>
      <c r="C123">
        <f t="shared" ca="1" si="6"/>
        <v>4</v>
      </c>
      <c r="D123">
        <f>COUNTIFS(clean_sales!C:C,RFM_Analysis!A123)</f>
        <v>5</v>
      </c>
      <c r="E123">
        <f>SUMIFS(clean_sales!T:T,clean_sales!C:C,RFM_Analysis!A123)</f>
        <v>777500</v>
      </c>
      <c r="F123">
        <f t="shared" ca="1" si="7"/>
        <v>5</v>
      </c>
      <c r="G123">
        <f t="shared" si="8"/>
        <v>5</v>
      </c>
      <c r="H123">
        <f t="shared" si="9"/>
        <v>5</v>
      </c>
      <c r="I123" t="str">
        <f t="shared" ca="1" si="10"/>
        <v>555</v>
      </c>
      <c r="J123" t="str">
        <f t="shared" ca="1" si="11"/>
        <v>Champions</v>
      </c>
    </row>
    <row r="124" spans="1:10" x14ac:dyDescent="0.35">
      <c r="A124" t="s">
        <v>1910</v>
      </c>
      <c r="B124" s="2">
        <f>_xlfn.MAXIFS(clean_sales!P:P,clean_sales!C:C,RFM_Analysis!A124)</f>
        <v>45919</v>
      </c>
      <c r="C124">
        <f t="shared" ca="1" si="6"/>
        <v>109</v>
      </c>
      <c r="D124">
        <f>COUNTIFS(clean_sales!C:C,RFM_Analysis!A124)</f>
        <v>1</v>
      </c>
      <c r="E124">
        <f>SUMIFS(clean_sales!T:T,clean_sales!C:C,RFM_Analysis!A124)</f>
        <v>9000</v>
      </c>
      <c r="F124">
        <f t="shared" ca="1" si="7"/>
        <v>3</v>
      </c>
      <c r="G124">
        <f t="shared" si="8"/>
        <v>1</v>
      </c>
      <c r="H124">
        <f t="shared" si="9"/>
        <v>1</v>
      </c>
      <c r="I124" t="str">
        <f t="shared" ca="1" si="10"/>
        <v>311</v>
      </c>
      <c r="J124" t="str">
        <f t="shared" ca="1" si="11"/>
        <v>Regular</v>
      </c>
    </row>
    <row r="125" spans="1:10" x14ac:dyDescent="0.35">
      <c r="A125" t="s">
        <v>1911</v>
      </c>
      <c r="B125" s="2">
        <f>_xlfn.MAXIFS(clean_sales!P:P,clean_sales!C:C,RFM_Analysis!A125)</f>
        <v>45950</v>
      </c>
      <c r="C125">
        <f t="shared" ca="1" si="6"/>
        <v>78</v>
      </c>
      <c r="D125">
        <f>COUNTIFS(clean_sales!C:C,RFM_Analysis!A125)</f>
        <v>2</v>
      </c>
      <c r="E125">
        <f>SUMIFS(clean_sales!T:T,clean_sales!C:C,RFM_Analysis!A125)</f>
        <v>123000</v>
      </c>
      <c r="F125">
        <f t="shared" ca="1" si="7"/>
        <v>4</v>
      </c>
      <c r="G125">
        <f t="shared" si="8"/>
        <v>3</v>
      </c>
      <c r="H125">
        <f t="shared" si="9"/>
        <v>3</v>
      </c>
      <c r="I125" t="str">
        <f t="shared" ca="1" si="10"/>
        <v>433</v>
      </c>
      <c r="J125" t="str">
        <f t="shared" ca="1" si="11"/>
        <v>Regular</v>
      </c>
    </row>
    <row r="126" spans="1:10" x14ac:dyDescent="0.35">
      <c r="A126" t="s">
        <v>1912</v>
      </c>
      <c r="B126" s="2">
        <f>_xlfn.MAXIFS(clean_sales!P:P,clean_sales!C:C,RFM_Analysis!A126)</f>
        <v>45945</v>
      </c>
      <c r="C126">
        <f t="shared" ca="1" si="6"/>
        <v>83</v>
      </c>
      <c r="D126">
        <f>COUNTIFS(clean_sales!C:C,RFM_Analysis!A126)</f>
        <v>4</v>
      </c>
      <c r="E126">
        <f>SUMIFS(clean_sales!T:T,clean_sales!C:C,RFM_Analysis!A126)</f>
        <v>489000</v>
      </c>
      <c r="F126">
        <f t="shared" ca="1" si="7"/>
        <v>4</v>
      </c>
      <c r="G126">
        <f t="shared" si="8"/>
        <v>5</v>
      </c>
      <c r="H126">
        <f t="shared" si="9"/>
        <v>5</v>
      </c>
      <c r="I126" t="str">
        <f t="shared" ca="1" si="10"/>
        <v>455</v>
      </c>
      <c r="J126" t="str">
        <f t="shared" ca="1" si="11"/>
        <v>Loyal</v>
      </c>
    </row>
    <row r="127" spans="1:10" x14ac:dyDescent="0.35">
      <c r="A127" t="s">
        <v>1913</v>
      </c>
      <c r="B127" s="2">
        <f>_xlfn.MAXIFS(clean_sales!P:P,clean_sales!C:C,RFM_Analysis!A127)</f>
        <v>45824</v>
      </c>
      <c r="C127">
        <f t="shared" ca="1" si="6"/>
        <v>204</v>
      </c>
      <c r="D127">
        <f>COUNTIFS(clean_sales!C:C,RFM_Analysis!A127)</f>
        <v>2</v>
      </c>
      <c r="E127">
        <f>SUMIFS(clean_sales!T:T,clean_sales!C:C,RFM_Analysis!A127)</f>
        <v>63000</v>
      </c>
      <c r="F127">
        <f t="shared" ca="1" si="7"/>
        <v>2</v>
      </c>
      <c r="G127">
        <f t="shared" si="8"/>
        <v>3</v>
      </c>
      <c r="H127">
        <f t="shared" si="9"/>
        <v>3</v>
      </c>
      <c r="I127" t="str">
        <f t="shared" ca="1" si="10"/>
        <v>233</v>
      </c>
      <c r="J127" t="str">
        <f t="shared" ca="1" si="11"/>
        <v>At Risk</v>
      </c>
    </row>
    <row r="128" spans="1:10" x14ac:dyDescent="0.35">
      <c r="A128" t="s">
        <v>1914</v>
      </c>
      <c r="B128" s="2">
        <f>_xlfn.MAXIFS(clean_sales!P:P,clean_sales!C:C,RFM_Analysis!A128)</f>
        <v>45980</v>
      </c>
      <c r="C128">
        <f t="shared" ca="1" si="6"/>
        <v>48</v>
      </c>
      <c r="D128">
        <f>COUNTIFS(clean_sales!C:C,RFM_Analysis!A128)</f>
        <v>2</v>
      </c>
      <c r="E128">
        <f>SUMIFS(clean_sales!T:T,clean_sales!C:C,RFM_Analysis!A128)</f>
        <v>296000</v>
      </c>
      <c r="F128">
        <f t="shared" ca="1" si="7"/>
        <v>5</v>
      </c>
      <c r="G128">
        <f t="shared" si="8"/>
        <v>3</v>
      </c>
      <c r="H128">
        <f t="shared" si="9"/>
        <v>4</v>
      </c>
      <c r="I128" t="str">
        <f t="shared" ca="1" si="10"/>
        <v>534</v>
      </c>
      <c r="J128" t="str">
        <f t="shared" ca="1" si="11"/>
        <v>Regular</v>
      </c>
    </row>
    <row r="129" spans="1:10" x14ac:dyDescent="0.35">
      <c r="A129" t="s">
        <v>1915</v>
      </c>
      <c r="B129" s="2">
        <f>_xlfn.MAXIFS(clean_sales!P:P,clean_sales!C:C,RFM_Analysis!A129)</f>
        <v>45926</v>
      </c>
      <c r="C129">
        <f t="shared" ca="1" si="6"/>
        <v>102</v>
      </c>
      <c r="D129">
        <f>COUNTIFS(clean_sales!C:C,RFM_Analysis!A129)</f>
        <v>1</v>
      </c>
      <c r="E129">
        <f>SUMIFS(clean_sales!T:T,clean_sales!C:C,RFM_Analysis!A129)</f>
        <v>15000</v>
      </c>
      <c r="F129">
        <f t="shared" ca="1" si="7"/>
        <v>4</v>
      </c>
      <c r="G129">
        <f t="shared" si="8"/>
        <v>1</v>
      </c>
      <c r="H129">
        <f t="shared" si="9"/>
        <v>1</v>
      </c>
      <c r="I129" t="str">
        <f t="shared" ca="1" si="10"/>
        <v>411</v>
      </c>
      <c r="J129" t="str">
        <f t="shared" ca="1" si="11"/>
        <v>Regular</v>
      </c>
    </row>
    <row r="130" spans="1:10" x14ac:dyDescent="0.35">
      <c r="A130" t="s">
        <v>1916</v>
      </c>
      <c r="B130" s="2">
        <f>_xlfn.MAXIFS(clean_sales!P:P,clean_sales!C:C,RFM_Analysis!A130)</f>
        <v>45841</v>
      </c>
      <c r="C130">
        <f t="shared" ca="1" si="6"/>
        <v>187</v>
      </c>
      <c r="D130">
        <f>COUNTIFS(clean_sales!C:C,RFM_Analysis!A130)</f>
        <v>1</v>
      </c>
      <c r="E130">
        <f>SUMIFS(clean_sales!T:T,clean_sales!C:C,RFM_Analysis!A130)</f>
        <v>232000</v>
      </c>
      <c r="F130">
        <f t="shared" ca="1" si="7"/>
        <v>2</v>
      </c>
      <c r="G130">
        <f t="shared" si="8"/>
        <v>1</v>
      </c>
      <c r="H130">
        <f t="shared" si="9"/>
        <v>4</v>
      </c>
      <c r="I130" t="str">
        <f t="shared" ca="1" si="10"/>
        <v>214</v>
      </c>
      <c r="J130" t="str">
        <f t="shared" ca="1" si="11"/>
        <v>At Risk</v>
      </c>
    </row>
    <row r="131" spans="1:10" x14ac:dyDescent="0.35">
      <c r="A131" t="s">
        <v>1917</v>
      </c>
      <c r="B131" s="2">
        <f>_xlfn.MAXIFS(clean_sales!P:P,clean_sales!C:C,RFM_Analysis!A131)</f>
        <v>45744</v>
      </c>
      <c r="C131">
        <f t="shared" ref="C131:C194" ca="1" si="12">TODAY()-B131</f>
        <v>284</v>
      </c>
      <c r="D131">
        <f>COUNTIFS(clean_sales!C:C,RFM_Analysis!A131)</f>
        <v>1</v>
      </c>
      <c r="E131">
        <f>SUMIFS(clean_sales!T:T,clean_sales!C:C,RFM_Analysis!A131)</f>
        <v>65000</v>
      </c>
      <c r="F131">
        <f t="shared" ref="F131:F194" ca="1" si="13">IF(C131&lt;=PERCENTILE($C:$C,0.2),5,
IF(C131&lt;=PERCENTILE($C:$C,0.4),4,
IF(C131&lt;=PERCENTILE($C:$C,0.6),3,
IF(C131&lt;=PERCENTILE($C:$C,0.8),2,1))))</f>
        <v>1</v>
      </c>
      <c r="G131">
        <f t="shared" ref="G131:G194" si="14">IF(D131&lt;=PERCENTILE($D:$D,0.2),1,
IF(D131&lt;=PERCENTILE($D:$D,0.4),2,
IF(D131&lt;=PERCENTILE($D:$D,0.6),3,
IF(D131&lt;=PERCENTILE($D:$D,0.8),4,5))))</f>
        <v>1</v>
      </c>
      <c r="H131">
        <f t="shared" ref="H131:H194" si="15">IF(E131&lt;=PERCENTILE($E:$E,0.2),1,
IF(E131&lt;=PERCENTILE($E:$E,0.4),2,
IF(E131&lt;=PERCENTILE($E:$E,0.6),3,
IF(E131&lt;=PERCENTILE($E:$E,0.8),4,5))))</f>
        <v>3</v>
      </c>
      <c r="I131" t="str">
        <f t="shared" ref="I131:I194" ca="1" si="16">F131&amp;G131&amp;H131</f>
        <v>113</v>
      </c>
      <c r="J131" t="str">
        <f t="shared" ref="J131:J194" ca="1" si="17">IF(I131="555","Champions",
IF(AND(F131&gt;=4,G131&gt;=4),"Loyal",
IF(F131&lt;=2,"At Risk","Regular")))</f>
        <v>At Risk</v>
      </c>
    </row>
    <row r="132" spans="1:10" x14ac:dyDescent="0.35">
      <c r="A132" t="s">
        <v>1918</v>
      </c>
      <c r="B132" s="2">
        <f>_xlfn.MAXIFS(clean_sales!P:P,clean_sales!C:C,RFM_Analysis!A132)</f>
        <v>46025</v>
      </c>
      <c r="C132">
        <f t="shared" ca="1" si="12"/>
        <v>3</v>
      </c>
      <c r="D132">
        <f>COUNTIFS(clean_sales!C:C,RFM_Analysis!A132)</f>
        <v>3</v>
      </c>
      <c r="E132">
        <f>SUMIFS(clean_sales!T:T,clean_sales!C:C,RFM_Analysis!A132)</f>
        <v>54000</v>
      </c>
      <c r="F132">
        <f t="shared" ca="1" si="13"/>
        <v>5</v>
      </c>
      <c r="G132">
        <f t="shared" si="14"/>
        <v>5</v>
      </c>
      <c r="H132">
        <f t="shared" si="15"/>
        <v>2</v>
      </c>
      <c r="I132" t="str">
        <f t="shared" ca="1" si="16"/>
        <v>552</v>
      </c>
      <c r="J132" t="str">
        <f t="shared" ca="1" si="17"/>
        <v>Loyal</v>
      </c>
    </row>
    <row r="133" spans="1:10" x14ac:dyDescent="0.35">
      <c r="A133" t="s">
        <v>1919</v>
      </c>
      <c r="B133" s="2">
        <f>_xlfn.MAXIFS(clean_sales!P:P,clean_sales!C:C,RFM_Analysis!A133)</f>
        <v>45883</v>
      </c>
      <c r="C133">
        <f t="shared" ca="1" si="12"/>
        <v>145</v>
      </c>
      <c r="D133">
        <f>COUNTIFS(clean_sales!C:C,RFM_Analysis!A133)</f>
        <v>2</v>
      </c>
      <c r="E133">
        <f>SUMIFS(clean_sales!T:T,clean_sales!C:C,RFM_Analysis!A133)</f>
        <v>76000</v>
      </c>
      <c r="F133">
        <f t="shared" ca="1" si="13"/>
        <v>3</v>
      </c>
      <c r="G133">
        <f t="shared" si="14"/>
        <v>3</v>
      </c>
      <c r="H133">
        <f t="shared" si="15"/>
        <v>3</v>
      </c>
      <c r="I133" t="str">
        <f t="shared" ca="1" si="16"/>
        <v>333</v>
      </c>
      <c r="J133" t="str">
        <f t="shared" ca="1" si="17"/>
        <v>Regular</v>
      </c>
    </row>
    <row r="134" spans="1:10" x14ac:dyDescent="0.35">
      <c r="A134" t="s">
        <v>1920</v>
      </c>
      <c r="B134" s="2">
        <f>_xlfn.MAXIFS(clean_sales!P:P,clean_sales!C:C,RFM_Analysis!A134)</f>
        <v>45951</v>
      </c>
      <c r="C134">
        <f t="shared" ca="1" si="12"/>
        <v>77</v>
      </c>
      <c r="D134">
        <f>COUNTIFS(clean_sales!C:C,RFM_Analysis!A134)</f>
        <v>2</v>
      </c>
      <c r="E134">
        <f>SUMIFS(clean_sales!T:T,clean_sales!C:C,RFM_Analysis!A134)</f>
        <v>390000</v>
      </c>
      <c r="F134">
        <f t="shared" ca="1" si="13"/>
        <v>4</v>
      </c>
      <c r="G134">
        <f t="shared" si="14"/>
        <v>3</v>
      </c>
      <c r="H134">
        <f t="shared" si="15"/>
        <v>5</v>
      </c>
      <c r="I134" t="str">
        <f t="shared" ca="1" si="16"/>
        <v>435</v>
      </c>
      <c r="J134" t="str">
        <f t="shared" ca="1" si="17"/>
        <v>Regular</v>
      </c>
    </row>
    <row r="135" spans="1:10" x14ac:dyDescent="0.35">
      <c r="A135" t="s">
        <v>1921</v>
      </c>
      <c r="B135" s="2">
        <f>_xlfn.MAXIFS(clean_sales!P:P,clean_sales!C:C,RFM_Analysis!A135)</f>
        <v>45928</v>
      </c>
      <c r="C135">
        <f t="shared" ca="1" si="12"/>
        <v>100</v>
      </c>
      <c r="D135">
        <f>COUNTIFS(clean_sales!C:C,RFM_Analysis!A135)</f>
        <v>2</v>
      </c>
      <c r="E135">
        <f>SUMIFS(clean_sales!T:T,clean_sales!C:C,RFM_Analysis!A135)</f>
        <v>166000</v>
      </c>
      <c r="F135">
        <f t="shared" ca="1" si="13"/>
        <v>4</v>
      </c>
      <c r="G135">
        <f t="shared" si="14"/>
        <v>3</v>
      </c>
      <c r="H135">
        <f t="shared" si="15"/>
        <v>3</v>
      </c>
      <c r="I135" t="str">
        <f t="shared" ca="1" si="16"/>
        <v>433</v>
      </c>
      <c r="J135" t="str">
        <f t="shared" ca="1" si="17"/>
        <v>Regular</v>
      </c>
    </row>
    <row r="136" spans="1:10" x14ac:dyDescent="0.35">
      <c r="A136" t="s">
        <v>1922</v>
      </c>
      <c r="B136" s="2">
        <f>_xlfn.MAXIFS(clean_sales!P:P,clean_sales!C:C,RFM_Analysis!A136)</f>
        <v>46004</v>
      </c>
      <c r="C136">
        <f t="shared" ca="1" si="12"/>
        <v>24</v>
      </c>
      <c r="D136">
        <f>COUNTIFS(clean_sales!C:C,RFM_Analysis!A136)</f>
        <v>2</v>
      </c>
      <c r="E136">
        <f>SUMIFS(clean_sales!T:T,clean_sales!C:C,RFM_Analysis!A136)</f>
        <v>620000</v>
      </c>
      <c r="F136">
        <f t="shared" ca="1" si="13"/>
        <v>5</v>
      </c>
      <c r="G136">
        <f t="shared" si="14"/>
        <v>3</v>
      </c>
      <c r="H136">
        <f t="shared" si="15"/>
        <v>5</v>
      </c>
      <c r="I136" t="str">
        <f t="shared" ca="1" si="16"/>
        <v>535</v>
      </c>
      <c r="J136" t="str">
        <f t="shared" ca="1" si="17"/>
        <v>Regular</v>
      </c>
    </row>
    <row r="137" spans="1:10" x14ac:dyDescent="0.35">
      <c r="A137" t="s">
        <v>1923</v>
      </c>
      <c r="B137" s="2">
        <f>_xlfn.MAXIFS(clean_sales!P:P,clean_sales!C:C,RFM_Analysis!A137)</f>
        <v>45773</v>
      </c>
      <c r="C137">
        <f t="shared" ca="1" si="12"/>
        <v>255</v>
      </c>
      <c r="D137">
        <f>COUNTIFS(clean_sales!C:C,RFM_Analysis!A137)</f>
        <v>1</v>
      </c>
      <c r="E137">
        <f>SUMIFS(clean_sales!T:T,clean_sales!C:C,RFM_Analysis!A137)</f>
        <v>4500</v>
      </c>
      <c r="F137">
        <f t="shared" ca="1" si="13"/>
        <v>1</v>
      </c>
      <c r="G137">
        <f t="shared" si="14"/>
        <v>1</v>
      </c>
      <c r="H137">
        <f t="shared" si="15"/>
        <v>1</v>
      </c>
      <c r="I137" t="str">
        <f t="shared" ca="1" si="16"/>
        <v>111</v>
      </c>
      <c r="J137" t="str">
        <f t="shared" ca="1" si="17"/>
        <v>At Risk</v>
      </c>
    </row>
    <row r="138" spans="1:10" x14ac:dyDescent="0.35">
      <c r="A138" t="s">
        <v>1924</v>
      </c>
      <c r="B138" s="2">
        <f>_xlfn.MAXIFS(clean_sales!P:P,clean_sales!C:C,RFM_Analysis!A138)</f>
        <v>45733</v>
      </c>
      <c r="C138">
        <f t="shared" ca="1" si="12"/>
        <v>295</v>
      </c>
      <c r="D138">
        <f>COUNTIFS(clean_sales!C:C,RFM_Analysis!A138)</f>
        <v>3</v>
      </c>
      <c r="E138">
        <f>SUMIFS(clean_sales!T:T,clean_sales!C:C,RFM_Analysis!A138)</f>
        <v>492000</v>
      </c>
      <c r="F138">
        <f t="shared" ca="1" si="13"/>
        <v>1</v>
      </c>
      <c r="G138">
        <f t="shared" si="14"/>
        <v>5</v>
      </c>
      <c r="H138">
        <f t="shared" si="15"/>
        <v>5</v>
      </c>
      <c r="I138" t="str">
        <f t="shared" ca="1" si="16"/>
        <v>155</v>
      </c>
      <c r="J138" t="str">
        <f t="shared" ca="1" si="17"/>
        <v>At Risk</v>
      </c>
    </row>
    <row r="139" spans="1:10" x14ac:dyDescent="0.35">
      <c r="A139" t="s">
        <v>1925</v>
      </c>
      <c r="B139" s="2">
        <f>_xlfn.MAXIFS(clean_sales!P:P,clean_sales!C:C,RFM_Analysis!A139)</f>
        <v>45819</v>
      </c>
      <c r="C139">
        <f t="shared" ca="1" si="12"/>
        <v>209</v>
      </c>
      <c r="D139">
        <f>COUNTIFS(clean_sales!C:C,RFM_Analysis!A139)</f>
        <v>1</v>
      </c>
      <c r="E139">
        <f>SUMIFS(clean_sales!T:T,clean_sales!C:C,RFM_Analysis!A139)</f>
        <v>4500</v>
      </c>
      <c r="F139">
        <f t="shared" ca="1" si="13"/>
        <v>2</v>
      </c>
      <c r="G139">
        <f t="shared" si="14"/>
        <v>1</v>
      </c>
      <c r="H139">
        <f t="shared" si="15"/>
        <v>1</v>
      </c>
      <c r="I139" t="str">
        <f t="shared" ca="1" si="16"/>
        <v>211</v>
      </c>
      <c r="J139" t="str">
        <f t="shared" ca="1" si="17"/>
        <v>At Risk</v>
      </c>
    </row>
    <row r="140" spans="1:10" x14ac:dyDescent="0.35">
      <c r="A140" t="s">
        <v>1926</v>
      </c>
      <c r="B140" s="2">
        <f>_xlfn.MAXIFS(clean_sales!P:P,clean_sales!C:C,RFM_Analysis!A140)</f>
        <v>45983</v>
      </c>
      <c r="C140">
        <f t="shared" ca="1" si="12"/>
        <v>45</v>
      </c>
      <c r="D140">
        <f>COUNTIFS(clean_sales!C:C,RFM_Analysis!A140)</f>
        <v>2</v>
      </c>
      <c r="E140">
        <f>SUMIFS(clean_sales!T:T,clean_sales!C:C,RFM_Analysis!A140)</f>
        <v>39000</v>
      </c>
      <c r="F140">
        <f t="shared" ca="1" si="13"/>
        <v>5</v>
      </c>
      <c r="G140">
        <f t="shared" si="14"/>
        <v>3</v>
      </c>
      <c r="H140">
        <f t="shared" si="15"/>
        <v>2</v>
      </c>
      <c r="I140" t="str">
        <f t="shared" ca="1" si="16"/>
        <v>532</v>
      </c>
      <c r="J140" t="str">
        <f t="shared" ca="1" si="17"/>
        <v>Regular</v>
      </c>
    </row>
    <row r="141" spans="1:10" x14ac:dyDescent="0.35">
      <c r="A141" t="s">
        <v>1927</v>
      </c>
      <c r="B141" s="2">
        <f>_xlfn.MAXIFS(clean_sales!P:P,clean_sales!C:C,RFM_Analysis!A141)</f>
        <v>45961</v>
      </c>
      <c r="C141">
        <f t="shared" ca="1" si="12"/>
        <v>67</v>
      </c>
      <c r="D141">
        <f>COUNTIFS(clean_sales!C:C,RFM_Analysis!A141)</f>
        <v>2</v>
      </c>
      <c r="E141">
        <f>SUMIFS(clean_sales!T:T,clean_sales!C:C,RFM_Analysis!A141)</f>
        <v>343000</v>
      </c>
      <c r="F141">
        <f t="shared" ca="1" si="13"/>
        <v>4</v>
      </c>
      <c r="G141">
        <f t="shared" si="14"/>
        <v>3</v>
      </c>
      <c r="H141">
        <f t="shared" si="15"/>
        <v>5</v>
      </c>
      <c r="I141" t="str">
        <f t="shared" ca="1" si="16"/>
        <v>435</v>
      </c>
      <c r="J141" t="str">
        <f t="shared" ca="1" si="17"/>
        <v>Regular</v>
      </c>
    </row>
    <row r="142" spans="1:10" x14ac:dyDescent="0.35">
      <c r="A142" t="s">
        <v>1928</v>
      </c>
      <c r="B142" s="2">
        <f>_xlfn.MAXIFS(clean_sales!P:P,clean_sales!C:C,RFM_Analysis!A142)</f>
        <v>45824</v>
      </c>
      <c r="C142">
        <f t="shared" ca="1" si="12"/>
        <v>204</v>
      </c>
      <c r="D142">
        <f>COUNTIFS(clean_sales!C:C,RFM_Analysis!A142)</f>
        <v>1</v>
      </c>
      <c r="E142">
        <f>SUMIFS(clean_sales!T:T,clean_sales!C:C,RFM_Analysis!A142)</f>
        <v>325000</v>
      </c>
      <c r="F142">
        <f t="shared" ca="1" si="13"/>
        <v>2</v>
      </c>
      <c r="G142">
        <f t="shared" si="14"/>
        <v>1</v>
      </c>
      <c r="H142">
        <f t="shared" si="15"/>
        <v>5</v>
      </c>
      <c r="I142" t="str">
        <f t="shared" ca="1" si="16"/>
        <v>215</v>
      </c>
      <c r="J142" t="str">
        <f t="shared" ca="1" si="17"/>
        <v>At Risk</v>
      </c>
    </row>
    <row r="143" spans="1:10" x14ac:dyDescent="0.35">
      <c r="A143" t="s">
        <v>1929</v>
      </c>
      <c r="B143" s="2">
        <f>_xlfn.MAXIFS(clean_sales!P:P,clean_sales!C:C,RFM_Analysis!A143)</f>
        <v>45789</v>
      </c>
      <c r="C143">
        <f t="shared" ca="1" si="12"/>
        <v>239</v>
      </c>
      <c r="D143">
        <f>COUNTIFS(clean_sales!C:C,RFM_Analysis!A143)</f>
        <v>2</v>
      </c>
      <c r="E143">
        <f>SUMIFS(clean_sales!T:T,clean_sales!C:C,RFM_Analysis!A143)</f>
        <v>47500</v>
      </c>
      <c r="F143">
        <f t="shared" ca="1" si="13"/>
        <v>1</v>
      </c>
      <c r="G143">
        <f t="shared" si="14"/>
        <v>3</v>
      </c>
      <c r="H143">
        <f t="shared" si="15"/>
        <v>2</v>
      </c>
      <c r="I143" t="str">
        <f t="shared" ca="1" si="16"/>
        <v>132</v>
      </c>
      <c r="J143" t="str">
        <f t="shared" ca="1" si="17"/>
        <v>At Risk</v>
      </c>
    </row>
    <row r="144" spans="1:10" x14ac:dyDescent="0.35">
      <c r="A144" t="s">
        <v>1930</v>
      </c>
      <c r="B144" s="2">
        <f>_xlfn.MAXIFS(clean_sales!P:P,clean_sales!C:C,RFM_Analysis!A144)</f>
        <v>46019</v>
      </c>
      <c r="C144">
        <f t="shared" ca="1" si="12"/>
        <v>9</v>
      </c>
      <c r="D144">
        <f>COUNTIFS(clean_sales!C:C,RFM_Analysis!A144)</f>
        <v>2</v>
      </c>
      <c r="E144">
        <f>SUMIFS(clean_sales!T:T,clean_sales!C:C,RFM_Analysis!A144)</f>
        <v>25400</v>
      </c>
      <c r="F144">
        <f t="shared" ca="1" si="13"/>
        <v>5</v>
      </c>
      <c r="G144">
        <f t="shared" si="14"/>
        <v>3</v>
      </c>
      <c r="H144">
        <f t="shared" si="15"/>
        <v>2</v>
      </c>
      <c r="I144" t="str">
        <f t="shared" ca="1" si="16"/>
        <v>532</v>
      </c>
      <c r="J144" t="str">
        <f t="shared" ca="1" si="17"/>
        <v>Regular</v>
      </c>
    </row>
    <row r="145" spans="1:10" x14ac:dyDescent="0.35">
      <c r="A145" t="s">
        <v>1931</v>
      </c>
      <c r="B145" s="2">
        <f>_xlfn.MAXIFS(clean_sales!P:P,clean_sales!C:C,RFM_Analysis!A145)</f>
        <v>46018</v>
      </c>
      <c r="C145">
        <f t="shared" ca="1" si="12"/>
        <v>10</v>
      </c>
      <c r="D145">
        <f>COUNTIFS(clean_sales!C:C,RFM_Analysis!A145)</f>
        <v>2</v>
      </c>
      <c r="E145">
        <f>SUMIFS(clean_sales!T:T,clean_sales!C:C,RFM_Analysis!A145)</f>
        <v>16200</v>
      </c>
      <c r="F145">
        <f t="shared" ca="1" si="13"/>
        <v>5</v>
      </c>
      <c r="G145">
        <f t="shared" si="14"/>
        <v>3</v>
      </c>
      <c r="H145">
        <f t="shared" si="15"/>
        <v>2</v>
      </c>
      <c r="I145" t="str">
        <f t="shared" ca="1" si="16"/>
        <v>532</v>
      </c>
      <c r="J145" t="str">
        <f t="shared" ca="1" si="17"/>
        <v>Regular</v>
      </c>
    </row>
    <row r="146" spans="1:10" x14ac:dyDescent="0.35">
      <c r="A146" t="s">
        <v>1932</v>
      </c>
      <c r="B146" s="2">
        <f>_xlfn.MAXIFS(clean_sales!P:P,clean_sales!C:C,RFM_Analysis!A146)</f>
        <v>45875</v>
      </c>
      <c r="C146">
        <f t="shared" ca="1" si="12"/>
        <v>153</v>
      </c>
      <c r="D146">
        <f>COUNTIFS(clean_sales!C:C,RFM_Analysis!A146)</f>
        <v>1</v>
      </c>
      <c r="E146">
        <f>SUMIFS(clean_sales!T:T,clean_sales!C:C,RFM_Analysis!A146)</f>
        <v>116000</v>
      </c>
      <c r="F146">
        <f t="shared" ca="1" si="13"/>
        <v>3</v>
      </c>
      <c r="G146">
        <f t="shared" si="14"/>
        <v>1</v>
      </c>
      <c r="H146">
        <f t="shared" si="15"/>
        <v>3</v>
      </c>
      <c r="I146" t="str">
        <f t="shared" ca="1" si="16"/>
        <v>313</v>
      </c>
      <c r="J146" t="str">
        <f t="shared" ca="1" si="17"/>
        <v>Regular</v>
      </c>
    </row>
    <row r="147" spans="1:10" x14ac:dyDescent="0.35">
      <c r="A147" t="s">
        <v>1933</v>
      </c>
      <c r="B147" s="2">
        <f>_xlfn.MAXIFS(clean_sales!P:P,clean_sales!C:C,RFM_Analysis!A147)</f>
        <v>45956</v>
      </c>
      <c r="C147">
        <f t="shared" ca="1" si="12"/>
        <v>72</v>
      </c>
      <c r="D147">
        <f>COUNTIFS(clean_sales!C:C,RFM_Analysis!A147)</f>
        <v>2</v>
      </c>
      <c r="E147">
        <f>SUMIFS(clean_sales!T:T,clean_sales!C:C,RFM_Analysis!A147)</f>
        <v>152000</v>
      </c>
      <c r="F147">
        <f t="shared" ca="1" si="13"/>
        <v>4</v>
      </c>
      <c r="G147">
        <f t="shared" si="14"/>
        <v>3</v>
      </c>
      <c r="H147">
        <f t="shared" si="15"/>
        <v>3</v>
      </c>
      <c r="I147" t="str">
        <f t="shared" ca="1" si="16"/>
        <v>433</v>
      </c>
      <c r="J147" t="str">
        <f t="shared" ca="1" si="17"/>
        <v>Regular</v>
      </c>
    </row>
    <row r="148" spans="1:10" x14ac:dyDescent="0.35">
      <c r="A148" t="s">
        <v>1934</v>
      </c>
      <c r="B148" s="2">
        <f>_xlfn.MAXIFS(clean_sales!P:P,clean_sales!C:C,RFM_Analysis!A148)</f>
        <v>45988</v>
      </c>
      <c r="C148">
        <f t="shared" ca="1" si="12"/>
        <v>40</v>
      </c>
      <c r="D148">
        <f>COUNTIFS(clean_sales!C:C,RFM_Analysis!A148)</f>
        <v>3</v>
      </c>
      <c r="E148">
        <f>SUMIFS(clean_sales!T:T,clean_sales!C:C,RFM_Analysis!A148)</f>
        <v>286000</v>
      </c>
      <c r="F148">
        <f t="shared" ca="1" si="13"/>
        <v>5</v>
      </c>
      <c r="G148">
        <f t="shared" si="14"/>
        <v>5</v>
      </c>
      <c r="H148">
        <f t="shared" si="15"/>
        <v>4</v>
      </c>
      <c r="I148" t="str">
        <f t="shared" ca="1" si="16"/>
        <v>554</v>
      </c>
      <c r="J148" t="str">
        <f t="shared" ca="1" si="17"/>
        <v>Loyal</v>
      </c>
    </row>
    <row r="149" spans="1:10" x14ac:dyDescent="0.35">
      <c r="A149" t="s">
        <v>1935</v>
      </c>
      <c r="B149" s="2">
        <f>_xlfn.MAXIFS(clean_sales!P:P,clean_sales!C:C,RFM_Analysis!A149)</f>
        <v>45713</v>
      </c>
      <c r="C149">
        <f t="shared" ca="1" si="12"/>
        <v>315</v>
      </c>
      <c r="D149">
        <f>COUNTIFS(clean_sales!C:C,RFM_Analysis!A149)</f>
        <v>2</v>
      </c>
      <c r="E149">
        <f>SUMIFS(clean_sales!T:T,clean_sales!C:C,RFM_Analysis!A149)</f>
        <v>16800</v>
      </c>
      <c r="F149">
        <f t="shared" ca="1" si="13"/>
        <v>1</v>
      </c>
      <c r="G149">
        <f t="shared" si="14"/>
        <v>3</v>
      </c>
      <c r="H149">
        <f t="shared" si="15"/>
        <v>2</v>
      </c>
      <c r="I149" t="str">
        <f t="shared" ca="1" si="16"/>
        <v>132</v>
      </c>
      <c r="J149" t="str">
        <f t="shared" ca="1" si="17"/>
        <v>At Risk</v>
      </c>
    </row>
    <row r="150" spans="1:10" x14ac:dyDescent="0.35">
      <c r="A150" t="s">
        <v>1936</v>
      </c>
      <c r="B150" s="2">
        <f>_xlfn.MAXIFS(clean_sales!P:P,clean_sales!C:C,RFM_Analysis!A150)</f>
        <v>45803</v>
      </c>
      <c r="C150">
        <f t="shared" ca="1" si="12"/>
        <v>225</v>
      </c>
      <c r="D150">
        <f>COUNTIFS(clean_sales!C:C,RFM_Analysis!A150)</f>
        <v>2</v>
      </c>
      <c r="E150">
        <f>SUMIFS(clean_sales!T:T,clean_sales!C:C,RFM_Analysis!A150)</f>
        <v>32200</v>
      </c>
      <c r="F150">
        <f t="shared" ca="1" si="13"/>
        <v>2</v>
      </c>
      <c r="G150">
        <f t="shared" si="14"/>
        <v>3</v>
      </c>
      <c r="H150">
        <f t="shared" si="15"/>
        <v>2</v>
      </c>
      <c r="I150" t="str">
        <f t="shared" ca="1" si="16"/>
        <v>232</v>
      </c>
      <c r="J150" t="str">
        <f t="shared" ca="1" si="17"/>
        <v>At Risk</v>
      </c>
    </row>
    <row r="151" spans="1:10" x14ac:dyDescent="0.35">
      <c r="A151" t="s">
        <v>1937</v>
      </c>
      <c r="B151" s="2">
        <f>_xlfn.MAXIFS(clean_sales!P:P,clean_sales!C:C,RFM_Analysis!A151)</f>
        <v>45912</v>
      </c>
      <c r="C151">
        <f t="shared" ca="1" si="12"/>
        <v>116</v>
      </c>
      <c r="D151">
        <f>COUNTIFS(clean_sales!C:C,RFM_Analysis!A151)</f>
        <v>5</v>
      </c>
      <c r="E151">
        <f>SUMIFS(clean_sales!T:T,clean_sales!C:C,RFM_Analysis!A151)</f>
        <v>101300</v>
      </c>
      <c r="F151">
        <f t="shared" ca="1" si="13"/>
        <v>3</v>
      </c>
      <c r="G151">
        <f t="shared" si="14"/>
        <v>5</v>
      </c>
      <c r="H151">
        <f t="shared" si="15"/>
        <v>3</v>
      </c>
      <c r="I151" t="str">
        <f t="shared" ca="1" si="16"/>
        <v>353</v>
      </c>
      <c r="J151" t="str">
        <f t="shared" ca="1" si="17"/>
        <v>Regular</v>
      </c>
    </row>
    <row r="152" spans="1:10" x14ac:dyDescent="0.35">
      <c r="A152" t="s">
        <v>1938</v>
      </c>
      <c r="B152" s="2">
        <f>_xlfn.MAXIFS(clean_sales!P:P,clean_sales!C:C,RFM_Analysis!A152)</f>
        <v>45951</v>
      </c>
      <c r="C152">
        <f t="shared" ca="1" si="12"/>
        <v>77</v>
      </c>
      <c r="D152">
        <f>COUNTIFS(clean_sales!C:C,RFM_Analysis!A152)</f>
        <v>2</v>
      </c>
      <c r="E152">
        <f>SUMIFS(clean_sales!T:T,clean_sales!C:C,RFM_Analysis!A152)</f>
        <v>36000</v>
      </c>
      <c r="F152">
        <f t="shared" ca="1" si="13"/>
        <v>4</v>
      </c>
      <c r="G152">
        <f t="shared" si="14"/>
        <v>3</v>
      </c>
      <c r="H152">
        <f t="shared" si="15"/>
        <v>2</v>
      </c>
      <c r="I152" t="str">
        <f t="shared" ca="1" si="16"/>
        <v>432</v>
      </c>
      <c r="J152" t="str">
        <f t="shared" ca="1" si="17"/>
        <v>Regular</v>
      </c>
    </row>
    <row r="153" spans="1:10" x14ac:dyDescent="0.35">
      <c r="A153" t="s">
        <v>1939</v>
      </c>
      <c r="B153" s="2">
        <f>_xlfn.MAXIFS(clean_sales!P:P,clean_sales!C:C,RFM_Analysis!A153)</f>
        <v>45921</v>
      </c>
      <c r="C153">
        <f t="shared" ca="1" si="12"/>
        <v>107</v>
      </c>
      <c r="D153">
        <f>COUNTIFS(clean_sales!C:C,RFM_Analysis!A153)</f>
        <v>2</v>
      </c>
      <c r="E153">
        <f>SUMIFS(clean_sales!T:T,clean_sales!C:C,RFM_Analysis!A153)</f>
        <v>21000</v>
      </c>
      <c r="F153">
        <f t="shared" ca="1" si="13"/>
        <v>4</v>
      </c>
      <c r="G153">
        <f t="shared" si="14"/>
        <v>3</v>
      </c>
      <c r="H153">
        <f t="shared" si="15"/>
        <v>2</v>
      </c>
      <c r="I153" t="str">
        <f t="shared" ca="1" si="16"/>
        <v>432</v>
      </c>
      <c r="J153" t="str">
        <f t="shared" ca="1" si="17"/>
        <v>Regular</v>
      </c>
    </row>
    <row r="154" spans="1:10" x14ac:dyDescent="0.35">
      <c r="A154" t="s">
        <v>1940</v>
      </c>
      <c r="B154" s="2">
        <f>_xlfn.MAXIFS(clean_sales!P:P,clean_sales!C:C,RFM_Analysis!A154)</f>
        <v>45793</v>
      </c>
      <c r="C154">
        <f t="shared" ca="1" si="12"/>
        <v>235</v>
      </c>
      <c r="D154">
        <f>COUNTIFS(clean_sales!C:C,RFM_Analysis!A154)</f>
        <v>1</v>
      </c>
      <c r="E154">
        <f>SUMIFS(clean_sales!T:T,clean_sales!C:C,RFM_Analysis!A154)</f>
        <v>9000</v>
      </c>
      <c r="F154">
        <f t="shared" ca="1" si="13"/>
        <v>2</v>
      </c>
      <c r="G154">
        <f t="shared" si="14"/>
        <v>1</v>
      </c>
      <c r="H154">
        <f t="shared" si="15"/>
        <v>1</v>
      </c>
      <c r="I154" t="str">
        <f t="shared" ca="1" si="16"/>
        <v>211</v>
      </c>
      <c r="J154" t="str">
        <f t="shared" ca="1" si="17"/>
        <v>At Risk</v>
      </c>
    </row>
    <row r="155" spans="1:10" x14ac:dyDescent="0.35">
      <c r="A155" t="s">
        <v>1941</v>
      </c>
      <c r="B155" s="2">
        <f>_xlfn.MAXIFS(clean_sales!P:P,clean_sales!C:C,RFM_Analysis!A155)</f>
        <v>45836</v>
      </c>
      <c r="C155">
        <f t="shared" ca="1" si="12"/>
        <v>192</v>
      </c>
      <c r="D155">
        <f>COUNTIFS(clean_sales!C:C,RFM_Analysis!A155)</f>
        <v>2</v>
      </c>
      <c r="E155">
        <f>SUMIFS(clean_sales!T:T,clean_sales!C:C,RFM_Analysis!A155)</f>
        <v>68600</v>
      </c>
      <c r="F155">
        <f t="shared" ca="1" si="13"/>
        <v>2</v>
      </c>
      <c r="G155">
        <f t="shared" si="14"/>
        <v>3</v>
      </c>
      <c r="H155">
        <f t="shared" si="15"/>
        <v>3</v>
      </c>
      <c r="I155" t="str">
        <f t="shared" ca="1" si="16"/>
        <v>233</v>
      </c>
      <c r="J155" t="str">
        <f t="shared" ca="1" si="17"/>
        <v>At Risk</v>
      </c>
    </row>
    <row r="156" spans="1:10" x14ac:dyDescent="0.35">
      <c r="A156" t="s">
        <v>1942</v>
      </c>
      <c r="B156" s="2">
        <f>_xlfn.MAXIFS(clean_sales!P:P,clean_sales!C:C,RFM_Analysis!A156)</f>
        <v>45806</v>
      </c>
      <c r="C156">
        <f t="shared" ca="1" si="12"/>
        <v>222</v>
      </c>
      <c r="D156">
        <f>COUNTIFS(clean_sales!C:C,RFM_Analysis!A156)</f>
        <v>1</v>
      </c>
      <c r="E156">
        <f>SUMIFS(clean_sales!T:T,clean_sales!C:C,RFM_Analysis!A156)</f>
        <v>12000</v>
      </c>
      <c r="F156">
        <f t="shared" ca="1" si="13"/>
        <v>2</v>
      </c>
      <c r="G156">
        <f t="shared" si="14"/>
        <v>1</v>
      </c>
      <c r="H156">
        <f t="shared" si="15"/>
        <v>1</v>
      </c>
      <c r="I156" t="str">
        <f t="shared" ca="1" si="16"/>
        <v>211</v>
      </c>
      <c r="J156" t="str">
        <f t="shared" ca="1" si="17"/>
        <v>At Risk</v>
      </c>
    </row>
    <row r="157" spans="1:10" x14ac:dyDescent="0.35">
      <c r="A157" t="s">
        <v>1943</v>
      </c>
      <c r="B157" s="2">
        <f>_xlfn.MAXIFS(clean_sales!P:P,clean_sales!C:C,RFM_Analysis!A157)</f>
        <v>46004</v>
      </c>
      <c r="C157">
        <f t="shared" ca="1" si="12"/>
        <v>24</v>
      </c>
      <c r="D157">
        <f>COUNTIFS(clean_sales!C:C,RFM_Analysis!A157)</f>
        <v>4</v>
      </c>
      <c r="E157">
        <f>SUMIFS(clean_sales!T:T,clean_sales!C:C,RFM_Analysis!A157)</f>
        <v>328000</v>
      </c>
      <c r="F157">
        <f t="shared" ca="1" si="13"/>
        <v>5</v>
      </c>
      <c r="G157">
        <f t="shared" si="14"/>
        <v>5</v>
      </c>
      <c r="H157">
        <f t="shared" si="15"/>
        <v>5</v>
      </c>
      <c r="I157" t="str">
        <f t="shared" ca="1" si="16"/>
        <v>555</v>
      </c>
      <c r="J157" t="str">
        <f t="shared" ca="1" si="17"/>
        <v>Champions</v>
      </c>
    </row>
    <row r="158" spans="1:10" x14ac:dyDescent="0.35">
      <c r="A158" t="s">
        <v>1944</v>
      </c>
      <c r="B158" s="2">
        <f>_xlfn.MAXIFS(clean_sales!P:P,clean_sales!C:C,RFM_Analysis!A158)</f>
        <v>45783</v>
      </c>
      <c r="C158">
        <f t="shared" ca="1" si="12"/>
        <v>245</v>
      </c>
      <c r="D158">
        <f>COUNTIFS(clean_sales!C:C,RFM_Analysis!A158)</f>
        <v>1</v>
      </c>
      <c r="E158">
        <f>SUMIFS(clean_sales!T:T,clean_sales!C:C,RFM_Analysis!A158)</f>
        <v>36000</v>
      </c>
      <c r="F158">
        <f t="shared" ca="1" si="13"/>
        <v>1</v>
      </c>
      <c r="G158">
        <f t="shared" si="14"/>
        <v>1</v>
      </c>
      <c r="H158">
        <f t="shared" si="15"/>
        <v>2</v>
      </c>
      <c r="I158" t="str">
        <f t="shared" ca="1" si="16"/>
        <v>112</v>
      </c>
      <c r="J158" t="str">
        <f t="shared" ca="1" si="17"/>
        <v>At Risk</v>
      </c>
    </row>
    <row r="159" spans="1:10" x14ac:dyDescent="0.35">
      <c r="A159" t="s">
        <v>1945</v>
      </c>
      <c r="B159" s="2">
        <f>_xlfn.MAXIFS(clean_sales!P:P,clean_sales!C:C,RFM_Analysis!A159)</f>
        <v>45853</v>
      </c>
      <c r="C159">
        <f t="shared" ca="1" si="12"/>
        <v>175</v>
      </c>
      <c r="D159">
        <f>COUNTIFS(clean_sales!C:C,RFM_Analysis!A159)</f>
        <v>1</v>
      </c>
      <c r="E159">
        <f>SUMIFS(clean_sales!T:T,clean_sales!C:C,RFM_Analysis!A159)</f>
        <v>5400</v>
      </c>
      <c r="F159">
        <f t="shared" ca="1" si="13"/>
        <v>2</v>
      </c>
      <c r="G159">
        <f t="shared" si="14"/>
        <v>1</v>
      </c>
      <c r="H159">
        <f t="shared" si="15"/>
        <v>1</v>
      </c>
      <c r="I159" t="str">
        <f t="shared" ca="1" si="16"/>
        <v>211</v>
      </c>
      <c r="J159" t="str">
        <f t="shared" ca="1" si="17"/>
        <v>At Risk</v>
      </c>
    </row>
    <row r="160" spans="1:10" x14ac:dyDescent="0.35">
      <c r="A160" t="s">
        <v>1946</v>
      </c>
      <c r="B160" s="2">
        <f>_xlfn.MAXIFS(clean_sales!P:P,clean_sales!C:C,RFM_Analysis!A160)</f>
        <v>46026</v>
      </c>
      <c r="C160">
        <f t="shared" ca="1" si="12"/>
        <v>2</v>
      </c>
      <c r="D160">
        <f>COUNTIFS(clean_sales!C:C,RFM_Analysis!A160)</f>
        <v>3</v>
      </c>
      <c r="E160">
        <f>SUMIFS(clean_sales!T:T,clean_sales!C:C,RFM_Analysis!A160)</f>
        <v>288000</v>
      </c>
      <c r="F160">
        <f t="shared" ca="1" si="13"/>
        <v>5</v>
      </c>
      <c r="G160">
        <f t="shared" si="14"/>
        <v>5</v>
      </c>
      <c r="H160">
        <f t="shared" si="15"/>
        <v>4</v>
      </c>
      <c r="I160" t="str">
        <f t="shared" ca="1" si="16"/>
        <v>554</v>
      </c>
      <c r="J160" t="str">
        <f t="shared" ca="1" si="17"/>
        <v>Loyal</v>
      </c>
    </row>
    <row r="161" spans="1:10" x14ac:dyDescent="0.35">
      <c r="A161" t="s">
        <v>1947</v>
      </c>
      <c r="B161" s="2">
        <f>_xlfn.MAXIFS(clean_sales!P:P,clean_sales!C:C,RFM_Analysis!A161)</f>
        <v>45929</v>
      </c>
      <c r="C161">
        <f t="shared" ca="1" si="12"/>
        <v>99</v>
      </c>
      <c r="D161">
        <f>COUNTIFS(clean_sales!C:C,RFM_Analysis!A161)</f>
        <v>2</v>
      </c>
      <c r="E161">
        <f>SUMIFS(clean_sales!T:T,clean_sales!C:C,RFM_Analysis!A161)</f>
        <v>365000</v>
      </c>
      <c r="F161">
        <f t="shared" ca="1" si="13"/>
        <v>4</v>
      </c>
      <c r="G161">
        <f t="shared" si="14"/>
        <v>3</v>
      </c>
      <c r="H161">
        <f t="shared" si="15"/>
        <v>5</v>
      </c>
      <c r="I161" t="str">
        <f t="shared" ca="1" si="16"/>
        <v>435</v>
      </c>
      <c r="J161" t="str">
        <f t="shared" ca="1" si="17"/>
        <v>Regular</v>
      </c>
    </row>
    <row r="162" spans="1:10" x14ac:dyDescent="0.35">
      <c r="A162" t="s">
        <v>1948</v>
      </c>
      <c r="B162" s="2">
        <f>_xlfn.MAXIFS(clean_sales!P:P,clean_sales!C:C,RFM_Analysis!A162)</f>
        <v>45798</v>
      </c>
      <c r="C162">
        <f t="shared" ca="1" si="12"/>
        <v>230</v>
      </c>
      <c r="D162">
        <f>COUNTIFS(clean_sales!C:C,RFM_Analysis!A162)</f>
        <v>3</v>
      </c>
      <c r="E162">
        <f>SUMIFS(clean_sales!T:T,clean_sales!C:C,RFM_Analysis!A162)</f>
        <v>28800</v>
      </c>
      <c r="F162">
        <f t="shared" ca="1" si="13"/>
        <v>2</v>
      </c>
      <c r="G162">
        <f t="shared" si="14"/>
        <v>5</v>
      </c>
      <c r="H162">
        <f t="shared" si="15"/>
        <v>2</v>
      </c>
      <c r="I162" t="str">
        <f t="shared" ca="1" si="16"/>
        <v>252</v>
      </c>
      <c r="J162" t="str">
        <f t="shared" ca="1" si="17"/>
        <v>At Risk</v>
      </c>
    </row>
    <row r="163" spans="1:10" x14ac:dyDescent="0.35">
      <c r="A163" t="s">
        <v>1949</v>
      </c>
      <c r="B163" s="2">
        <f>_xlfn.MAXIFS(clean_sales!P:P,clean_sales!C:C,RFM_Analysis!A163)</f>
        <v>45891</v>
      </c>
      <c r="C163">
        <f t="shared" ca="1" si="12"/>
        <v>137</v>
      </c>
      <c r="D163">
        <f>COUNTIFS(clean_sales!C:C,RFM_Analysis!A163)</f>
        <v>1</v>
      </c>
      <c r="E163">
        <f>SUMIFS(clean_sales!T:T,clean_sales!C:C,RFM_Analysis!A163)</f>
        <v>5000</v>
      </c>
      <c r="F163">
        <f t="shared" ca="1" si="13"/>
        <v>3</v>
      </c>
      <c r="G163">
        <f t="shared" si="14"/>
        <v>1</v>
      </c>
      <c r="H163">
        <f t="shared" si="15"/>
        <v>1</v>
      </c>
      <c r="I163" t="str">
        <f t="shared" ca="1" si="16"/>
        <v>311</v>
      </c>
      <c r="J163" t="str">
        <f t="shared" ca="1" si="17"/>
        <v>Regular</v>
      </c>
    </row>
    <row r="164" spans="1:10" x14ac:dyDescent="0.35">
      <c r="A164" t="s">
        <v>1950</v>
      </c>
      <c r="B164" s="2">
        <f>_xlfn.MAXIFS(clean_sales!P:P,clean_sales!C:C,RFM_Analysis!A164)</f>
        <v>45861</v>
      </c>
      <c r="C164">
        <f t="shared" ca="1" si="12"/>
        <v>167</v>
      </c>
      <c r="D164">
        <f>COUNTIFS(clean_sales!C:C,RFM_Analysis!A164)</f>
        <v>2</v>
      </c>
      <c r="E164">
        <f>SUMIFS(clean_sales!T:T,clean_sales!C:C,RFM_Analysis!A164)</f>
        <v>367200</v>
      </c>
      <c r="F164">
        <f t="shared" ca="1" si="13"/>
        <v>3</v>
      </c>
      <c r="G164">
        <f t="shared" si="14"/>
        <v>3</v>
      </c>
      <c r="H164">
        <f t="shared" si="15"/>
        <v>5</v>
      </c>
      <c r="I164" t="str">
        <f t="shared" ca="1" si="16"/>
        <v>335</v>
      </c>
      <c r="J164" t="str">
        <f t="shared" ca="1" si="17"/>
        <v>Regular</v>
      </c>
    </row>
    <row r="165" spans="1:10" x14ac:dyDescent="0.35">
      <c r="A165" t="s">
        <v>1951</v>
      </c>
      <c r="B165" s="2">
        <f>_xlfn.MAXIFS(clean_sales!P:P,clean_sales!C:C,RFM_Analysis!A165)</f>
        <v>45952</v>
      </c>
      <c r="C165">
        <f t="shared" ca="1" si="12"/>
        <v>76</v>
      </c>
      <c r="D165">
        <f>COUNTIFS(clean_sales!C:C,RFM_Analysis!A165)</f>
        <v>1</v>
      </c>
      <c r="E165">
        <f>SUMIFS(clean_sales!T:T,clean_sales!C:C,RFM_Analysis!A165)</f>
        <v>130000</v>
      </c>
      <c r="F165">
        <f t="shared" ca="1" si="13"/>
        <v>4</v>
      </c>
      <c r="G165">
        <f t="shared" si="14"/>
        <v>1</v>
      </c>
      <c r="H165">
        <f t="shared" si="15"/>
        <v>3</v>
      </c>
      <c r="I165" t="str">
        <f t="shared" ca="1" si="16"/>
        <v>413</v>
      </c>
      <c r="J165" t="str">
        <f t="shared" ca="1" si="17"/>
        <v>Regular</v>
      </c>
    </row>
    <row r="166" spans="1:10" x14ac:dyDescent="0.35">
      <c r="A166" t="s">
        <v>1952</v>
      </c>
      <c r="B166" s="2">
        <f>_xlfn.MAXIFS(clean_sales!P:P,clean_sales!C:C,RFM_Analysis!A166)</f>
        <v>45773</v>
      </c>
      <c r="C166">
        <f t="shared" ca="1" si="12"/>
        <v>255</v>
      </c>
      <c r="D166">
        <f>COUNTIFS(clean_sales!C:C,RFM_Analysis!A166)</f>
        <v>2</v>
      </c>
      <c r="E166">
        <f>SUMIFS(clean_sales!T:T,clean_sales!C:C,RFM_Analysis!A166)</f>
        <v>153000</v>
      </c>
      <c r="F166">
        <f t="shared" ca="1" si="13"/>
        <v>1</v>
      </c>
      <c r="G166">
        <f t="shared" si="14"/>
        <v>3</v>
      </c>
      <c r="H166">
        <f t="shared" si="15"/>
        <v>3</v>
      </c>
      <c r="I166" t="str">
        <f t="shared" ca="1" si="16"/>
        <v>133</v>
      </c>
      <c r="J166" t="str">
        <f t="shared" ca="1" si="17"/>
        <v>At Risk</v>
      </c>
    </row>
    <row r="167" spans="1:10" x14ac:dyDescent="0.35">
      <c r="A167" t="s">
        <v>1953</v>
      </c>
      <c r="B167" s="2">
        <f>_xlfn.MAXIFS(clean_sales!P:P,clean_sales!C:C,RFM_Analysis!A167)</f>
        <v>45800</v>
      </c>
      <c r="C167">
        <f t="shared" ca="1" si="12"/>
        <v>228</v>
      </c>
      <c r="D167">
        <f>COUNTIFS(clean_sales!C:C,RFM_Analysis!A167)</f>
        <v>1</v>
      </c>
      <c r="E167">
        <f>SUMIFS(clean_sales!T:T,clean_sales!C:C,RFM_Analysis!A167)</f>
        <v>260000</v>
      </c>
      <c r="F167">
        <f t="shared" ca="1" si="13"/>
        <v>2</v>
      </c>
      <c r="G167">
        <f t="shared" si="14"/>
        <v>1</v>
      </c>
      <c r="H167">
        <f t="shared" si="15"/>
        <v>4</v>
      </c>
      <c r="I167" t="str">
        <f t="shared" ca="1" si="16"/>
        <v>214</v>
      </c>
      <c r="J167" t="str">
        <f t="shared" ca="1" si="17"/>
        <v>At Risk</v>
      </c>
    </row>
    <row r="168" spans="1:10" x14ac:dyDescent="0.35">
      <c r="A168" t="s">
        <v>1954</v>
      </c>
      <c r="B168" s="2">
        <f>_xlfn.MAXIFS(clean_sales!P:P,clean_sales!C:C,RFM_Analysis!A168)</f>
        <v>46015</v>
      </c>
      <c r="C168">
        <f t="shared" ca="1" si="12"/>
        <v>13</v>
      </c>
      <c r="D168">
        <f>COUNTIFS(clean_sales!C:C,RFM_Analysis!A168)</f>
        <v>2</v>
      </c>
      <c r="E168">
        <f>SUMIFS(clean_sales!T:T,clean_sales!C:C,RFM_Analysis!A168)</f>
        <v>406000</v>
      </c>
      <c r="F168">
        <f t="shared" ca="1" si="13"/>
        <v>5</v>
      </c>
      <c r="G168">
        <f t="shared" si="14"/>
        <v>3</v>
      </c>
      <c r="H168">
        <f t="shared" si="15"/>
        <v>5</v>
      </c>
      <c r="I168" t="str">
        <f t="shared" ca="1" si="16"/>
        <v>535</v>
      </c>
      <c r="J168" t="str">
        <f t="shared" ca="1" si="17"/>
        <v>Regular</v>
      </c>
    </row>
    <row r="169" spans="1:10" x14ac:dyDescent="0.35">
      <c r="A169" t="s">
        <v>1955</v>
      </c>
      <c r="B169" s="2">
        <f>_xlfn.MAXIFS(clean_sales!P:P,clean_sales!C:C,RFM_Analysis!A169)</f>
        <v>45992</v>
      </c>
      <c r="C169">
        <f t="shared" ca="1" si="12"/>
        <v>36</v>
      </c>
      <c r="D169">
        <f>COUNTIFS(clean_sales!C:C,RFM_Analysis!A169)</f>
        <v>1</v>
      </c>
      <c r="E169">
        <f>SUMIFS(clean_sales!T:T,clean_sales!C:C,RFM_Analysis!A169)</f>
        <v>72000</v>
      </c>
      <c r="F169">
        <f t="shared" ca="1" si="13"/>
        <v>5</v>
      </c>
      <c r="G169">
        <f t="shared" si="14"/>
        <v>1</v>
      </c>
      <c r="H169">
        <f t="shared" si="15"/>
        <v>3</v>
      </c>
      <c r="I169" t="str">
        <f t="shared" ca="1" si="16"/>
        <v>513</v>
      </c>
      <c r="J169" t="str">
        <f t="shared" ca="1" si="17"/>
        <v>Regular</v>
      </c>
    </row>
    <row r="170" spans="1:10" x14ac:dyDescent="0.35">
      <c r="A170" t="s">
        <v>1956</v>
      </c>
      <c r="B170" s="2">
        <f>_xlfn.MAXIFS(clean_sales!P:P,clean_sales!C:C,RFM_Analysis!A170)</f>
        <v>46025</v>
      </c>
      <c r="C170">
        <f t="shared" ca="1" si="12"/>
        <v>3</v>
      </c>
      <c r="D170">
        <f>COUNTIFS(clean_sales!C:C,RFM_Analysis!A170)</f>
        <v>2</v>
      </c>
      <c r="E170">
        <f>SUMIFS(clean_sales!T:T,clean_sales!C:C,RFM_Analysis!A170)</f>
        <v>20700</v>
      </c>
      <c r="F170">
        <f t="shared" ca="1" si="13"/>
        <v>5</v>
      </c>
      <c r="G170">
        <f t="shared" si="14"/>
        <v>3</v>
      </c>
      <c r="H170">
        <f t="shared" si="15"/>
        <v>2</v>
      </c>
      <c r="I170" t="str">
        <f t="shared" ca="1" si="16"/>
        <v>532</v>
      </c>
      <c r="J170" t="str">
        <f t="shared" ca="1" si="17"/>
        <v>Regular</v>
      </c>
    </row>
    <row r="171" spans="1:10" x14ac:dyDescent="0.35">
      <c r="A171" t="s">
        <v>1957</v>
      </c>
      <c r="B171" s="2">
        <f>_xlfn.MAXIFS(clean_sales!P:P,clean_sales!C:C,RFM_Analysis!A171)</f>
        <v>45983</v>
      </c>
      <c r="C171">
        <f t="shared" ca="1" si="12"/>
        <v>45</v>
      </c>
      <c r="D171">
        <f>COUNTIFS(clean_sales!C:C,RFM_Analysis!A171)</f>
        <v>5</v>
      </c>
      <c r="E171">
        <f>SUMIFS(clean_sales!T:T,clean_sales!C:C,RFM_Analysis!A171)</f>
        <v>860000</v>
      </c>
      <c r="F171">
        <f t="shared" ca="1" si="13"/>
        <v>5</v>
      </c>
      <c r="G171">
        <f t="shared" si="14"/>
        <v>5</v>
      </c>
      <c r="H171">
        <f t="shared" si="15"/>
        <v>5</v>
      </c>
      <c r="I171" t="str">
        <f t="shared" ca="1" si="16"/>
        <v>555</v>
      </c>
      <c r="J171" t="str">
        <f t="shared" ca="1" si="17"/>
        <v>Champions</v>
      </c>
    </row>
    <row r="172" spans="1:10" x14ac:dyDescent="0.35">
      <c r="A172" t="s">
        <v>1958</v>
      </c>
      <c r="B172" s="2">
        <f>_xlfn.MAXIFS(clean_sales!P:P,clean_sales!C:C,RFM_Analysis!A172)</f>
        <v>45972</v>
      </c>
      <c r="C172">
        <f t="shared" ca="1" si="12"/>
        <v>56</v>
      </c>
      <c r="D172">
        <f>COUNTIFS(clean_sales!C:C,RFM_Analysis!A172)</f>
        <v>1</v>
      </c>
      <c r="E172">
        <f>SUMIFS(clean_sales!T:T,clean_sales!C:C,RFM_Analysis!A172)</f>
        <v>325000</v>
      </c>
      <c r="F172">
        <f t="shared" ca="1" si="13"/>
        <v>4</v>
      </c>
      <c r="G172">
        <f t="shared" si="14"/>
        <v>1</v>
      </c>
      <c r="H172">
        <f t="shared" si="15"/>
        <v>5</v>
      </c>
      <c r="I172" t="str">
        <f t="shared" ca="1" si="16"/>
        <v>415</v>
      </c>
      <c r="J172" t="str">
        <f t="shared" ca="1" si="17"/>
        <v>Regular</v>
      </c>
    </row>
    <row r="173" spans="1:10" x14ac:dyDescent="0.35">
      <c r="A173" t="s">
        <v>1959</v>
      </c>
      <c r="B173" s="2">
        <f>_xlfn.MAXIFS(clean_sales!P:P,clean_sales!C:C,RFM_Analysis!A173)</f>
        <v>46016</v>
      </c>
      <c r="C173">
        <f t="shared" ca="1" si="12"/>
        <v>12</v>
      </c>
      <c r="D173">
        <f>COUNTIFS(clean_sales!C:C,RFM_Analysis!A173)</f>
        <v>1</v>
      </c>
      <c r="E173">
        <f>SUMIFS(clean_sales!T:T,clean_sales!C:C,RFM_Analysis!A173)</f>
        <v>72000</v>
      </c>
      <c r="F173">
        <f t="shared" ca="1" si="13"/>
        <v>5</v>
      </c>
      <c r="G173">
        <f t="shared" si="14"/>
        <v>1</v>
      </c>
      <c r="H173">
        <f t="shared" si="15"/>
        <v>3</v>
      </c>
      <c r="I173" t="str">
        <f t="shared" ca="1" si="16"/>
        <v>513</v>
      </c>
      <c r="J173" t="str">
        <f t="shared" ca="1" si="17"/>
        <v>Regular</v>
      </c>
    </row>
    <row r="174" spans="1:10" x14ac:dyDescent="0.35">
      <c r="A174" t="s">
        <v>1960</v>
      </c>
      <c r="B174" s="2">
        <f>_xlfn.MAXIFS(clean_sales!P:P,clean_sales!C:C,RFM_Analysis!A174)</f>
        <v>45847</v>
      </c>
      <c r="C174">
        <f t="shared" ca="1" si="12"/>
        <v>181</v>
      </c>
      <c r="D174">
        <f>COUNTIFS(clean_sales!C:C,RFM_Analysis!A174)</f>
        <v>1</v>
      </c>
      <c r="E174">
        <f>SUMIFS(clean_sales!T:T,clean_sales!C:C,RFM_Analysis!A174)</f>
        <v>3600</v>
      </c>
      <c r="F174">
        <f t="shared" ca="1" si="13"/>
        <v>2</v>
      </c>
      <c r="G174">
        <f t="shared" si="14"/>
        <v>1</v>
      </c>
      <c r="H174">
        <f t="shared" si="15"/>
        <v>1</v>
      </c>
      <c r="I174" t="str">
        <f t="shared" ca="1" si="16"/>
        <v>211</v>
      </c>
      <c r="J174" t="str">
        <f t="shared" ca="1" si="17"/>
        <v>At Risk</v>
      </c>
    </row>
    <row r="175" spans="1:10" x14ac:dyDescent="0.35">
      <c r="A175" t="s">
        <v>1961</v>
      </c>
      <c r="B175" s="2">
        <f>_xlfn.MAXIFS(clean_sales!P:P,clean_sales!C:C,RFM_Analysis!A175)</f>
        <v>46001</v>
      </c>
      <c r="C175">
        <f t="shared" ca="1" si="12"/>
        <v>27</v>
      </c>
      <c r="D175">
        <f>COUNTIFS(clean_sales!C:C,RFM_Analysis!A175)</f>
        <v>1</v>
      </c>
      <c r="E175">
        <f>SUMIFS(clean_sales!T:T,clean_sales!C:C,RFM_Analysis!A175)</f>
        <v>58000</v>
      </c>
      <c r="F175">
        <f t="shared" ca="1" si="13"/>
        <v>5</v>
      </c>
      <c r="G175">
        <f t="shared" si="14"/>
        <v>1</v>
      </c>
      <c r="H175">
        <f t="shared" si="15"/>
        <v>2</v>
      </c>
      <c r="I175" t="str">
        <f t="shared" ca="1" si="16"/>
        <v>512</v>
      </c>
      <c r="J175" t="str">
        <f t="shared" ca="1" si="17"/>
        <v>Regular</v>
      </c>
    </row>
    <row r="176" spans="1:10" x14ac:dyDescent="0.35">
      <c r="A176" t="s">
        <v>1962</v>
      </c>
      <c r="B176" s="2">
        <f>_xlfn.MAXIFS(clean_sales!P:P,clean_sales!C:C,RFM_Analysis!A176)</f>
        <v>45869</v>
      </c>
      <c r="C176">
        <f t="shared" ca="1" si="12"/>
        <v>159</v>
      </c>
      <c r="D176">
        <f>COUNTIFS(clean_sales!C:C,RFM_Analysis!A176)</f>
        <v>3</v>
      </c>
      <c r="E176">
        <f>SUMIFS(clean_sales!T:T,clean_sales!C:C,RFM_Analysis!A176)</f>
        <v>292200</v>
      </c>
      <c r="F176">
        <f t="shared" ca="1" si="13"/>
        <v>3</v>
      </c>
      <c r="G176">
        <f t="shared" si="14"/>
        <v>5</v>
      </c>
      <c r="H176">
        <f t="shared" si="15"/>
        <v>4</v>
      </c>
      <c r="I176" t="str">
        <f t="shared" ca="1" si="16"/>
        <v>354</v>
      </c>
      <c r="J176" t="str">
        <f t="shared" ca="1" si="17"/>
        <v>Regular</v>
      </c>
    </row>
    <row r="177" spans="1:10" x14ac:dyDescent="0.35">
      <c r="A177" t="s">
        <v>1963</v>
      </c>
      <c r="B177" s="2">
        <f>_xlfn.MAXIFS(clean_sales!P:P,clean_sales!C:C,RFM_Analysis!A177)</f>
        <v>45991</v>
      </c>
      <c r="C177">
        <f t="shared" ca="1" si="12"/>
        <v>37</v>
      </c>
      <c r="D177">
        <f>COUNTIFS(clean_sales!C:C,RFM_Analysis!A177)</f>
        <v>3</v>
      </c>
      <c r="E177">
        <f>SUMIFS(clean_sales!T:T,clean_sales!C:C,RFM_Analysis!A177)</f>
        <v>443000</v>
      </c>
      <c r="F177">
        <f t="shared" ca="1" si="13"/>
        <v>5</v>
      </c>
      <c r="G177">
        <f t="shared" si="14"/>
        <v>5</v>
      </c>
      <c r="H177">
        <f t="shared" si="15"/>
        <v>5</v>
      </c>
      <c r="I177" t="str">
        <f t="shared" ca="1" si="16"/>
        <v>555</v>
      </c>
      <c r="J177" t="str">
        <f t="shared" ca="1" si="17"/>
        <v>Champions</v>
      </c>
    </row>
    <row r="178" spans="1:10" x14ac:dyDescent="0.35">
      <c r="A178" t="s">
        <v>1964</v>
      </c>
      <c r="B178" s="2">
        <f>_xlfn.MAXIFS(clean_sales!P:P,clean_sales!C:C,RFM_Analysis!A178)</f>
        <v>45709</v>
      </c>
      <c r="C178">
        <f t="shared" ca="1" si="12"/>
        <v>319</v>
      </c>
      <c r="D178">
        <f>COUNTIFS(clean_sales!C:C,RFM_Analysis!A178)</f>
        <v>2</v>
      </c>
      <c r="E178">
        <f>SUMIFS(clean_sales!T:T,clean_sales!C:C,RFM_Analysis!A178)</f>
        <v>448000</v>
      </c>
      <c r="F178">
        <f t="shared" ca="1" si="13"/>
        <v>1</v>
      </c>
      <c r="G178">
        <f t="shared" si="14"/>
        <v>3</v>
      </c>
      <c r="H178">
        <f t="shared" si="15"/>
        <v>5</v>
      </c>
      <c r="I178" t="str">
        <f t="shared" ca="1" si="16"/>
        <v>135</v>
      </c>
      <c r="J178" t="str">
        <f t="shared" ca="1" si="17"/>
        <v>At Risk</v>
      </c>
    </row>
    <row r="179" spans="1:10" x14ac:dyDescent="0.35">
      <c r="A179" t="s">
        <v>1965</v>
      </c>
      <c r="B179" s="2">
        <f>_xlfn.MAXIFS(clean_sales!P:P,clean_sales!C:C,RFM_Analysis!A179)</f>
        <v>45790</v>
      </c>
      <c r="C179">
        <f t="shared" ca="1" si="12"/>
        <v>238</v>
      </c>
      <c r="D179">
        <f>COUNTIFS(clean_sales!C:C,RFM_Analysis!A179)</f>
        <v>2</v>
      </c>
      <c r="E179">
        <f>SUMIFS(clean_sales!T:T,clean_sales!C:C,RFM_Analysis!A179)</f>
        <v>37500</v>
      </c>
      <c r="F179">
        <f t="shared" ca="1" si="13"/>
        <v>1</v>
      </c>
      <c r="G179">
        <f t="shared" si="14"/>
        <v>3</v>
      </c>
      <c r="H179">
        <f t="shared" si="15"/>
        <v>2</v>
      </c>
      <c r="I179" t="str">
        <f t="shared" ca="1" si="16"/>
        <v>132</v>
      </c>
      <c r="J179" t="str">
        <f t="shared" ca="1" si="17"/>
        <v>At Risk</v>
      </c>
    </row>
    <row r="180" spans="1:10" x14ac:dyDescent="0.35">
      <c r="A180" t="s">
        <v>1966</v>
      </c>
      <c r="B180" s="2">
        <f>_xlfn.MAXIFS(clean_sales!P:P,clean_sales!C:C,RFM_Analysis!A180)</f>
        <v>45911</v>
      </c>
      <c r="C180">
        <f t="shared" ca="1" si="12"/>
        <v>117</v>
      </c>
      <c r="D180">
        <f>COUNTIFS(clean_sales!C:C,RFM_Analysis!A180)</f>
        <v>1</v>
      </c>
      <c r="E180">
        <f>SUMIFS(clean_sales!T:T,clean_sales!C:C,RFM_Analysis!A180)</f>
        <v>15000</v>
      </c>
      <c r="F180">
        <f t="shared" ca="1" si="13"/>
        <v>3</v>
      </c>
      <c r="G180">
        <f t="shared" si="14"/>
        <v>1</v>
      </c>
      <c r="H180">
        <f t="shared" si="15"/>
        <v>1</v>
      </c>
      <c r="I180" t="str">
        <f t="shared" ca="1" si="16"/>
        <v>311</v>
      </c>
      <c r="J180" t="str">
        <f t="shared" ca="1" si="17"/>
        <v>Regular</v>
      </c>
    </row>
    <row r="181" spans="1:10" x14ac:dyDescent="0.35">
      <c r="A181" t="s">
        <v>1967</v>
      </c>
      <c r="B181" s="2">
        <f>_xlfn.MAXIFS(clean_sales!P:P,clean_sales!C:C,RFM_Analysis!A181)</f>
        <v>45730</v>
      </c>
      <c r="C181">
        <f t="shared" ca="1" si="12"/>
        <v>298</v>
      </c>
      <c r="D181">
        <f>COUNTIFS(clean_sales!C:C,RFM_Analysis!A181)</f>
        <v>1</v>
      </c>
      <c r="E181">
        <f>SUMIFS(clean_sales!T:T,clean_sales!C:C,RFM_Analysis!A181)</f>
        <v>5000</v>
      </c>
      <c r="F181">
        <f t="shared" ca="1" si="13"/>
        <v>1</v>
      </c>
      <c r="G181">
        <f t="shared" si="14"/>
        <v>1</v>
      </c>
      <c r="H181">
        <f t="shared" si="15"/>
        <v>1</v>
      </c>
      <c r="I181" t="str">
        <f t="shared" ca="1" si="16"/>
        <v>111</v>
      </c>
      <c r="J181" t="str">
        <f t="shared" ca="1" si="17"/>
        <v>At Risk</v>
      </c>
    </row>
    <row r="182" spans="1:10" x14ac:dyDescent="0.35">
      <c r="A182" t="s">
        <v>1968</v>
      </c>
      <c r="B182" s="2">
        <f>_xlfn.MAXIFS(clean_sales!P:P,clean_sales!C:C,RFM_Analysis!A182)</f>
        <v>45911</v>
      </c>
      <c r="C182">
        <f t="shared" ca="1" si="12"/>
        <v>117</v>
      </c>
      <c r="D182">
        <f>COUNTIFS(clean_sales!C:C,RFM_Analysis!A182)</f>
        <v>1</v>
      </c>
      <c r="E182">
        <f>SUMIFS(clean_sales!T:T,clean_sales!C:C,RFM_Analysis!A182)</f>
        <v>360000</v>
      </c>
      <c r="F182">
        <f t="shared" ca="1" si="13"/>
        <v>3</v>
      </c>
      <c r="G182">
        <f t="shared" si="14"/>
        <v>1</v>
      </c>
      <c r="H182">
        <f t="shared" si="15"/>
        <v>5</v>
      </c>
      <c r="I182" t="str">
        <f t="shared" ca="1" si="16"/>
        <v>315</v>
      </c>
      <c r="J182" t="str">
        <f t="shared" ca="1" si="17"/>
        <v>Regular</v>
      </c>
    </row>
    <row r="183" spans="1:10" x14ac:dyDescent="0.35">
      <c r="A183" t="s">
        <v>1969</v>
      </c>
      <c r="B183" s="2">
        <f>_xlfn.MAXIFS(clean_sales!P:P,clean_sales!C:C,RFM_Analysis!A183)</f>
        <v>45996</v>
      </c>
      <c r="C183">
        <f t="shared" ca="1" si="12"/>
        <v>32</v>
      </c>
      <c r="D183">
        <f>COUNTIFS(clean_sales!C:C,RFM_Analysis!A183)</f>
        <v>1</v>
      </c>
      <c r="E183">
        <f>SUMIFS(clean_sales!T:T,clean_sales!C:C,RFM_Analysis!A183)</f>
        <v>260000</v>
      </c>
      <c r="F183">
        <f t="shared" ca="1" si="13"/>
        <v>5</v>
      </c>
      <c r="G183">
        <f t="shared" si="14"/>
        <v>1</v>
      </c>
      <c r="H183">
        <f t="shared" si="15"/>
        <v>4</v>
      </c>
      <c r="I183" t="str">
        <f t="shared" ca="1" si="16"/>
        <v>514</v>
      </c>
      <c r="J183" t="str">
        <f t="shared" ca="1" si="17"/>
        <v>Regular</v>
      </c>
    </row>
    <row r="184" spans="1:10" x14ac:dyDescent="0.35">
      <c r="A184" t="s">
        <v>1970</v>
      </c>
      <c r="B184" s="2">
        <f>_xlfn.MAXIFS(clean_sales!P:P,clean_sales!C:C,RFM_Analysis!A184)</f>
        <v>45843</v>
      </c>
      <c r="C184">
        <f t="shared" ca="1" si="12"/>
        <v>185</v>
      </c>
      <c r="D184">
        <f>COUNTIFS(clean_sales!C:C,RFM_Analysis!A184)</f>
        <v>2</v>
      </c>
      <c r="E184">
        <f>SUMIFS(clean_sales!T:T,clean_sales!C:C,RFM_Analysis!A184)</f>
        <v>77000</v>
      </c>
      <c r="F184">
        <f t="shared" ca="1" si="13"/>
        <v>2</v>
      </c>
      <c r="G184">
        <f t="shared" si="14"/>
        <v>3</v>
      </c>
      <c r="H184">
        <f t="shared" si="15"/>
        <v>3</v>
      </c>
      <c r="I184" t="str">
        <f t="shared" ca="1" si="16"/>
        <v>233</v>
      </c>
      <c r="J184" t="str">
        <f t="shared" ca="1" si="17"/>
        <v>At Risk</v>
      </c>
    </row>
    <row r="185" spans="1:10" x14ac:dyDescent="0.35">
      <c r="A185" t="s">
        <v>1971</v>
      </c>
      <c r="B185" s="2">
        <f>_xlfn.MAXIFS(clean_sales!P:P,clean_sales!C:C,RFM_Analysis!A185)</f>
        <v>45801</v>
      </c>
      <c r="C185">
        <f t="shared" ca="1" si="12"/>
        <v>227</v>
      </c>
      <c r="D185">
        <f>COUNTIFS(clean_sales!C:C,RFM_Analysis!A185)</f>
        <v>2</v>
      </c>
      <c r="E185">
        <f>SUMIFS(clean_sales!T:T,clean_sales!C:C,RFM_Analysis!A185)</f>
        <v>179400</v>
      </c>
      <c r="F185">
        <f t="shared" ca="1" si="13"/>
        <v>2</v>
      </c>
      <c r="G185">
        <f t="shared" si="14"/>
        <v>3</v>
      </c>
      <c r="H185">
        <f t="shared" si="15"/>
        <v>4</v>
      </c>
      <c r="I185" t="str">
        <f t="shared" ca="1" si="16"/>
        <v>234</v>
      </c>
      <c r="J185" t="str">
        <f t="shared" ca="1" si="17"/>
        <v>At Risk</v>
      </c>
    </row>
    <row r="186" spans="1:10" x14ac:dyDescent="0.35">
      <c r="A186" t="s">
        <v>1972</v>
      </c>
      <c r="B186" s="2">
        <f>_xlfn.MAXIFS(clean_sales!P:P,clean_sales!C:C,RFM_Analysis!A186)</f>
        <v>46001</v>
      </c>
      <c r="C186">
        <f t="shared" ca="1" si="12"/>
        <v>27</v>
      </c>
      <c r="D186">
        <f>COUNTIFS(clean_sales!C:C,RFM_Analysis!A186)</f>
        <v>3</v>
      </c>
      <c r="E186">
        <f>SUMIFS(clean_sales!T:T,clean_sales!C:C,RFM_Analysis!A186)</f>
        <v>159400</v>
      </c>
      <c r="F186">
        <f t="shared" ca="1" si="13"/>
        <v>5</v>
      </c>
      <c r="G186">
        <f t="shared" si="14"/>
        <v>5</v>
      </c>
      <c r="H186">
        <f t="shared" si="15"/>
        <v>3</v>
      </c>
      <c r="I186" t="str">
        <f t="shared" ca="1" si="16"/>
        <v>553</v>
      </c>
      <c r="J186" t="str">
        <f t="shared" ca="1" si="17"/>
        <v>Loyal</v>
      </c>
    </row>
    <row r="187" spans="1:10" x14ac:dyDescent="0.35">
      <c r="A187" t="s">
        <v>1973</v>
      </c>
      <c r="B187" s="2">
        <f>_xlfn.MAXIFS(clean_sales!P:P,clean_sales!C:C,RFM_Analysis!A187)</f>
        <v>45920</v>
      </c>
      <c r="C187">
        <f t="shared" ca="1" si="12"/>
        <v>108</v>
      </c>
      <c r="D187">
        <f>COUNTIFS(clean_sales!C:C,RFM_Analysis!A187)</f>
        <v>1</v>
      </c>
      <c r="E187">
        <f>SUMIFS(clean_sales!T:T,clean_sales!C:C,RFM_Analysis!A187)</f>
        <v>9000</v>
      </c>
      <c r="F187">
        <f t="shared" ca="1" si="13"/>
        <v>4</v>
      </c>
      <c r="G187">
        <f t="shared" si="14"/>
        <v>1</v>
      </c>
      <c r="H187">
        <f t="shared" si="15"/>
        <v>1</v>
      </c>
      <c r="I187" t="str">
        <f t="shared" ca="1" si="16"/>
        <v>411</v>
      </c>
      <c r="J187" t="str">
        <f t="shared" ca="1" si="17"/>
        <v>Regular</v>
      </c>
    </row>
    <row r="188" spans="1:10" x14ac:dyDescent="0.35">
      <c r="A188" t="s">
        <v>1974</v>
      </c>
      <c r="B188" s="2">
        <f>_xlfn.MAXIFS(clean_sales!P:P,clean_sales!C:C,RFM_Analysis!A188)</f>
        <v>45933</v>
      </c>
      <c r="C188">
        <f t="shared" ca="1" si="12"/>
        <v>95</v>
      </c>
      <c r="D188">
        <f>COUNTIFS(clean_sales!C:C,RFM_Analysis!A188)</f>
        <v>2</v>
      </c>
      <c r="E188">
        <f>SUMIFS(clean_sales!T:T,clean_sales!C:C,RFM_Analysis!A188)</f>
        <v>370000</v>
      </c>
      <c r="F188">
        <f t="shared" ca="1" si="13"/>
        <v>4</v>
      </c>
      <c r="G188">
        <f t="shared" si="14"/>
        <v>3</v>
      </c>
      <c r="H188">
        <f t="shared" si="15"/>
        <v>5</v>
      </c>
      <c r="I188" t="str">
        <f t="shared" ca="1" si="16"/>
        <v>435</v>
      </c>
      <c r="J188" t="str">
        <f t="shared" ca="1" si="17"/>
        <v>Regular</v>
      </c>
    </row>
    <row r="189" spans="1:10" x14ac:dyDescent="0.35">
      <c r="A189" t="s">
        <v>1975</v>
      </c>
      <c r="B189" s="2">
        <f>_xlfn.MAXIFS(clean_sales!P:P,clean_sales!C:C,RFM_Analysis!A189)</f>
        <v>45927</v>
      </c>
      <c r="C189">
        <f t="shared" ca="1" si="12"/>
        <v>101</v>
      </c>
      <c r="D189">
        <f>COUNTIFS(clean_sales!C:C,RFM_Analysis!A189)</f>
        <v>1</v>
      </c>
      <c r="E189">
        <f>SUMIFS(clean_sales!T:T,clean_sales!C:C,RFM_Analysis!A189)</f>
        <v>25000</v>
      </c>
      <c r="F189">
        <f t="shared" ca="1" si="13"/>
        <v>4</v>
      </c>
      <c r="G189">
        <f t="shared" si="14"/>
        <v>1</v>
      </c>
      <c r="H189">
        <f t="shared" si="15"/>
        <v>2</v>
      </c>
      <c r="I189" t="str">
        <f t="shared" ca="1" si="16"/>
        <v>412</v>
      </c>
      <c r="J189" t="str">
        <f t="shared" ca="1" si="17"/>
        <v>Regular</v>
      </c>
    </row>
    <row r="190" spans="1:10" x14ac:dyDescent="0.35">
      <c r="A190" t="s">
        <v>1976</v>
      </c>
      <c r="B190" s="2">
        <f>_xlfn.MAXIFS(clean_sales!P:P,clean_sales!C:C,RFM_Analysis!A190)</f>
        <v>45868</v>
      </c>
      <c r="C190">
        <f t="shared" ca="1" si="12"/>
        <v>160</v>
      </c>
      <c r="D190">
        <f>COUNTIFS(clean_sales!C:C,RFM_Analysis!A190)</f>
        <v>3</v>
      </c>
      <c r="E190">
        <f>SUMIFS(clean_sales!T:T,clean_sales!C:C,RFM_Analysis!A190)</f>
        <v>70800</v>
      </c>
      <c r="F190">
        <f t="shared" ca="1" si="13"/>
        <v>3</v>
      </c>
      <c r="G190">
        <f t="shared" si="14"/>
        <v>5</v>
      </c>
      <c r="H190">
        <f t="shared" si="15"/>
        <v>3</v>
      </c>
      <c r="I190" t="str">
        <f t="shared" ca="1" si="16"/>
        <v>353</v>
      </c>
      <c r="J190" t="str">
        <f t="shared" ca="1" si="17"/>
        <v>Regular</v>
      </c>
    </row>
    <row r="191" spans="1:10" x14ac:dyDescent="0.35">
      <c r="A191" t="s">
        <v>1977</v>
      </c>
      <c r="B191" s="2">
        <f>_xlfn.MAXIFS(clean_sales!P:P,clean_sales!C:C,RFM_Analysis!A191)</f>
        <v>45902</v>
      </c>
      <c r="C191">
        <f t="shared" ca="1" si="12"/>
        <v>126</v>
      </c>
      <c r="D191">
        <f>COUNTIFS(clean_sales!C:C,RFM_Analysis!A191)</f>
        <v>2</v>
      </c>
      <c r="E191">
        <f>SUMIFS(clean_sales!T:T,clean_sales!C:C,RFM_Analysis!A191)</f>
        <v>142000</v>
      </c>
      <c r="F191">
        <f t="shared" ca="1" si="13"/>
        <v>3</v>
      </c>
      <c r="G191">
        <f t="shared" si="14"/>
        <v>3</v>
      </c>
      <c r="H191">
        <f t="shared" si="15"/>
        <v>3</v>
      </c>
      <c r="I191" t="str">
        <f t="shared" ca="1" si="16"/>
        <v>333</v>
      </c>
      <c r="J191" t="str">
        <f t="shared" ca="1" si="17"/>
        <v>Regular</v>
      </c>
    </row>
    <row r="192" spans="1:10" x14ac:dyDescent="0.35">
      <c r="A192" t="s">
        <v>1978</v>
      </c>
      <c r="B192" s="2">
        <f>_xlfn.MAXIFS(clean_sales!P:P,clean_sales!C:C,RFM_Analysis!A192)</f>
        <v>45924</v>
      </c>
      <c r="C192">
        <f t="shared" ca="1" si="12"/>
        <v>104</v>
      </c>
      <c r="D192">
        <f>COUNTIFS(clean_sales!C:C,RFM_Analysis!A192)</f>
        <v>1</v>
      </c>
      <c r="E192">
        <f>SUMIFS(clean_sales!T:T,clean_sales!C:C,RFM_Analysis!A192)</f>
        <v>3600</v>
      </c>
      <c r="F192">
        <f t="shared" ca="1" si="13"/>
        <v>4</v>
      </c>
      <c r="G192">
        <f t="shared" si="14"/>
        <v>1</v>
      </c>
      <c r="H192">
        <f t="shared" si="15"/>
        <v>1</v>
      </c>
      <c r="I192" t="str">
        <f t="shared" ca="1" si="16"/>
        <v>411</v>
      </c>
      <c r="J192" t="str">
        <f t="shared" ca="1" si="17"/>
        <v>Regular</v>
      </c>
    </row>
    <row r="193" spans="1:10" x14ac:dyDescent="0.35">
      <c r="A193" t="s">
        <v>1979</v>
      </c>
      <c r="B193" s="2">
        <f>_xlfn.MAXIFS(clean_sales!P:P,clean_sales!C:C,RFM_Analysis!A193)</f>
        <v>45827</v>
      </c>
      <c r="C193">
        <f t="shared" ca="1" si="12"/>
        <v>201</v>
      </c>
      <c r="D193">
        <f>COUNTIFS(clean_sales!C:C,RFM_Analysis!A193)</f>
        <v>1</v>
      </c>
      <c r="E193">
        <f>SUMIFS(clean_sales!T:T,clean_sales!C:C,RFM_Analysis!A193)</f>
        <v>22500</v>
      </c>
      <c r="F193">
        <f t="shared" ca="1" si="13"/>
        <v>2</v>
      </c>
      <c r="G193">
        <f t="shared" si="14"/>
        <v>1</v>
      </c>
      <c r="H193">
        <f t="shared" si="15"/>
        <v>2</v>
      </c>
      <c r="I193" t="str">
        <f t="shared" ca="1" si="16"/>
        <v>212</v>
      </c>
      <c r="J193" t="str">
        <f t="shared" ca="1" si="17"/>
        <v>At Risk</v>
      </c>
    </row>
    <row r="194" spans="1:10" x14ac:dyDescent="0.35">
      <c r="A194" t="s">
        <v>1980</v>
      </c>
      <c r="B194" s="2">
        <f>_xlfn.MAXIFS(clean_sales!P:P,clean_sales!C:C,RFM_Analysis!A194)</f>
        <v>45905</v>
      </c>
      <c r="C194">
        <f t="shared" ca="1" si="12"/>
        <v>123</v>
      </c>
      <c r="D194">
        <f>COUNTIFS(clean_sales!C:C,RFM_Analysis!A194)</f>
        <v>2</v>
      </c>
      <c r="E194">
        <f>SUMIFS(clean_sales!T:T,clean_sales!C:C,RFM_Analysis!A194)</f>
        <v>70000</v>
      </c>
      <c r="F194">
        <f t="shared" ca="1" si="13"/>
        <v>3</v>
      </c>
      <c r="G194">
        <f t="shared" si="14"/>
        <v>3</v>
      </c>
      <c r="H194">
        <f t="shared" si="15"/>
        <v>3</v>
      </c>
      <c r="I194" t="str">
        <f t="shared" ca="1" si="16"/>
        <v>333</v>
      </c>
      <c r="J194" t="str">
        <f t="shared" ca="1" si="17"/>
        <v>Regular</v>
      </c>
    </row>
    <row r="195" spans="1:10" x14ac:dyDescent="0.35">
      <c r="A195" t="s">
        <v>1981</v>
      </c>
      <c r="B195" s="2">
        <f>_xlfn.MAXIFS(clean_sales!P:P,clean_sales!C:C,RFM_Analysis!A195)</f>
        <v>46019</v>
      </c>
      <c r="C195">
        <f t="shared" ref="C195:C258" ca="1" si="18">TODAY()-B195</f>
        <v>9</v>
      </c>
      <c r="D195">
        <f>COUNTIFS(clean_sales!C:C,RFM_Analysis!A195)</f>
        <v>3</v>
      </c>
      <c r="E195">
        <f>SUMIFS(clean_sales!T:T,clean_sales!C:C,RFM_Analysis!A195)</f>
        <v>345000</v>
      </c>
      <c r="F195">
        <f t="shared" ref="F195:F258" ca="1" si="19">IF(C195&lt;=PERCENTILE($C:$C,0.2),5,
IF(C195&lt;=PERCENTILE($C:$C,0.4),4,
IF(C195&lt;=PERCENTILE($C:$C,0.6),3,
IF(C195&lt;=PERCENTILE($C:$C,0.8),2,1))))</f>
        <v>5</v>
      </c>
      <c r="G195">
        <f t="shared" ref="G195:G258" si="20">IF(D195&lt;=PERCENTILE($D:$D,0.2),1,
IF(D195&lt;=PERCENTILE($D:$D,0.4),2,
IF(D195&lt;=PERCENTILE($D:$D,0.6),3,
IF(D195&lt;=PERCENTILE($D:$D,0.8),4,5))))</f>
        <v>5</v>
      </c>
      <c r="H195">
        <f t="shared" ref="H195:H258" si="21">IF(E195&lt;=PERCENTILE($E:$E,0.2),1,
IF(E195&lt;=PERCENTILE($E:$E,0.4),2,
IF(E195&lt;=PERCENTILE($E:$E,0.6),3,
IF(E195&lt;=PERCENTILE($E:$E,0.8),4,5))))</f>
        <v>5</v>
      </c>
      <c r="I195" t="str">
        <f t="shared" ref="I195:I258" ca="1" si="22">F195&amp;G195&amp;H195</f>
        <v>555</v>
      </c>
      <c r="J195" t="str">
        <f t="shared" ref="J195:J258" ca="1" si="23">IF(I195="555","Champions",
IF(AND(F195&gt;=4,G195&gt;=4),"Loyal",
IF(F195&lt;=2,"At Risk","Regular")))</f>
        <v>Champions</v>
      </c>
    </row>
    <row r="196" spans="1:10" x14ac:dyDescent="0.35">
      <c r="A196" t="s">
        <v>1982</v>
      </c>
      <c r="B196" s="2">
        <f>_xlfn.MAXIFS(clean_sales!P:P,clean_sales!C:C,RFM_Analysis!A196)</f>
        <v>45727</v>
      </c>
      <c r="C196">
        <f t="shared" ca="1" si="18"/>
        <v>301</v>
      </c>
      <c r="D196">
        <f>COUNTIFS(clean_sales!C:C,RFM_Analysis!A196)</f>
        <v>1</v>
      </c>
      <c r="E196">
        <f>SUMIFS(clean_sales!T:T,clean_sales!C:C,RFM_Analysis!A196)</f>
        <v>58000</v>
      </c>
      <c r="F196">
        <f t="shared" ca="1" si="19"/>
        <v>1</v>
      </c>
      <c r="G196">
        <f t="shared" si="20"/>
        <v>1</v>
      </c>
      <c r="H196">
        <f t="shared" si="21"/>
        <v>2</v>
      </c>
      <c r="I196" t="str">
        <f t="shared" ca="1" si="22"/>
        <v>112</v>
      </c>
      <c r="J196" t="str">
        <f t="shared" ca="1" si="23"/>
        <v>At Risk</v>
      </c>
    </row>
    <row r="197" spans="1:10" x14ac:dyDescent="0.35">
      <c r="A197" t="s">
        <v>1983</v>
      </c>
      <c r="B197" s="2">
        <f>_xlfn.MAXIFS(clean_sales!P:P,clean_sales!C:C,RFM_Analysis!A197)</f>
        <v>45914</v>
      </c>
      <c r="C197">
        <f t="shared" ca="1" si="18"/>
        <v>114</v>
      </c>
      <c r="D197">
        <f>COUNTIFS(clean_sales!C:C,RFM_Analysis!A197)</f>
        <v>2</v>
      </c>
      <c r="E197">
        <f>SUMIFS(clean_sales!T:T,clean_sales!C:C,RFM_Analysis!A197)</f>
        <v>200000</v>
      </c>
      <c r="F197">
        <f t="shared" ca="1" si="19"/>
        <v>3</v>
      </c>
      <c r="G197">
        <f t="shared" si="20"/>
        <v>3</v>
      </c>
      <c r="H197">
        <f t="shared" si="21"/>
        <v>4</v>
      </c>
      <c r="I197" t="str">
        <f t="shared" ca="1" si="22"/>
        <v>334</v>
      </c>
      <c r="J197" t="str">
        <f t="shared" ca="1" si="23"/>
        <v>Regular</v>
      </c>
    </row>
    <row r="198" spans="1:10" x14ac:dyDescent="0.35">
      <c r="A198" t="s">
        <v>1984</v>
      </c>
      <c r="B198" s="2">
        <f>_xlfn.MAXIFS(clean_sales!P:P,clean_sales!C:C,RFM_Analysis!A198)</f>
        <v>45972</v>
      </c>
      <c r="C198">
        <f t="shared" ca="1" si="18"/>
        <v>56</v>
      </c>
      <c r="D198">
        <f>COUNTIFS(clean_sales!C:C,RFM_Analysis!A198)</f>
        <v>2</v>
      </c>
      <c r="E198">
        <f>SUMIFS(clean_sales!T:T,clean_sales!C:C,RFM_Analysis!A198)</f>
        <v>648000</v>
      </c>
      <c r="F198">
        <f t="shared" ca="1" si="19"/>
        <v>4</v>
      </c>
      <c r="G198">
        <f t="shared" si="20"/>
        <v>3</v>
      </c>
      <c r="H198">
        <f t="shared" si="21"/>
        <v>5</v>
      </c>
      <c r="I198" t="str">
        <f t="shared" ca="1" si="22"/>
        <v>435</v>
      </c>
      <c r="J198" t="str">
        <f t="shared" ca="1" si="23"/>
        <v>Regular</v>
      </c>
    </row>
    <row r="199" spans="1:10" x14ac:dyDescent="0.35">
      <c r="A199" t="s">
        <v>1985</v>
      </c>
      <c r="B199" s="2">
        <f>_xlfn.MAXIFS(clean_sales!P:P,clean_sales!C:C,RFM_Analysis!A199)</f>
        <v>45704</v>
      </c>
      <c r="C199">
        <f t="shared" ca="1" si="18"/>
        <v>324</v>
      </c>
      <c r="D199">
        <f>COUNTIFS(clean_sales!C:C,RFM_Analysis!A199)</f>
        <v>1</v>
      </c>
      <c r="E199">
        <f>SUMIFS(clean_sales!T:T,clean_sales!C:C,RFM_Analysis!A199)</f>
        <v>20000</v>
      </c>
      <c r="F199">
        <f t="shared" ca="1" si="19"/>
        <v>1</v>
      </c>
      <c r="G199">
        <f t="shared" si="20"/>
        <v>1</v>
      </c>
      <c r="H199">
        <f t="shared" si="21"/>
        <v>2</v>
      </c>
      <c r="I199" t="str">
        <f t="shared" ca="1" si="22"/>
        <v>112</v>
      </c>
      <c r="J199" t="str">
        <f t="shared" ca="1" si="23"/>
        <v>At Risk</v>
      </c>
    </row>
    <row r="200" spans="1:10" x14ac:dyDescent="0.35">
      <c r="A200" t="s">
        <v>1986</v>
      </c>
      <c r="B200" s="2">
        <f>_xlfn.MAXIFS(clean_sales!P:P,clean_sales!C:C,RFM_Analysis!A200)</f>
        <v>45979</v>
      </c>
      <c r="C200">
        <f t="shared" ca="1" si="18"/>
        <v>49</v>
      </c>
      <c r="D200">
        <f>COUNTIFS(clean_sales!C:C,RFM_Analysis!A200)</f>
        <v>1</v>
      </c>
      <c r="E200">
        <f>SUMIFS(clean_sales!T:T,clean_sales!C:C,RFM_Analysis!A200)</f>
        <v>13500</v>
      </c>
      <c r="F200">
        <f t="shared" ca="1" si="19"/>
        <v>4</v>
      </c>
      <c r="G200">
        <f t="shared" si="20"/>
        <v>1</v>
      </c>
      <c r="H200">
        <f t="shared" si="21"/>
        <v>1</v>
      </c>
      <c r="I200" t="str">
        <f t="shared" ca="1" si="22"/>
        <v>411</v>
      </c>
      <c r="J200" t="str">
        <f t="shared" ca="1" si="23"/>
        <v>Regular</v>
      </c>
    </row>
    <row r="201" spans="1:10" x14ac:dyDescent="0.35">
      <c r="A201" t="s">
        <v>1987</v>
      </c>
      <c r="B201" s="2">
        <f>_xlfn.MAXIFS(clean_sales!P:P,clean_sales!C:C,RFM_Analysis!A201)</f>
        <v>45730</v>
      </c>
      <c r="C201">
        <f t="shared" ca="1" si="18"/>
        <v>298</v>
      </c>
      <c r="D201">
        <f>COUNTIFS(clean_sales!C:C,RFM_Analysis!A201)</f>
        <v>1</v>
      </c>
      <c r="E201">
        <f>SUMIFS(clean_sales!T:T,clean_sales!C:C,RFM_Analysis!A201)</f>
        <v>7200</v>
      </c>
      <c r="F201">
        <f t="shared" ca="1" si="19"/>
        <v>1</v>
      </c>
      <c r="G201">
        <f t="shared" si="20"/>
        <v>1</v>
      </c>
      <c r="H201">
        <f t="shared" si="21"/>
        <v>1</v>
      </c>
      <c r="I201" t="str">
        <f t="shared" ca="1" si="22"/>
        <v>111</v>
      </c>
      <c r="J201" t="str">
        <f t="shared" ca="1" si="23"/>
        <v>At Risk</v>
      </c>
    </row>
    <row r="202" spans="1:10" x14ac:dyDescent="0.35">
      <c r="A202" t="s">
        <v>1988</v>
      </c>
      <c r="B202" s="2">
        <f>_xlfn.MAXIFS(clean_sales!P:P,clean_sales!C:C,RFM_Analysis!A202)</f>
        <v>46014</v>
      </c>
      <c r="C202">
        <f t="shared" ca="1" si="18"/>
        <v>14</v>
      </c>
      <c r="D202">
        <f>COUNTIFS(clean_sales!C:C,RFM_Analysis!A202)</f>
        <v>3</v>
      </c>
      <c r="E202">
        <f>SUMIFS(clean_sales!T:T,clean_sales!C:C,RFM_Analysis!A202)</f>
        <v>729000</v>
      </c>
      <c r="F202">
        <f t="shared" ca="1" si="19"/>
        <v>5</v>
      </c>
      <c r="G202">
        <f t="shared" si="20"/>
        <v>5</v>
      </c>
      <c r="H202">
        <f t="shared" si="21"/>
        <v>5</v>
      </c>
      <c r="I202" t="str">
        <f t="shared" ca="1" si="22"/>
        <v>555</v>
      </c>
      <c r="J202" t="str">
        <f t="shared" ca="1" si="23"/>
        <v>Champions</v>
      </c>
    </row>
    <row r="203" spans="1:10" x14ac:dyDescent="0.35">
      <c r="A203" t="s">
        <v>1989</v>
      </c>
      <c r="B203" s="2">
        <f>_xlfn.MAXIFS(clean_sales!P:P,clean_sales!C:C,RFM_Analysis!A203)</f>
        <v>45951</v>
      </c>
      <c r="C203">
        <f t="shared" ca="1" si="18"/>
        <v>77</v>
      </c>
      <c r="D203">
        <f>COUNTIFS(clean_sales!C:C,RFM_Analysis!A203)</f>
        <v>1</v>
      </c>
      <c r="E203">
        <f>SUMIFS(clean_sales!T:T,clean_sales!C:C,RFM_Analysis!A203)</f>
        <v>36000</v>
      </c>
      <c r="F203">
        <f t="shared" ca="1" si="19"/>
        <v>4</v>
      </c>
      <c r="G203">
        <f t="shared" si="20"/>
        <v>1</v>
      </c>
      <c r="H203">
        <f t="shared" si="21"/>
        <v>2</v>
      </c>
      <c r="I203" t="str">
        <f t="shared" ca="1" si="22"/>
        <v>412</v>
      </c>
      <c r="J203" t="str">
        <f t="shared" ca="1" si="23"/>
        <v>Regular</v>
      </c>
    </row>
    <row r="204" spans="1:10" x14ac:dyDescent="0.35">
      <c r="A204" t="s">
        <v>1990</v>
      </c>
      <c r="B204" s="2">
        <f>_xlfn.MAXIFS(clean_sales!P:P,clean_sales!C:C,RFM_Analysis!A204)</f>
        <v>45786</v>
      </c>
      <c r="C204">
        <f t="shared" ca="1" si="18"/>
        <v>242</v>
      </c>
      <c r="D204">
        <f>COUNTIFS(clean_sales!C:C,RFM_Analysis!A204)</f>
        <v>1</v>
      </c>
      <c r="E204">
        <f>SUMIFS(clean_sales!T:T,clean_sales!C:C,RFM_Analysis!A204)</f>
        <v>12000</v>
      </c>
      <c r="F204">
        <f t="shared" ca="1" si="19"/>
        <v>1</v>
      </c>
      <c r="G204">
        <f t="shared" si="20"/>
        <v>1</v>
      </c>
      <c r="H204">
        <f t="shared" si="21"/>
        <v>1</v>
      </c>
      <c r="I204" t="str">
        <f t="shared" ca="1" si="22"/>
        <v>111</v>
      </c>
      <c r="J204" t="str">
        <f t="shared" ca="1" si="23"/>
        <v>At Risk</v>
      </c>
    </row>
    <row r="205" spans="1:10" x14ac:dyDescent="0.35">
      <c r="A205" t="s">
        <v>1991</v>
      </c>
      <c r="B205" s="2">
        <f>_xlfn.MAXIFS(clean_sales!P:P,clean_sales!C:C,RFM_Analysis!A205)</f>
        <v>45837</v>
      </c>
      <c r="C205">
        <f t="shared" ca="1" si="18"/>
        <v>191</v>
      </c>
      <c r="D205">
        <f>COUNTIFS(clean_sales!C:C,RFM_Analysis!A205)</f>
        <v>2</v>
      </c>
      <c r="E205">
        <f>SUMIFS(clean_sales!T:T,clean_sales!C:C,RFM_Analysis!A205)</f>
        <v>289800</v>
      </c>
      <c r="F205">
        <f t="shared" ca="1" si="19"/>
        <v>2</v>
      </c>
      <c r="G205">
        <f t="shared" si="20"/>
        <v>3</v>
      </c>
      <c r="H205">
        <f t="shared" si="21"/>
        <v>4</v>
      </c>
      <c r="I205" t="str">
        <f t="shared" ca="1" si="22"/>
        <v>234</v>
      </c>
      <c r="J205" t="str">
        <f t="shared" ca="1" si="23"/>
        <v>At Risk</v>
      </c>
    </row>
    <row r="206" spans="1:10" x14ac:dyDescent="0.35">
      <c r="A206" t="s">
        <v>1992</v>
      </c>
      <c r="B206" s="2">
        <f>_xlfn.MAXIFS(clean_sales!P:P,clean_sales!C:C,RFM_Analysis!A206)</f>
        <v>45924</v>
      </c>
      <c r="C206">
        <f t="shared" ca="1" si="18"/>
        <v>104</v>
      </c>
      <c r="D206">
        <f>COUNTIFS(clean_sales!C:C,RFM_Analysis!A206)</f>
        <v>3</v>
      </c>
      <c r="E206">
        <f>SUMIFS(clean_sales!T:T,clean_sales!C:C,RFM_Analysis!A206)</f>
        <v>324000</v>
      </c>
      <c r="F206">
        <f t="shared" ca="1" si="19"/>
        <v>4</v>
      </c>
      <c r="G206">
        <f t="shared" si="20"/>
        <v>5</v>
      </c>
      <c r="H206">
        <f t="shared" si="21"/>
        <v>5</v>
      </c>
      <c r="I206" t="str">
        <f t="shared" ca="1" si="22"/>
        <v>455</v>
      </c>
      <c r="J206" t="str">
        <f t="shared" ca="1" si="23"/>
        <v>Loyal</v>
      </c>
    </row>
    <row r="207" spans="1:10" x14ac:dyDescent="0.35">
      <c r="A207" t="s">
        <v>1993</v>
      </c>
      <c r="B207" s="2">
        <f>_xlfn.MAXIFS(clean_sales!P:P,clean_sales!C:C,RFM_Analysis!A207)</f>
        <v>45870</v>
      </c>
      <c r="C207">
        <f t="shared" ca="1" si="18"/>
        <v>158</v>
      </c>
      <c r="D207">
        <f>COUNTIFS(clean_sales!C:C,RFM_Analysis!A207)</f>
        <v>2</v>
      </c>
      <c r="E207">
        <f>SUMIFS(clean_sales!T:T,clean_sales!C:C,RFM_Analysis!A207)</f>
        <v>27600</v>
      </c>
      <c r="F207">
        <f t="shared" ca="1" si="19"/>
        <v>3</v>
      </c>
      <c r="G207">
        <f t="shared" si="20"/>
        <v>3</v>
      </c>
      <c r="H207">
        <f t="shared" si="21"/>
        <v>2</v>
      </c>
      <c r="I207" t="str">
        <f t="shared" ca="1" si="22"/>
        <v>332</v>
      </c>
      <c r="J207" t="str">
        <f t="shared" ca="1" si="23"/>
        <v>Regular</v>
      </c>
    </row>
    <row r="208" spans="1:10" x14ac:dyDescent="0.35">
      <c r="A208" t="s">
        <v>1994</v>
      </c>
      <c r="B208" s="2">
        <f>_xlfn.MAXIFS(clean_sales!P:P,clean_sales!C:C,RFM_Analysis!A208)</f>
        <v>45963</v>
      </c>
      <c r="C208">
        <f t="shared" ca="1" si="18"/>
        <v>65</v>
      </c>
      <c r="D208">
        <f>COUNTIFS(clean_sales!C:C,RFM_Analysis!A208)</f>
        <v>2</v>
      </c>
      <c r="E208">
        <f>SUMIFS(clean_sales!T:T,clean_sales!C:C,RFM_Analysis!A208)</f>
        <v>83000</v>
      </c>
      <c r="F208">
        <f t="shared" ca="1" si="19"/>
        <v>4</v>
      </c>
      <c r="G208">
        <f t="shared" si="20"/>
        <v>3</v>
      </c>
      <c r="H208">
        <f t="shared" si="21"/>
        <v>3</v>
      </c>
      <c r="I208" t="str">
        <f t="shared" ca="1" si="22"/>
        <v>433</v>
      </c>
      <c r="J208" t="str">
        <f t="shared" ca="1" si="23"/>
        <v>Regular</v>
      </c>
    </row>
    <row r="209" spans="1:10" x14ac:dyDescent="0.35">
      <c r="A209" t="s">
        <v>1995</v>
      </c>
      <c r="B209" s="2">
        <f>_xlfn.MAXIFS(clean_sales!P:P,clean_sales!C:C,RFM_Analysis!A209)</f>
        <v>45919</v>
      </c>
      <c r="C209">
        <f t="shared" ca="1" si="18"/>
        <v>109</v>
      </c>
      <c r="D209">
        <f>COUNTIFS(clean_sales!C:C,RFM_Analysis!A209)</f>
        <v>2</v>
      </c>
      <c r="E209">
        <f>SUMIFS(clean_sales!T:T,clean_sales!C:C,RFM_Analysis!A209)</f>
        <v>19000</v>
      </c>
      <c r="F209">
        <f t="shared" ca="1" si="19"/>
        <v>3</v>
      </c>
      <c r="G209">
        <f t="shared" si="20"/>
        <v>3</v>
      </c>
      <c r="H209">
        <f t="shared" si="21"/>
        <v>2</v>
      </c>
      <c r="I209" t="str">
        <f t="shared" ca="1" si="22"/>
        <v>332</v>
      </c>
      <c r="J209" t="str">
        <f t="shared" ca="1" si="23"/>
        <v>Regular</v>
      </c>
    </row>
    <row r="210" spans="1:10" x14ac:dyDescent="0.35">
      <c r="A210" t="s">
        <v>1996</v>
      </c>
      <c r="B210" s="2">
        <f>_xlfn.MAXIFS(clean_sales!P:P,clean_sales!C:C,RFM_Analysis!A210)</f>
        <v>45784</v>
      </c>
      <c r="C210">
        <f t="shared" ca="1" si="18"/>
        <v>244</v>
      </c>
      <c r="D210">
        <f>COUNTIFS(clean_sales!C:C,RFM_Analysis!A210)</f>
        <v>3</v>
      </c>
      <c r="E210">
        <f>SUMIFS(clean_sales!T:T,clean_sales!C:C,RFM_Analysis!A210)</f>
        <v>125400</v>
      </c>
      <c r="F210">
        <f t="shared" ca="1" si="19"/>
        <v>1</v>
      </c>
      <c r="G210">
        <f t="shared" si="20"/>
        <v>5</v>
      </c>
      <c r="H210">
        <f t="shared" si="21"/>
        <v>3</v>
      </c>
      <c r="I210" t="str">
        <f t="shared" ca="1" si="22"/>
        <v>153</v>
      </c>
      <c r="J210" t="str">
        <f t="shared" ca="1" si="23"/>
        <v>At Risk</v>
      </c>
    </row>
    <row r="211" spans="1:10" x14ac:dyDescent="0.35">
      <c r="A211" t="s">
        <v>1997</v>
      </c>
      <c r="B211" s="2">
        <f>_xlfn.MAXIFS(clean_sales!P:P,clean_sales!C:C,RFM_Analysis!A211)</f>
        <v>45770</v>
      </c>
      <c r="C211">
        <f t="shared" ca="1" si="18"/>
        <v>258</v>
      </c>
      <c r="D211">
        <f>COUNTIFS(clean_sales!C:C,RFM_Analysis!A211)</f>
        <v>1</v>
      </c>
      <c r="E211">
        <f>SUMIFS(clean_sales!T:T,clean_sales!C:C,RFM_Analysis!A211)</f>
        <v>10000</v>
      </c>
      <c r="F211">
        <f t="shared" ca="1" si="19"/>
        <v>1</v>
      </c>
      <c r="G211">
        <f t="shared" si="20"/>
        <v>1</v>
      </c>
      <c r="H211">
        <f t="shared" si="21"/>
        <v>1</v>
      </c>
      <c r="I211" t="str">
        <f t="shared" ca="1" si="22"/>
        <v>111</v>
      </c>
      <c r="J211" t="str">
        <f t="shared" ca="1" si="23"/>
        <v>At Risk</v>
      </c>
    </row>
    <row r="212" spans="1:10" x14ac:dyDescent="0.35">
      <c r="A212" t="s">
        <v>1998</v>
      </c>
      <c r="B212" s="2">
        <f>_xlfn.MAXIFS(clean_sales!P:P,clean_sales!C:C,RFM_Analysis!A212)</f>
        <v>45940</v>
      </c>
      <c r="C212">
        <f t="shared" ca="1" si="18"/>
        <v>88</v>
      </c>
      <c r="D212">
        <f>COUNTIFS(clean_sales!C:C,RFM_Analysis!A212)</f>
        <v>4</v>
      </c>
      <c r="E212">
        <f>SUMIFS(clean_sales!T:T,clean_sales!C:C,RFM_Analysis!A212)</f>
        <v>232800</v>
      </c>
      <c r="F212">
        <f t="shared" ca="1" si="19"/>
        <v>4</v>
      </c>
      <c r="G212">
        <f t="shared" si="20"/>
        <v>5</v>
      </c>
      <c r="H212">
        <f t="shared" si="21"/>
        <v>4</v>
      </c>
      <c r="I212" t="str">
        <f t="shared" ca="1" si="22"/>
        <v>454</v>
      </c>
      <c r="J212" t="str">
        <f t="shared" ca="1" si="23"/>
        <v>Loyal</v>
      </c>
    </row>
    <row r="213" spans="1:10" x14ac:dyDescent="0.35">
      <c r="A213" t="s">
        <v>1999</v>
      </c>
      <c r="B213" s="2">
        <f>_xlfn.MAXIFS(clean_sales!P:P,clean_sales!C:C,RFM_Analysis!A213)</f>
        <v>45877</v>
      </c>
      <c r="C213">
        <f t="shared" ca="1" si="18"/>
        <v>151</v>
      </c>
      <c r="D213">
        <f>COUNTIFS(clean_sales!C:C,RFM_Analysis!A213)</f>
        <v>1</v>
      </c>
      <c r="E213">
        <f>SUMIFS(clean_sales!T:T,clean_sales!C:C,RFM_Analysis!A213)</f>
        <v>48000</v>
      </c>
      <c r="F213">
        <f t="shared" ca="1" si="19"/>
        <v>3</v>
      </c>
      <c r="G213">
        <f t="shared" si="20"/>
        <v>1</v>
      </c>
      <c r="H213">
        <f t="shared" si="21"/>
        <v>2</v>
      </c>
      <c r="I213" t="str">
        <f t="shared" ca="1" si="22"/>
        <v>312</v>
      </c>
      <c r="J213" t="str">
        <f t="shared" ca="1" si="23"/>
        <v>Regular</v>
      </c>
    </row>
    <row r="214" spans="1:10" x14ac:dyDescent="0.35">
      <c r="A214" t="s">
        <v>2000</v>
      </c>
      <c r="B214" s="2">
        <f>_xlfn.MAXIFS(clean_sales!P:P,clean_sales!C:C,RFM_Analysis!A214)</f>
        <v>45965</v>
      </c>
      <c r="C214">
        <f t="shared" ca="1" si="18"/>
        <v>63</v>
      </c>
      <c r="D214">
        <f>COUNTIFS(clean_sales!C:C,RFM_Analysis!A214)</f>
        <v>1</v>
      </c>
      <c r="E214">
        <f>SUMIFS(clean_sales!T:T,clean_sales!C:C,RFM_Analysis!A214)</f>
        <v>3600</v>
      </c>
      <c r="F214">
        <f t="shared" ca="1" si="19"/>
        <v>4</v>
      </c>
      <c r="G214">
        <f t="shared" si="20"/>
        <v>1</v>
      </c>
      <c r="H214">
        <f t="shared" si="21"/>
        <v>1</v>
      </c>
      <c r="I214" t="str">
        <f t="shared" ca="1" si="22"/>
        <v>411</v>
      </c>
      <c r="J214" t="str">
        <f t="shared" ca="1" si="23"/>
        <v>Regular</v>
      </c>
    </row>
    <row r="215" spans="1:10" x14ac:dyDescent="0.35">
      <c r="A215" t="s">
        <v>2001</v>
      </c>
      <c r="B215" s="2">
        <f>_xlfn.MAXIFS(clean_sales!P:P,clean_sales!C:C,RFM_Analysis!A215)</f>
        <v>45858</v>
      </c>
      <c r="C215">
        <f t="shared" ca="1" si="18"/>
        <v>170</v>
      </c>
      <c r="D215">
        <f>COUNTIFS(clean_sales!C:C,RFM_Analysis!A215)</f>
        <v>1</v>
      </c>
      <c r="E215">
        <f>SUMIFS(clean_sales!T:T,clean_sales!C:C,RFM_Analysis!A215)</f>
        <v>58000</v>
      </c>
      <c r="F215">
        <f t="shared" ca="1" si="19"/>
        <v>2</v>
      </c>
      <c r="G215">
        <f t="shared" si="20"/>
        <v>1</v>
      </c>
      <c r="H215">
        <f t="shared" si="21"/>
        <v>2</v>
      </c>
      <c r="I215" t="str">
        <f t="shared" ca="1" si="22"/>
        <v>212</v>
      </c>
      <c r="J215" t="str">
        <f t="shared" ca="1" si="23"/>
        <v>At Risk</v>
      </c>
    </row>
    <row r="216" spans="1:10" x14ac:dyDescent="0.35">
      <c r="A216" t="s">
        <v>2002</v>
      </c>
      <c r="B216" s="2">
        <f>_xlfn.MAXIFS(clean_sales!P:P,clean_sales!C:C,RFM_Analysis!A216)</f>
        <v>45674</v>
      </c>
      <c r="C216">
        <f t="shared" ca="1" si="18"/>
        <v>354</v>
      </c>
      <c r="D216">
        <f>COUNTIFS(clean_sales!C:C,RFM_Analysis!A216)</f>
        <v>1</v>
      </c>
      <c r="E216">
        <f>SUMIFS(clean_sales!T:T,clean_sales!C:C,RFM_Analysis!A216)</f>
        <v>7200</v>
      </c>
      <c r="F216">
        <f t="shared" ca="1" si="19"/>
        <v>1</v>
      </c>
      <c r="G216">
        <f t="shared" si="20"/>
        <v>1</v>
      </c>
      <c r="H216">
        <f t="shared" si="21"/>
        <v>1</v>
      </c>
      <c r="I216" t="str">
        <f t="shared" ca="1" si="22"/>
        <v>111</v>
      </c>
      <c r="J216" t="str">
        <f t="shared" ca="1" si="23"/>
        <v>At Risk</v>
      </c>
    </row>
    <row r="217" spans="1:10" x14ac:dyDescent="0.35">
      <c r="A217" t="s">
        <v>2003</v>
      </c>
      <c r="B217" s="2">
        <f>_xlfn.MAXIFS(clean_sales!P:P,clean_sales!C:C,RFM_Analysis!A217)</f>
        <v>45996</v>
      </c>
      <c r="C217">
        <f t="shared" ca="1" si="18"/>
        <v>32</v>
      </c>
      <c r="D217">
        <f>COUNTIFS(clean_sales!C:C,RFM_Analysis!A217)</f>
        <v>3</v>
      </c>
      <c r="E217">
        <f>SUMIFS(clean_sales!T:T,clean_sales!C:C,RFM_Analysis!A217)</f>
        <v>427200</v>
      </c>
      <c r="F217">
        <f t="shared" ca="1" si="19"/>
        <v>5</v>
      </c>
      <c r="G217">
        <f t="shared" si="20"/>
        <v>5</v>
      </c>
      <c r="H217">
        <f t="shared" si="21"/>
        <v>5</v>
      </c>
      <c r="I217" t="str">
        <f t="shared" ca="1" si="22"/>
        <v>555</v>
      </c>
      <c r="J217" t="str">
        <f t="shared" ca="1" si="23"/>
        <v>Champions</v>
      </c>
    </row>
    <row r="218" spans="1:10" x14ac:dyDescent="0.35">
      <c r="A218" t="s">
        <v>2004</v>
      </c>
      <c r="B218" s="2">
        <f>_xlfn.MAXIFS(clean_sales!P:P,clean_sales!C:C,RFM_Analysis!A218)</f>
        <v>45852</v>
      </c>
      <c r="C218">
        <f t="shared" ca="1" si="18"/>
        <v>176</v>
      </c>
      <c r="D218">
        <f>COUNTIFS(clean_sales!C:C,RFM_Analysis!A218)</f>
        <v>3</v>
      </c>
      <c r="E218">
        <f>SUMIFS(clean_sales!T:T,clean_sales!C:C,RFM_Analysis!A218)</f>
        <v>233400</v>
      </c>
      <c r="F218">
        <f t="shared" ca="1" si="19"/>
        <v>2</v>
      </c>
      <c r="G218">
        <f t="shared" si="20"/>
        <v>5</v>
      </c>
      <c r="H218">
        <f t="shared" si="21"/>
        <v>4</v>
      </c>
      <c r="I218" t="str">
        <f t="shared" ca="1" si="22"/>
        <v>254</v>
      </c>
      <c r="J218" t="str">
        <f t="shared" ca="1" si="23"/>
        <v>At Risk</v>
      </c>
    </row>
    <row r="219" spans="1:10" x14ac:dyDescent="0.35">
      <c r="A219" t="s">
        <v>2005</v>
      </c>
      <c r="B219" s="2">
        <f>_xlfn.MAXIFS(clean_sales!P:P,clean_sales!C:C,RFM_Analysis!A219)</f>
        <v>45909</v>
      </c>
      <c r="C219">
        <f t="shared" ca="1" si="18"/>
        <v>119</v>
      </c>
      <c r="D219">
        <f>COUNTIFS(clean_sales!C:C,RFM_Analysis!A219)</f>
        <v>1</v>
      </c>
      <c r="E219">
        <f>SUMIFS(clean_sales!T:T,clean_sales!C:C,RFM_Analysis!A219)</f>
        <v>5000</v>
      </c>
      <c r="F219">
        <f t="shared" ca="1" si="19"/>
        <v>3</v>
      </c>
      <c r="G219">
        <f t="shared" si="20"/>
        <v>1</v>
      </c>
      <c r="H219">
        <f t="shared" si="21"/>
        <v>1</v>
      </c>
      <c r="I219" t="str">
        <f t="shared" ca="1" si="22"/>
        <v>311</v>
      </c>
      <c r="J219" t="str">
        <f t="shared" ca="1" si="23"/>
        <v>Regular</v>
      </c>
    </row>
    <row r="220" spans="1:10" x14ac:dyDescent="0.35">
      <c r="A220" t="s">
        <v>2006</v>
      </c>
      <c r="B220" s="2">
        <f>_xlfn.MAXIFS(clean_sales!P:P,clean_sales!C:C,RFM_Analysis!A220)</f>
        <v>45888</v>
      </c>
      <c r="C220">
        <f t="shared" ca="1" si="18"/>
        <v>140</v>
      </c>
      <c r="D220">
        <f>COUNTIFS(clean_sales!C:C,RFM_Analysis!A220)</f>
        <v>1</v>
      </c>
      <c r="E220">
        <f>SUMIFS(clean_sales!T:T,clean_sales!C:C,RFM_Analysis!A220)</f>
        <v>9000</v>
      </c>
      <c r="F220">
        <f t="shared" ca="1" si="19"/>
        <v>3</v>
      </c>
      <c r="G220">
        <f t="shared" si="20"/>
        <v>1</v>
      </c>
      <c r="H220">
        <f t="shared" si="21"/>
        <v>1</v>
      </c>
      <c r="I220" t="str">
        <f t="shared" ca="1" si="22"/>
        <v>311</v>
      </c>
      <c r="J220" t="str">
        <f t="shared" ca="1" si="23"/>
        <v>Regular</v>
      </c>
    </row>
    <row r="221" spans="1:10" x14ac:dyDescent="0.35">
      <c r="A221" t="s">
        <v>2007</v>
      </c>
      <c r="B221" s="2">
        <f>_xlfn.MAXIFS(clean_sales!P:P,clean_sales!C:C,RFM_Analysis!A221)</f>
        <v>45717</v>
      </c>
      <c r="C221">
        <f t="shared" ca="1" si="18"/>
        <v>311</v>
      </c>
      <c r="D221">
        <f>COUNTIFS(clean_sales!C:C,RFM_Analysis!A221)</f>
        <v>1</v>
      </c>
      <c r="E221">
        <f>SUMIFS(clean_sales!T:T,clean_sales!C:C,RFM_Analysis!A221)</f>
        <v>15000</v>
      </c>
      <c r="F221">
        <f t="shared" ca="1" si="19"/>
        <v>1</v>
      </c>
      <c r="G221">
        <f t="shared" si="20"/>
        <v>1</v>
      </c>
      <c r="H221">
        <f t="shared" si="21"/>
        <v>1</v>
      </c>
      <c r="I221" t="str">
        <f t="shared" ca="1" si="22"/>
        <v>111</v>
      </c>
      <c r="J221" t="str">
        <f t="shared" ca="1" si="23"/>
        <v>At Risk</v>
      </c>
    </row>
    <row r="222" spans="1:10" x14ac:dyDescent="0.35">
      <c r="A222" t="s">
        <v>2008</v>
      </c>
      <c r="B222" s="2">
        <f>_xlfn.MAXIFS(clean_sales!P:P,clean_sales!C:C,RFM_Analysis!A222)</f>
        <v>45960</v>
      </c>
      <c r="C222">
        <f t="shared" ca="1" si="18"/>
        <v>68</v>
      </c>
      <c r="D222">
        <f>COUNTIFS(clean_sales!C:C,RFM_Analysis!A222)</f>
        <v>2</v>
      </c>
      <c r="E222">
        <f>SUMIFS(clean_sales!T:T,clean_sales!C:C,RFM_Analysis!A222)</f>
        <v>23000</v>
      </c>
      <c r="F222">
        <f t="shared" ca="1" si="19"/>
        <v>4</v>
      </c>
      <c r="G222">
        <f t="shared" si="20"/>
        <v>3</v>
      </c>
      <c r="H222">
        <f t="shared" si="21"/>
        <v>2</v>
      </c>
      <c r="I222" t="str">
        <f t="shared" ca="1" si="22"/>
        <v>432</v>
      </c>
      <c r="J222" t="str">
        <f t="shared" ca="1" si="23"/>
        <v>Regular</v>
      </c>
    </row>
    <row r="223" spans="1:10" x14ac:dyDescent="0.35">
      <c r="A223" t="s">
        <v>2009</v>
      </c>
      <c r="B223" s="2">
        <f>_xlfn.MAXIFS(clean_sales!P:P,clean_sales!C:C,RFM_Analysis!A223)</f>
        <v>45984</v>
      </c>
      <c r="C223">
        <f t="shared" ca="1" si="18"/>
        <v>44</v>
      </c>
      <c r="D223">
        <f>COUNTIFS(clean_sales!C:C,RFM_Analysis!A223)</f>
        <v>1</v>
      </c>
      <c r="E223">
        <f>SUMIFS(clean_sales!T:T,clean_sales!C:C,RFM_Analysis!A223)</f>
        <v>58000</v>
      </c>
      <c r="F223">
        <f t="shared" ca="1" si="19"/>
        <v>5</v>
      </c>
      <c r="G223">
        <f t="shared" si="20"/>
        <v>1</v>
      </c>
      <c r="H223">
        <f t="shared" si="21"/>
        <v>2</v>
      </c>
      <c r="I223" t="str">
        <f t="shared" ca="1" si="22"/>
        <v>512</v>
      </c>
      <c r="J223" t="str">
        <f t="shared" ca="1" si="23"/>
        <v>Regular</v>
      </c>
    </row>
    <row r="224" spans="1:10" x14ac:dyDescent="0.35">
      <c r="A224" t="s">
        <v>2010</v>
      </c>
      <c r="B224" s="2">
        <f>_xlfn.MAXIFS(clean_sales!P:P,clean_sales!C:C,RFM_Analysis!A224)</f>
        <v>45841</v>
      </c>
      <c r="C224">
        <f t="shared" ca="1" si="18"/>
        <v>187</v>
      </c>
      <c r="D224">
        <f>COUNTIFS(clean_sales!C:C,RFM_Analysis!A224)</f>
        <v>1</v>
      </c>
      <c r="E224">
        <f>SUMIFS(clean_sales!T:T,clean_sales!C:C,RFM_Analysis!A224)</f>
        <v>18000</v>
      </c>
      <c r="F224">
        <f t="shared" ca="1" si="19"/>
        <v>2</v>
      </c>
      <c r="G224">
        <f t="shared" si="20"/>
        <v>1</v>
      </c>
      <c r="H224">
        <f t="shared" si="21"/>
        <v>2</v>
      </c>
      <c r="I224" t="str">
        <f t="shared" ca="1" si="22"/>
        <v>212</v>
      </c>
      <c r="J224" t="str">
        <f t="shared" ca="1" si="23"/>
        <v>At Risk</v>
      </c>
    </row>
    <row r="225" spans="1:10" x14ac:dyDescent="0.35">
      <c r="A225" t="s">
        <v>2011</v>
      </c>
      <c r="B225" s="2">
        <f>_xlfn.MAXIFS(clean_sales!P:P,clean_sales!C:C,RFM_Analysis!A225)</f>
        <v>45946</v>
      </c>
      <c r="C225">
        <f t="shared" ca="1" si="18"/>
        <v>82</v>
      </c>
      <c r="D225">
        <f>COUNTIFS(clean_sales!C:C,RFM_Analysis!A225)</f>
        <v>2</v>
      </c>
      <c r="E225">
        <f>SUMIFS(clean_sales!T:T,clean_sales!C:C,RFM_Analysis!A225)</f>
        <v>176000</v>
      </c>
      <c r="F225">
        <f t="shared" ca="1" si="19"/>
        <v>4</v>
      </c>
      <c r="G225">
        <f t="shared" si="20"/>
        <v>3</v>
      </c>
      <c r="H225">
        <f t="shared" si="21"/>
        <v>4</v>
      </c>
      <c r="I225" t="str">
        <f t="shared" ca="1" si="22"/>
        <v>434</v>
      </c>
      <c r="J225" t="str">
        <f t="shared" ca="1" si="23"/>
        <v>Regular</v>
      </c>
    </row>
    <row r="226" spans="1:10" x14ac:dyDescent="0.35">
      <c r="A226" t="s">
        <v>2012</v>
      </c>
      <c r="B226" s="2">
        <f>_xlfn.MAXIFS(clean_sales!P:P,clean_sales!C:C,RFM_Analysis!A226)</f>
        <v>45861</v>
      </c>
      <c r="C226">
        <f t="shared" ca="1" si="18"/>
        <v>167</v>
      </c>
      <c r="D226">
        <f>COUNTIFS(clean_sales!C:C,RFM_Analysis!A226)</f>
        <v>4</v>
      </c>
      <c r="E226">
        <f>SUMIFS(clean_sales!T:T,clean_sales!C:C,RFM_Analysis!A226)</f>
        <v>328600</v>
      </c>
      <c r="F226">
        <f t="shared" ca="1" si="19"/>
        <v>3</v>
      </c>
      <c r="G226">
        <f t="shared" si="20"/>
        <v>5</v>
      </c>
      <c r="H226">
        <f t="shared" si="21"/>
        <v>5</v>
      </c>
      <c r="I226" t="str">
        <f t="shared" ca="1" si="22"/>
        <v>355</v>
      </c>
      <c r="J226" t="str">
        <f t="shared" ca="1" si="23"/>
        <v>Regular</v>
      </c>
    </row>
    <row r="227" spans="1:10" x14ac:dyDescent="0.35">
      <c r="A227" t="s">
        <v>2013</v>
      </c>
      <c r="B227" s="2">
        <f>_xlfn.MAXIFS(clean_sales!P:P,clean_sales!C:C,RFM_Analysis!A227)</f>
        <v>45984</v>
      </c>
      <c r="C227">
        <f t="shared" ca="1" si="18"/>
        <v>44</v>
      </c>
      <c r="D227">
        <f>COUNTIFS(clean_sales!C:C,RFM_Analysis!A227)</f>
        <v>2</v>
      </c>
      <c r="E227">
        <f>SUMIFS(clean_sales!T:T,clean_sales!C:C,RFM_Analysis!A227)</f>
        <v>81000</v>
      </c>
      <c r="F227">
        <f t="shared" ca="1" si="19"/>
        <v>5</v>
      </c>
      <c r="G227">
        <f t="shared" si="20"/>
        <v>3</v>
      </c>
      <c r="H227">
        <f t="shared" si="21"/>
        <v>3</v>
      </c>
      <c r="I227" t="str">
        <f t="shared" ca="1" si="22"/>
        <v>533</v>
      </c>
      <c r="J227" t="str">
        <f t="shared" ca="1" si="23"/>
        <v>Regular</v>
      </c>
    </row>
    <row r="228" spans="1:10" x14ac:dyDescent="0.35">
      <c r="A228" t="s">
        <v>2014</v>
      </c>
      <c r="B228" s="2">
        <f>_xlfn.MAXIFS(clean_sales!P:P,clean_sales!C:C,RFM_Analysis!A228)</f>
        <v>45736</v>
      </c>
      <c r="C228">
        <f t="shared" ca="1" si="18"/>
        <v>292</v>
      </c>
      <c r="D228">
        <f>COUNTIFS(clean_sales!C:C,RFM_Analysis!A228)</f>
        <v>1</v>
      </c>
      <c r="E228">
        <f>SUMIFS(clean_sales!T:T,clean_sales!C:C,RFM_Analysis!A228)</f>
        <v>65000</v>
      </c>
      <c r="F228">
        <f t="shared" ca="1" si="19"/>
        <v>1</v>
      </c>
      <c r="G228">
        <f t="shared" si="20"/>
        <v>1</v>
      </c>
      <c r="H228">
        <f t="shared" si="21"/>
        <v>3</v>
      </c>
      <c r="I228" t="str">
        <f t="shared" ca="1" si="22"/>
        <v>113</v>
      </c>
      <c r="J228" t="str">
        <f t="shared" ca="1" si="23"/>
        <v>At Risk</v>
      </c>
    </row>
    <row r="229" spans="1:10" x14ac:dyDescent="0.35">
      <c r="A229" t="s">
        <v>2015</v>
      </c>
      <c r="B229" s="2">
        <f>_xlfn.MAXIFS(clean_sales!P:P,clean_sales!C:C,RFM_Analysis!A229)</f>
        <v>45699</v>
      </c>
      <c r="C229">
        <f t="shared" ca="1" si="18"/>
        <v>329</v>
      </c>
      <c r="D229">
        <f>COUNTIFS(clean_sales!C:C,RFM_Analysis!A229)</f>
        <v>1</v>
      </c>
      <c r="E229">
        <f>SUMIFS(clean_sales!T:T,clean_sales!C:C,RFM_Analysis!A229)</f>
        <v>60000</v>
      </c>
      <c r="F229">
        <f t="shared" ca="1" si="19"/>
        <v>1</v>
      </c>
      <c r="G229">
        <f t="shared" si="20"/>
        <v>1</v>
      </c>
      <c r="H229">
        <f t="shared" si="21"/>
        <v>3</v>
      </c>
      <c r="I229" t="str">
        <f t="shared" ca="1" si="22"/>
        <v>113</v>
      </c>
      <c r="J229" t="str">
        <f t="shared" ca="1" si="23"/>
        <v>At Risk</v>
      </c>
    </row>
    <row r="230" spans="1:10" x14ac:dyDescent="0.35">
      <c r="A230" t="s">
        <v>2016</v>
      </c>
      <c r="B230" s="2">
        <f>_xlfn.MAXIFS(clean_sales!P:P,clean_sales!C:C,RFM_Analysis!A230)</f>
        <v>45962</v>
      </c>
      <c r="C230">
        <f t="shared" ca="1" si="18"/>
        <v>66</v>
      </c>
      <c r="D230">
        <f>COUNTIFS(clean_sales!C:C,RFM_Analysis!A230)</f>
        <v>1</v>
      </c>
      <c r="E230">
        <f>SUMIFS(clean_sales!T:T,clean_sales!C:C,RFM_Analysis!A230)</f>
        <v>5000</v>
      </c>
      <c r="F230">
        <f t="shared" ca="1" si="19"/>
        <v>4</v>
      </c>
      <c r="G230">
        <f t="shared" si="20"/>
        <v>1</v>
      </c>
      <c r="H230">
        <f t="shared" si="21"/>
        <v>1</v>
      </c>
      <c r="I230" t="str">
        <f t="shared" ca="1" si="22"/>
        <v>411</v>
      </c>
      <c r="J230" t="str">
        <f t="shared" ca="1" si="23"/>
        <v>Regular</v>
      </c>
    </row>
    <row r="231" spans="1:10" x14ac:dyDescent="0.35">
      <c r="A231" t="s">
        <v>2017</v>
      </c>
      <c r="B231" s="2">
        <f>_xlfn.MAXIFS(clean_sales!P:P,clean_sales!C:C,RFM_Analysis!A231)</f>
        <v>45898</v>
      </c>
      <c r="C231">
        <f t="shared" ca="1" si="18"/>
        <v>130</v>
      </c>
      <c r="D231">
        <f>COUNTIFS(clean_sales!C:C,RFM_Analysis!A231)</f>
        <v>2</v>
      </c>
      <c r="E231">
        <f>SUMIFS(clean_sales!T:T,clean_sales!C:C,RFM_Analysis!A231)</f>
        <v>254500</v>
      </c>
      <c r="F231">
        <f t="shared" ca="1" si="19"/>
        <v>3</v>
      </c>
      <c r="G231">
        <f t="shared" si="20"/>
        <v>3</v>
      </c>
      <c r="H231">
        <f t="shared" si="21"/>
        <v>4</v>
      </c>
      <c r="I231" t="str">
        <f t="shared" ca="1" si="22"/>
        <v>334</v>
      </c>
      <c r="J231" t="str">
        <f t="shared" ca="1" si="23"/>
        <v>Regular</v>
      </c>
    </row>
    <row r="232" spans="1:10" x14ac:dyDescent="0.35">
      <c r="A232" t="s">
        <v>2018</v>
      </c>
      <c r="B232" s="2">
        <f>_xlfn.MAXIFS(clean_sales!P:P,clean_sales!C:C,RFM_Analysis!A232)</f>
        <v>45894</v>
      </c>
      <c r="C232">
        <f t="shared" ca="1" si="18"/>
        <v>134</v>
      </c>
      <c r="D232">
        <f>COUNTIFS(clean_sales!C:C,RFM_Analysis!A232)</f>
        <v>1</v>
      </c>
      <c r="E232">
        <f>SUMIFS(clean_sales!T:T,clean_sales!C:C,RFM_Analysis!A232)</f>
        <v>9000</v>
      </c>
      <c r="F232">
        <f t="shared" ca="1" si="19"/>
        <v>3</v>
      </c>
      <c r="G232">
        <f t="shared" si="20"/>
        <v>1</v>
      </c>
      <c r="H232">
        <f t="shared" si="21"/>
        <v>1</v>
      </c>
      <c r="I232" t="str">
        <f t="shared" ca="1" si="22"/>
        <v>311</v>
      </c>
      <c r="J232" t="str">
        <f t="shared" ca="1" si="23"/>
        <v>Regular</v>
      </c>
    </row>
    <row r="233" spans="1:10" x14ac:dyDescent="0.35">
      <c r="A233" t="s">
        <v>2019</v>
      </c>
      <c r="B233" s="2">
        <f>_xlfn.MAXIFS(clean_sales!P:P,clean_sales!C:C,RFM_Analysis!A233)</f>
        <v>45906</v>
      </c>
      <c r="C233">
        <f t="shared" ca="1" si="18"/>
        <v>122</v>
      </c>
      <c r="D233">
        <f>COUNTIFS(clean_sales!C:C,RFM_Analysis!A233)</f>
        <v>1</v>
      </c>
      <c r="E233">
        <f>SUMIFS(clean_sales!T:T,clean_sales!C:C,RFM_Analysis!A233)</f>
        <v>260000</v>
      </c>
      <c r="F233">
        <f t="shared" ca="1" si="19"/>
        <v>3</v>
      </c>
      <c r="G233">
        <f t="shared" si="20"/>
        <v>1</v>
      </c>
      <c r="H233">
        <f t="shared" si="21"/>
        <v>4</v>
      </c>
      <c r="I233" t="str">
        <f t="shared" ca="1" si="22"/>
        <v>314</v>
      </c>
      <c r="J233" t="str">
        <f t="shared" ca="1" si="23"/>
        <v>Regular</v>
      </c>
    </row>
    <row r="234" spans="1:10" x14ac:dyDescent="0.35">
      <c r="A234" t="s">
        <v>2020</v>
      </c>
      <c r="B234" s="2">
        <f>_xlfn.MAXIFS(clean_sales!P:P,clean_sales!C:C,RFM_Analysis!A234)</f>
        <v>45880</v>
      </c>
      <c r="C234">
        <f t="shared" ca="1" si="18"/>
        <v>148</v>
      </c>
      <c r="D234">
        <f>COUNTIFS(clean_sales!C:C,RFM_Analysis!A234)</f>
        <v>2</v>
      </c>
      <c r="E234">
        <f>SUMIFS(clean_sales!T:T,clean_sales!C:C,RFM_Analysis!A234)</f>
        <v>353000</v>
      </c>
      <c r="F234">
        <f t="shared" ca="1" si="19"/>
        <v>3</v>
      </c>
      <c r="G234">
        <f t="shared" si="20"/>
        <v>3</v>
      </c>
      <c r="H234">
        <f t="shared" si="21"/>
        <v>5</v>
      </c>
      <c r="I234" t="str">
        <f t="shared" ca="1" si="22"/>
        <v>335</v>
      </c>
      <c r="J234" t="str">
        <f t="shared" ca="1" si="23"/>
        <v>Regular</v>
      </c>
    </row>
    <row r="235" spans="1:10" x14ac:dyDescent="0.35">
      <c r="A235" t="s">
        <v>2021</v>
      </c>
      <c r="B235" s="2">
        <f>_xlfn.MAXIFS(clean_sales!P:P,clean_sales!C:C,RFM_Analysis!A235)</f>
        <v>46016</v>
      </c>
      <c r="C235">
        <f t="shared" ca="1" si="18"/>
        <v>12</v>
      </c>
      <c r="D235">
        <f>COUNTIFS(clean_sales!C:C,RFM_Analysis!A235)</f>
        <v>3</v>
      </c>
      <c r="E235">
        <f>SUMIFS(clean_sales!T:T,clean_sales!C:C,RFM_Analysis!A235)</f>
        <v>306000</v>
      </c>
      <c r="F235">
        <f t="shared" ca="1" si="19"/>
        <v>5</v>
      </c>
      <c r="G235">
        <f t="shared" si="20"/>
        <v>5</v>
      </c>
      <c r="H235">
        <f t="shared" si="21"/>
        <v>4</v>
      </c>
      <c r="I235" t="str">
        <f t="shared" ca="1" si="22"/>
        <v>554</v>
      </c>
      <c r="J235" t="str">
        <f t="shared" ca="1" si="23"/>
        <v>Loyal</v>
      </c>
    </row>
    <row r="236" spans="1:10" x14ac:dyDescent="0.35">
      <c r="A236" t="s">
        <v>2022</v>
      </c>
      <c r="B236" s="2">
        <f>_xlfn.MAXIFS(clean_sales!P:P,clean_sales!C:C,RFM_Analysis!A236)</f>
        <v>45829</v>
      </c>
      <c r="C236">
        <f t="shared" ca="1" si="18"/>
        <v>199</v>
      </c>
      <c r="D236">
        <f>COUNTIFS(clean_sales!C:C,RFM_Analysis!A236)</f>
        <v>2</v>
      </c>
      <c r="E236">
        <f>SUMIFS(clean_sales!T:T,clean_sales!C:C,RFM_Analysis!A236)</f>
        <v>37500</v>
      </c>
      <c r="F236">
        <f t="shared" ca="1" si="19"/>
        <v>2</v>
      </c>
      <c r="G236">
        <f t="shared" si="20"/>
        <v>3</v>
      </c>
      <c r="H236">
        <f t="shared" si="21"/>
        <v>2</v>
      </c>
      <c r="I236" t="str">
        <f t="shared" ca="1" si="22"/>
        <v>232</v>
      </c>
      <c r="J236" t="str">
        <f t="shared" ca="1" si="23"/>
        <v>At Risk</v>
      </c>
    </row>
    <row r="237" spans="1:10" x14ac:dyDescent="0.35">
      <c r="A237" t="s">
        <v>2023</v>
      </c>
      <c r="B237" s="2">
        <f>_xlfn.MAXIFS(clean_sales!P:P,clean_sales!C:C,RFM_Analysis!A237)</f>
        <v>45751</v>
      </c>
      <c r="C237">
        <f t="shared" ca="1" si="18"/>
        <v>277</v>
      </c>
      <c r="D237">
        <f>COUNTIFS(clean_sales!C:C,RFM_Analysis!A237)</f>
        <v>1</v>
      </c>
      <c r="E237">
        <f>SUMIFS(clean_sales!T:T,clean_sales!C:C,RFM_Analysis!A237)</f>
        <v>9000</v>
      </c>
      <c r="F237">
        <f t="shared" ca="1" si="19"/>
        <v>1</v>
      </c>
      <c r="G237">
        <f t="shared" si="20"/>
        <v>1</v>
      </c>
      <c r="H237">
        <f t="shared" si="21"/>
        <v>1</v>
      </c>
      <c r="I237" t="str">
        <f t="shared" ca="1" si="22"/>
        <v>111</v>
      </c>
      <c r="J237" t="str">
        <f t="shared" ca="1" si="23"/>
        <v>At Risk</v>
      </c>
    </row>
    <row r="238" spans="1:10" x14ac:dyDescent="0.35">
      <c r="A238" t="s">
        <v>2024</v>
      </c>
      <c r="B238" s="2">
        <f>_xlfn.MAXIFS(clean_sales!P:P,clean_sales!C:C,RFM_Analysis!A238)</f>
        <v>45888</v>
      </c>
      <c r="C238">
        <f t="shared" ca="1" si="18"/>
        <v>140</v>
      </c>
      <c r="D238">
        <f>COUNTIFS(clean_sales!C:C,RFM_Analysis!A238)</f>
        <v>1</v>
      </c>
      <c r="E238">
        <f>SUMIFS(clean_sales!T:T,clean_sales!C:C,RFM_Analysis!A238)</f>
        <v>65000</v>
      </c>
      <c r="F238">
        <f t="shared" ca="1" si="19"/>
        <v>3</v>
      </c>
      <c r="G238">
        <f t="shared" si="20"/>
        <v>1</v>
      </c>
      <c r="H238">
        <f t="shared" si="21"/>
        <v>3</v>
      </c>
      <c r="I238" t="str">
        <f t="shared" ca="1" si="22"/>
        <v>313</v>
      </c>
      <c r="J238" t="str">
        <f t="shared" ca="1" si="23"/>
        <v>Regular</v>
      </c>
    </row>
    <row r="239" spans="1:10" x14ac:dyDescent="0.35">
      <c r="A239" t="s">
        <v>2025</v>
      </c>
      <c r="B239" s="2">
        <f>_xlfn.MAXIFS(clean_sales!P:P,clean_sales!C:C,RFM_Analysis!A239)</f>
        <v>45985</v>
      </c>
      <c r="C239">
        <f t="shared" ca="1" si="18"/>
        <v>43</v>
      </c>
      <c r="D239">
        <f>COUNTIFS(clean_sales!C:C,RFM_Analysis!A239)</f>
        <v>2</v>
      </c>
      <c r="E239">
        <f>SUMIFS(clean_sales!T:T,clean_sales!C:C,RFM_Analysis!A239)</f>
        <v>150000</v>
      </c>
      <c r="F239">
        <f t="shared" ca="1" si="19"/>
        <v>5</v>
      </c>
      <c r="G239">
        <f t="shared" si="20"/>
        <v>3</v>
      </c>
      <c r="H239">
        <f t="shared" si="21"/>
        <v>3</v>
      </c>
      <c r="I239" t="str">
        <f t="shared" ca="1" si="22"/>
        <v>533</v>
      </c>
      <c r="J239" t="str">
        <f t="shared" ca="1" si="23"/>
        <v>Regular</v>
      </c>
    </row>
    <row r="240" spans="1:10" x14ac:dyDescent="0.35">
      <c r="A240" t="s">
        <v>2026</v>
      </c>
      <c r="B240" s="2">
        <f>_xlfn.MAXIFS(clean_sales!P:P,clean_sales!C:C,RFM_Analysis!A240)</f>
        <v>45707</v>
      </c>
      <c r="C240">
        <f t="shared" ca="1" si="18"/>
        <v>321</v>
      </c>
      <c r="D240">
        <f>COUNTIFS(clean_sales!C:C,RFM_Analysis!A240)</f>
        <v>2</v>
      </c>
      <c r="E240">
        <f>SUMIFS(clean_sales!T:T,clean_sales!C:C,RFM_Analysis!A240)</f>
        <v>27000</v>
      </c>
      <c r="F240">
        <f t="shared" ca="1" si="19"/>
        <v>1</v>
      </c>
      <c r="G240">
        <f t="shared" si="20"/>
        <v>3</v>
      </c>
      <c r="H240">
        <f t="shared" si="21"/>
        <v>2</v>
      </c>
      <c r="I240" t="str">
        <f t="shared" ca="1" si="22"/>
        <v>132</v>
      </c>
      <c r="J240" t="str">
        <f t="shared" ca="1" si="23"/>
        <v>At Risk</v>
      </c>
    </row>
    <row r="241" spans="1:10" x14ac:dyDescent="0.35">
      <c r="A241" t="s">
        <v>2027</v>
      </c>
      <c r="B241" s="2">
        <f>_xlfn.MAXIFS(clean_sales!P:P,clean_sales!C:C,RFM_Analysis!A241)</f>
        <v>45944</v>
      </c>
      <c r="C241">
        <f t="shared" ca="1" si="18"/>
        <v>84</v>
      </c>
      <c r="D241">
        <f>COUNTIFS(clean_sales!C:C,RFM_Analysis!A241)</f>
        <v>1</v>
      </c>
      <c r="E241">
        <f>SUMIFS(clean_sales!T:T,clean_sales!C:C,RFM_Analysis!A241)</f>
        <v>174000</v>
      </c>
      <c r="F241">
        <f t="shared" ca="1" si="19"/>
        <v>4</v>
      </c>
      <c r="G241">
        <f t="shared" si="20"/>
        <v>1</v>
      </c>
      <c r="H241">
        <f t="shared" si="21"/>
        <v>4</v>
      </c>
      <c r="I241" t="str">
        <f t="shared" ca="1" si="22"/>
        <v>414</v>
      </c>
      <c r="J241" t="str">
        <f t="shared" ca="1" si="23"/>
        <v>Regular</v>
      </c>
    </row>
    <row r="242" spans="1:10" x14ac:dyDescent="0.35">
      <c r="A242" t="s">
        <v>2028</v>
      </c>
      <c r="B242" s="2">
        <f>_xlfn.MAXIFS(clean_sales!P:P,clean_sales!C:C,RFM_Analysis!A242)</f>
        <v>45874</v>
      </c>
      <c r="C242">
        <f t="shared" ca="1" si="18"/>
        <v>154</v>
      </c>
      <c r="D242">
        <f>COUNTIFS(clean_sales!C:C,RFM_Analysis!A242)</f>
        <v>3</v>
      </c>
      <c r="E242">
        <f>SUMIFS(clean_sales!T:T,clean_sales!C:C,RFM_Analysis!A242)</f>
        <v>309000</v>
      </c>
      <c r="F242">
        <f t="shared" ca="1" si="19"/>
        <v>3</v>
      </c>
      <c r="G242">
        <f t="shared" si="20"/>
        <v>5</v>
      </c>
      <c r="H242">
        <f t="shared" si="21"/>
        <v>5</v>
      </c>
      <c r="I242" t="str">
        <f t="shared" ca="1" si="22"/>
        <v>355</v>
      </c>
      <c r="J242" t="str">
        <f t="shared" ca="1" si="23"/>
        <v>Regular</v>
      </c>
    </row>
    <row r="243" spans="1:10" x14ac:dyDescent="0.35">
      <c r="A243" t="s">
        <v>2029</v>
      </c>
      <c r="B243" s="2">
        <f>_xlfn.MAXIFS(clean_sales!P:P,clean_sales!C:C,RFM_Analysis!A243)</f>
        <v>45829</v>
      </c>
      <c r="C243">
        <f t="shared" ca="1" si="18"/>
        <v>199</v>
      </c>
      <c r="D243">
        <f>COUNTIFS(clean_sales!C:C,RFM_Analysis!A243)</f>
        <v>2</v>
      </c>
      <c r="E243">
        <f>SUMIFS(clean_sales!T:T,clean_sales!C:C,RFM_Analysis!A243)</f>
        <v>194000</v>
      </c>
      <c r="F243">
        <f t="shared" ca="1" si="19"/>
        <v>2</v>
      </c>
      <c r="G243">
        <f t="shared" si="20"/>
        <v>3</v>
      </c>
      <c r="H243">
        <f t="shared" si="21"/>
        <v>4</v>
      </c>
      <c r="I243" t="str">
        <f t="shared" ca="1" si="22"/>
        <v>234</v>
      </c>
      <c r="J243" t="str">
        <f t="shared" ca="1" si="23"/>
        <v>At Risk</v>
      </c>
    </row>
    <row r="244" spans="1:10" x14ac:dyDescent="0.35">
      <c r="A244" t="s">
        <v>2030</v>
      </c>
      <c r="B244" s="2">
        <f>_xlfn.MAXIFS(clean_sales!P:P,clean_sales!C:C,RFM_Analysis!A244)</f>
        <v>45862</v>
      </c>
      <c r="C244">
        <f t="shared" ca="1" si="18"/>
        <v>166</v>
      </c>
      <c r="D244">
        <f>COUNTIFS(clean_sales!C:C,RFM_Analysis!A244)</f>
        <v>1</v>
      </c>
      <c r="E244">
        <f>SUMIFS(clean_sales!T:T,clean_sales!C:C,RFM_Analysis!A244)</f>
        <v>7200</v>
      </c>
      <c r="F244">
        <f t="shared" ca="1" si="19"/>
        <v>3</v>
      </c>
      <c r="G244">
        <f t="shared" si="20"/>
        <v>1</v>
      </c>
      <c r="H244">
        <f t="shared" si="21"/>
        <v>1</v>
      </c>
      <c r="I244" t="str">
        <f t="shared" ca="1" si="22"/>
        <v>311</v>
      </c>
      <c r="J244" t="str">
        <f t="shared" ca="1" si="23"/>
        <v>Regular</v>
      </c>
    </row>
    <row r="245" spans="1:10" x14ac:dyDescent="0.35">
      <c r="A245" t="s">
        <v>2031</v>
      </c>
      <c r="B245" s="2">
        <f>_xlfn.MAXIFS(clean_sales!P:P,clean_sales!C:C,RFM_Analysis!A245)</f>
        <v>45723</v>
      </c>
      <c r="C245">
        <f t="shared" ca="1" si="18"/>
        <v>305</v>
      </c>
      <c r="D245">
        <f>COUNTIFS(clean_sales!C:C,RFM_Analysis!A245)</f>
        <v>1</v>
      </c>
      <c r="E245">
        <f>SUMIFS(clean_sales!T:T,clean_sales!C:C,RFM_Analysis!A245)</f>
        <v>195000</v>
      </c>
      <c r="F245">
        <f t="shared" ca="1" si="19"/>
        <v>1</v>
      </c>
      <c r="G245">
        <f t="shared" si="20"/>
        <v>1</v>
      </c>
      <c r="H245">
        <f t="shared" si="21"/>
        <v>4</v>
      </c>
      <c r="I245" t="str">
        <f t="shared" ca="1" si="22"/>
        <v>114</v>
      </c>
      <c r="J245" t="str">
        <f t="shared" ca="1" si="23"/>
        <v>At Risk</v>
      </c>
    </row>
    <row r="246" spans="1:10" x14ac:dyDescent="0.35">
      <c r="A246" t="s">
        <v>2032</v>
      </c>
      <c r="B246" s="2">
        <f>_xlfn.MAXIFS(clean_sales!P:P,clean_sales!C:C,RFM_Analysis!A246)</f>
        <v>45717</v>
      </c>
      <c r="C246">
        <f t="shared" ca="1" si="18"/>
        <v>311</v>
      </c>
      <c r="D246">
        <f>COUNTIFS(clean_sales!C:C,RFM_Analysis!A246)</f>
        <v>1</v>
      </c>
      <c r="E246">
        <f>SUMIFS(clean_sales!T:T,clean_sales!C:C,RFM_Analysis!A246)</f>
        <v>4500</v>
      </c>
      <c r="F246">
        <f t="shared" ca="1" si="19"/>
        <v>1</v>
      </c>
      <c r="G246">
        <f t="shared" si="20"/>
        <v>1</v>
      </c>
      <c r="H246">
        <f t="shared" si="21"/>
        <v>1</v>
      </c>
      <c r="I246" t="str">
        <f t="shared" ca="1" si="22"/>
        <v>111</v>
      </c>
      <c r="J246" t="str">
        <f t="shared" ca="1" si="23"/>
        <v>At Risk</v>
      </c>
    </row>
    <row r="247" spans="1:10" x14ac:dyDescent="0.35">
      <c r="A247" t="s">
        <v>2033</v>
      </c>
      <c r="B247" s="2">
        <f>_xlfn.MAXIFS(clean_sales!P:P,clean_sales!C:C,RFM_Analysis!A247)</f>
        <v>45887</v>
      </c>
      <c r="C247">
        <f t="shared" ca="1" si="18"/>
        <v>141</v>
      </c>
      <c r="D247">
        <f>COUNTIFS(clean_sales!C:C,RFM_Analysis!A247)</f>
        <v>4</v>
      </c>
      <c r="E247">
        <f>SUMIFS(clean_sales!T:T,clean_sales!C:C,RFM_Analysis!A247)</f>
        <v>629400</v>
      </c>
      <c r="F247">
        <f t="shared" ca="1" si="19"/>
        <v>3</v>
      </c>
      <c r="G247">
        <f t="shared" si="20"/>
        <v>5</v>
      </c>
      <c r="H247">
        <f t="shared" si="21"/>
        <v>5</v>
      </c>
      <c r="I247" t="str">
        <f t="shared" ca="1" si="22"/>
        <v>355</v>
      </c>
      <c r="J247" t="str">
        <f t="shared" ca="1" si="23"/>
        <v>Regular</v>
      </c>
    </row>
    <row r="248" spans="1:10" x14ac:dyDescent="0.35">
      <c r="A248" t="s">
        <v>2034</v>
      </c>
      <c r="B248" s="2">
        <f>_xlfn.MAXIFS(clean_sales!P:P,clean_sales!C:C,RFM_Analysis!A248)</f>
        <v>45939</v>
      </c>
      <c r="C248">
        <f t="shared" ca="1" si="18"/>
        <v>89</v>
      </c>
      <c r="D248">
        <f>COUNTIFS(clean_sales!C:C,RFM_Analysis!A248)</f>
        <v>2</v>
      </c>
      <c r="E248">
        <f>SUMIFS(clean_sales!T:T,clean_sales!C:C,RFM_Analysis!A248)</f>
        <v>70000</v>
      </c>
      <c r="F248">
        <f t="shared" ca="1" si="19"/>
        <v>4</v>
      </c>
      <c r="G248">
        <f t="shared" si="20"/>
        <v>3</v>
      </c>
      <c r="H248">
        <f t="shared" si="21"/>
        <v>3</v>
      </c>
      <c r="I248" t="str">
        <f t="shared" ca="1" si="22"/>
        <v>433</v>
      </c>
      <c r="J248" t="str">
        <f t="shared" ca="1" si="23"/>
        <v>Regular</v>
      </c>
    </row>
    <row r="249" spans="1:10" x14ac:dyDescent="0.35">
      <c r="A249" t="s">
        <v>2035</v>
      </c>
      <c r="B249" s="2">
        <f>_xlfn.MAXIFS(clean_sales!P:P,clean_sales!C:C,RFM_Analysis!A249)</f>
        <v>46001</v>
      </c>
      <c r="C249">
        <f t="shared" ca="1" si="18"/>
        <v>27</v>
      </c>
      <c r="D249">
        <f>COUNTIFS(clean_sales!C:C,RFM_Analysis!A249)</f>
        <v>3</v>
      </c>
      <c r="E249">
        <f>SUMIFS(clean_sales!T:T,clean_sales!C:C,RFM_Analysis!A249)</f>
        <v>80000</v>
      </c>
      <c r="F249">
        <f t="shared" ca="1" si="19"/>
        <v>5</v>
      </c>
      <c r="G249">
        <f t="shared" si="20"/>
        <v>5</v>
      </c>
      <c r="H249">
        <f t="shared" si="21"/>
        <v>3</v>
      </c>
      <c r="I249" t="str">
        <f t="shared" ca="1" si="22"/>
        <v>553</v>
      </c>
      <c r="J249" t="str">
        <f t="shared" ca="1" si="23"/>
        <v>Loyal</v>
      </c>
    </row>
    <row r="250" spans="1:10" x14ac:dyDescent="0.35">
      <c r="A250" t="s">
        <v>2036</v>
      </c>
      <c r="B250" s="2">
        <f>_xlfn.MAXIFS(clean_sales!P:P,clean_sales!C:C,RFM_Analysis!A250)</f>
        <v>45760</v>
      </c>
      <c r="C250">
        <f t="shared" ca="1" si="18"/>
        <v>268</v>
      </c>
      <c r="D250">
        <f>COUNTIFS(clean_sales!C:C,RFM_Analysis!A250)</f>
        <v>1</v>
      </c>
      <c r="E250">
        <f>SUMIFS(clean_sales!T:T,clean_sales!C:C,RFM_Analysis!A250)</f>
        <v>9000</v>
      </c>
      <c r="F250">
        <f t="shared" ca="1" si="19"/>
        <v>1</v>
      </c>
      <c r="G250">
        <f t="shared" si="20"/>
        <v>1</v>
      </c>
      <c r="H250">
        <f t="shared" si="21"/>
        <v>1</v>
      </c>
      <c r="I250" t="str">
        <f t="shared" ca="1" si="22"/>
        <v>111</v>
      </c>
      <c r="J250" t="str">
        <f t="shared" ca="1" si="23"/>
        <v>At Risk</v>
      </c>
    </row>
    <row r="251" spans="1:10" x14ac:dyDescent="0.35">
      <c r="A251" t="s">
        <v>2037</v>
      </c>
      <c r="B251" s="2">
        <f>_xlfn.MAXIFS(clean_sales!P:P,clean_sales!C:C,RFM_Analysis!A251)</f>
        <v>45873</v>
      </c>
      <c r="C251">
        <f t="shared" ca="1" si="18"/>
        <v>155</v>
      </c>
      <c r="D251">
        <f>COUNTIFS(clean_sales!C:C,RFM_Analysis!A251)</f>
        <v>1</v>
      </c>
      <c r="E251">
        <f>SUMIFS(clean_sales!T:T,clean_sales!C:C,RFM_Analysis!A251)</f>
        <v>325000</v>
      </c>
      <c r="F251">
        <f t="shared" ca="1" si="19"/>
        <v>3</v>
      </c>
      <c r="G251">
        <f t="shared" si="20"/>
        <v>1</v>
      </c>
      <c r="H251">
        <f t="shared" si="21"/>
        <v>5</v>
      </c>
      <c r="I251" t="str">
        <f t="shared" ca="1" si="22"/>
        <v>315</v>
      </c>
      <c r="J251" t="str">
        <f t="shared" ca="1" si="23"/>
        <v>Regular</v>
      </c>
    </row>
    <row r="252" spans="1:10" x14ac:dyDescent="0.35">
      <c r="A252" t="s">
        <v>2038</v>
      </c>
      <c r="B252" s="2">
        <f>_xlfn.MAXIFS(clean_sales!P:P,clean_sales!C:C,RFM_Analysis!A252)</f>
        <v>45993</v>
      </c>
      <c r="C252">
        <f t="shared" ca="1" si="18"/>
        <v>35</v>
      </c>
      <c r="D252">
        <f>COUNTIFS(clean_sales!C:C,RFM_Analysis!A252)</f>
        <v>2</v>
      </c>
      <c r="E252">
        <f>SUMIFS(clean_sales!T:T,clean_sales!C:C,RFM_Analysis!A252)</f>
        <v>118000</v>
      </c>
      <c r="F252">
        <f t="shared" ca="1" si="19"/>
        <v>5</v>
      </c>
      <c r="G252">
        <f t="shared" si="20"/>
        <v>3</v>
      </c>
      <c r="H252">
        <f t="shared" si="21"/>
        <v>3</v>
      </c>
      <c r="I252" t="str">
        <f t="shared" ca="1" si="22"/>
        <v>533</v>
      </c>
      <c r="J252" t="str">
        <f t="shared" ca="1" si="23"/>
        <v>Regular</v>
      </c>
    </row>
    <row r="253" spans="1:10" x14ac:dyDescent="0.35">
      <c r="A253" t="s">
        <v>2039</v>
      </c>
      <c r="B253" s="2">
        <f>_xlfn.MAXIFS(clean_sales!P:P,clean_sales!C:C,RFM_Analysis!A253)</f>
        <v>45827</v>
      </c>
      <c r="C253">
        <f t="shared" ca="1" si="18"/>
        <v>201</v>
      </c>
      <c r="D253">
        <f>COUNTIFS(clean_sales!C:C,RFM_Analysis!A253)</f>
        <v>1</v>
      </c>
      <c r="E253">
        <f>SUMIFS(clean_sales!T:T,clean_sales!C:C,RFM_Analysis!A253)</f>
        <v>260000</v>
      </c>
      <c r="F253">
        <f t="shared" ca="1" si="19"/>
        <v>2</v>
      </c>
      <c r="G253">
        <f t="shared" si="20"/>
        <v>1</v>
      </c>
      <c r="H253">
        <f t="shared" si="21"/>
        <v>4</v>
      </c>
      <c r="I253" t="str">
        <f t="shared" ca="1" si="22"/>
        <v>214</v>
      </c>
      <c r="J253" t="str">
        <f t="shared" ca="1" si="23"/>
        <v>At Risk</v>
      </c>
    </row>
    <row r="254" spans="1:10" x14ac:dyDescent="0.35">
      <c r="A254" t="s">
        <v>2040</v>
      </c>
      <c r="B254" s="2">
        <f>_xlfn.MAXIFS(clean_sales!P:P,clean_sales!C:C,RFM_Analysis!A254)</f>
        <v>45949</v>
      </c>
      <c r="C254">
        <f t="shared" ca="1" si="18"/>
        <v>79</v>
      </c>
      <c r="D254">
        <f>COUNTIFS(clean_sales!C:C,RFM_Analysis!A254)</f>
        <v>3</v>
      </c>
      <c r="E254">
        <f>SUMIFS(clean_sales!T:T,clean_sales!C:C,RFM_Analysis!A254)</f>
        <v>133600</v>
      </c>
      <c r="F254">
        <f t="shared" ca="1" si="19"/>
        <v>4</v>
      </c>
      <c r="G254">
        <f t="shared" si="20"/>
        <v>5</v>
      </c>
      <c r="H254">
        <f t="shared" si="21"/>
        <v>3</v>
      </c>
      <c r="I254" t="str">
        <f t="shared" ca="1" si="22"/>
        <v>453</v>
      </c>
      <c r="J254" t="str">
        <f t="shared" ca="1" si="23"/>
        <v>Loyal</v>
      </c>
    </row>
    <row r="255" spans="1:10" x14ac:dyDescent="0.35">
      <c r="A255" t="s">
        <v>2041</v>
      </c>
      <c r="B255" s="2">
        <f>_xlfn.MAXIFS(clean_sales!P:P,clean_sales!C:C,RFM_Analysis!A255)</f>
        <v>45860</v>
      </c>
      <c r="C255">
        <f t="shared" ca="1" si="18"/>
        <v>168</v>
      </c>
      <c r="D255">
        <f>COUNTIFS(clean_sales!C:C,RFM_Analysis!A255)</f>
        <v>2</v>
      </c>
      <c r="E255">
        <f>SUMIFS(clean_sales!T:T,clean_sales!C:C,RFM_Analysis!A255)</f>
        <v>130000</v>
      </c>
      <c r="F255">
        <f t="shared" ca="1" si="19"/>
        <v>3</v>
      </c>
      <c r="G255">
        <f t="shared" si="20"/>
        <v>3</v>
      </c>
      <c r="H255">
        <f t="shared" si="21"/>
        <v>3</v>
      </c>
      <c r="I255" t="str">
        <f t="shared" ca="1" si="22"/>
        <v>333</v>
      </c>
      <c r="J255" t="str">
        <f t="shared" ca="1" si="23"/>
        <v>Regular</v>
      </c>
    </row>
    <row r="256" spans="1:10" x14ac:dyDescent="0.35">
      <c r="A256" t="s">
        <v>2042</v>
      </c>
      <c r="B256" s="2">
        <f>_xlfn.MAXIFS(clean_sales!P:P,clean_sales!C:C,RFM_Analysis!A256)</f>
        <v>45991</v>
      </c>
      <c r="C256">
        <f t="shared" ca="1" si="18"/>
        <v>37</v>
      </c>
      <c r="D256">
        <f>COUNTIFS(clean_sales!C:C,RFM_Analysis!A256)</f>
        <v>3</v>
      </c>
      <c r="E256">
        <f>SUMIFS(clean_sales!T:T,clean_sales!C:C,RFM_Analysis!A256)</f>
        <v>62800</v>
      </c>
      <c r="F256">
        <f t="shared" ca="1" si="19"/>
        <v>5</v>
      </c>
      <c r="G256">
        <f t="shared" si="20"/>
        <v>5</v>
      </c>
      <c r="H256">
        <f t="shared" si="21"/>
        <v>3</v>
      </c>
      <c r="I256" t="str">
        <f t="shared" ca="1" si="22"/>
        <v>553</v>
      </c>
      <c r="J256" t="str">
        <f t="shared" ca="1" si="23"/>
        <v>Loyal</v>
      </c>
    </row>
    <row r="257" spans="1:10" x14ac:dyDescent="0.35">
      <c r="A257" t="s">
        <v>2043</v>
      </c>
      <c r="B257" s="2">
        <f>_xlfn.MAXIFS(clean_sales!P:P,clean_sales!C:C,RFM_Analysis!A257)</f>
        <v>45912</v>
      </c>
      <c r="C257">
        <f t="shared" ca="1" si="18"/>
        <v>116</v>
      </c>
      <c r="D257">
        <f>COUNTIFS(clean_sales!C:C,RFM_Analysis!A257)</f>
        <v>2</v>
      </c>
      <c r="E257">
        <f>SUMIFS(clean_sales!T:T,clean_sales!C:C,RFM_Analysis!A257)</f>
        <v>504000</v>
      </c>
      <c r="F257">
        <f t="shared" ca="1" si="19"/>
        <v>3</v>
      </c>
      <c r="G257">
        <f t="shared" si="20"/>
        <v>3</v>
      </c>
      <c r="H257">
        <f t="shared" si="21"/>
        <v>5</v>
      </c>
      <c r="I257" t="str">
        <f t="shared" ca="1" si="22"/>
        <v>335</v>
      </c>
      <c r="J257" t="str">
        <f t="shared" ca="1" si="23"/>
        <v>Regular</v>
      </c>
    </row>
    <row r="258" spans="1:10" x14ac:dyDescent="0.35">
      <c r="A258" t="s">
        <v>2044</v>
      </c>
      <c r="B258" s="2">
        <f>_xlfn.MAXIFS(clean_sales!P:P,clean_sales!C:C,RFM_Analysis!A258)</f>
        <v>45722</v>
      </c>
      <c r="C258">
        <f t="shared" ca="1" si="18"/>
        <v>306</v>
      </c>
      <c r="D258">
        <f>COUNTIFS(clean_sales!C:C,RFM_Analysis!A258)</f>
        <v>1</v>
      </c>
      <c r="E258">
        <f>SUMIFS(clean_sales!T:T,clean_sales!C:C,RFM_Analysis!A258)</f>
        <v>290000</v>
      </c>
      <c r="F258">
        <f t="shared" ca="1" si="19"/>
        <v>1</v>
      </c>
      <c r="G258">
        <f t="shared" si="20"/>
        <v>1</v>
      </c>
      <c r="H258">
        <f t="shared" si="21"/>
        <v>4</v>
      </c>
      <c r="I258" t="str">
        <f t="shared" ca="1" si="22"/>
        <v>114</v>
      </c>
      <c r="J258" t="str">
        <f t="shared" ca="1" si="23"/>
        <v>At Risk</v>
      </c>
    </row>
    <row r="259" spans="1:10" x14ac:dyDescent="0.35">
      <c r="A259" t="s">
        <v>2045</v>
      </c>
      <c r="B259" s="2">
        <f>_xlfn.MAXIFS(clean_sales!P:P,clean_sales!C:C,RFM_Analysis!A259)</f>
        <v>45998</v>
      </c>
      <c r="C259">
        <f t="shared" ref="C259:C322" ca="1" si="24">TODAY()-B259</f>
        <v>30</v>
      </c>
      <c r="D259">
        <f>COUNTIFS(clean_sales!C:C,RFM_Analysis!A259)</f>
        <v>3</v>
      </c>
      <c r="E259">
        <f>SUMIFS(clean_sales!T:T,clean_sales!C:C,RFM_Analysis!A259)</f>
        <v>566000</v>
      </c>
      <c r="F259">
        <f t="shared" ref="F259:F322" ca="1" si="25">IF(C259&lt;=PERCENTILE($C:$C,0.2),5,
IF(C259&lt;=PERCENTILE($C:$C,0.4),4,
IF(C259&lt;=PERCENTILE($C:$C,0.6),3,
IF(C259&lt;=PERCENTILE($C:$C,0.8),2,1))))</f>
        <v>5</v>
      </c>
      <c r="G259">
        <f t="shared" ref="G259:G322" si="26">IF(D259&lt;=PERCENTILE($D:$D,0.2),1,
IF(D259&lt;=PERCENTILE($D:$D,0.4),2,
IF(D259&lt;=PERCENTILE($D:$D,0.6),3,
IF(D259&lt;=PERCENTILE($D:$D,0.8),4,5))))</f>
        <v>5</v>
      </c>
      <c r="H259">
        <f t="shared" ref="H259:H322" si="27">IF(E259&lt;=PERCENTILE($E:$E,0.2),1,
IF(E259&lt;=PERCENTILE($E:$E,0.4),2,
IF(E259&lt;=PERCENTILE($E:$E,0.6),3,
IF(E259&lt;=PERCENTILE($E:$E,0.8),4,5))))</f>
        <v>5</v>
      </c>
      <c r="I259" t="str">
        <f t="shared" ref="I259:I322" ca="1" si="28">F259&amp;G259&amp;H259</f>
        <v>555</v>
      </c>
      <c r="J259" t="str">
        <f t="shared" ref="J259:J322" ca="1" si="29">IF(I259="555","Champions",
IF(AND(F259&gt;=4,G259&gt;=4),"Loyal",
IF(F259&lt;=2,"At Risk","Regular")))</f>
        <v>Champions</v>
      </c>
    </row>
    <row r="260" spans="1:10" x14ac:dyDescent="0.35">
      <c r="A260" t="s">
        <v>2046</v>
      </c>
      <c r="B260" s="2">
        <f>_xlfn.MAXIFS(clean_sales!P:P,clean_sales!C:C,RFM_Analysis!A260)</f>
        <v>45830</v>
      </c>
      <c r="C260">
        <f t="shared" ca="1" si="24"/>
        <v>198</v>
      </c>
      <c r="D260">
        <f>COUNTIFS(clean_sales!C:C,RFM_Analysis!A260)</f>
        <v>4</v>
      </c>
      <c r="E260">
        <f>SUMIFS(clean_sales!T:T,clean_sales!C:C,RFM_Analysis!A260)</f>
        <v>422000</v>
      </c>
      <c r="F260">
        <f t="shared" ca="1" si="25"/>
        <v>2</v>
      </c>
      <c r="G260">
        <f t="shared" si="26"/>
        <v>5</v>
      </c>
      <c r="H260">
        <f t="shared" si="27"/>
        <v>5</v>
      </c>
      <c r="I260" t="str">
        <f t="shared" ca="1" si="28"/>
        <v>255</v>
      </c>
      <c r="J260" t="str">
        <f t="shared" ca="1" si="29"/>
        <v>At Risk</v>
      </c>
    </row>
    <row r="261" spans="1:10" x14ac:dyDescent="0.35">
      <c r="A261" t="s">
        <v>2047</v>
      </c>
      <c r="B261" s="2">
        <f>_xlfn.MAXIFS(clean_sales!P:P,clean_sales!C:C,RFM_Analysis!A261)</f>
        <v>45857</v>
      </c>
      <c r="C261">
        <f t="shared" ca="1" si="24"/>
        <v>171</v>
      </c>
      <c r="D261">
        <f>COUNTIFS(clean_sales!C:C,RFM_Analysis!A261)</f>
        <v>2</v>
      </c>
      <c r="E261">
        <f>SUMIFS(clean_sales!T:T,clean_sales!C:C,RFM_Analysis!A261)</f>
        <v>349000</v>
      </c>
      <c r="F261">
        <f t="shared" ca="1" si="25"/>
        <v>2</v>
      </c>
      <c r="G261">
        <f t="shared" si="26"/>
        <v>3</v>
      </c>
      <c r="H261">
        <f t="shared" si="27"/>
        <v>5</v>
      </c>
      <c r="I261" t="str">
        <f t="shared" ca="1" si="28"/>
        <v>235</v>
      </c>
      <c r="J261" t="str">
        <f t="shared" ca="1" si="29"/>
        <v>At Risk</v>
      </c>
    </row>
    <row r="262" spans="1:10" x14ac:dyDescent="0.35">
      <c r="A262" t="s">
        <v>2048</v>
      </c>
      <c r="B262" s="2">
        <f>_xlfn.MAXIFS(clean_sales!P:P,clean_sales!C:C,RFM_Analysis!A262)</f>
        <v>45984</v>
      </c>
      <c r="C262">
        <f t="shared" ca="1" si="24"/>
        <v>44</v>
      </c>
      <c r="D262">
        <f>COUNTIFS(clean_sales!C:C,RFM_Analysis!A262)</f>
        <v>1</v>
      </c>
      <c r="E262">
        <f>SUMIFS(clean_sales!T:T,clean_sales!C:C,RFM_Analysis!A262)</f>
        <v>22500</v>
      </c>
      <c r="F262">
        <f t="shared" ca="1" si="25"/>
        <v>5</v>
      </c>
      <c r="G262">
        <f t="shared" si="26"/>
        <v>1</v>
      </c>
      <c r="H262">
        <f t="shared" si="27"/>
        <v>2</v>
      </c>
      <c r="I262" t="str">
        <f t="shared" ca="1" si="28"/>
        <v>512</v>
      </c>
      <c r="J262" t="str">
        <f t="shared" ca="1" si="29"/>
        <v>Regular</v>
      </c>
    </row>
    <row r="263" spans="1:10" x14ac:dyDescent="0.35">
      <c r="A263" t="s">
        <v>2049</v>
      </c>
      <c r="B263" s="2">
        <f>_xlfn.MAXIFS(clean_sales!P:P,clean_sales!C:C,RFM_Analysis!A263)</f>
        <v>45858</v>
      </c>
      <c r="C263">
        <f t="shared" ca="1" si="24"/>
        <v>170</v>
      </c>
      <c r="D263">
        <f>COUNTIFS(clean_sales!C:C,RFM_Analysis!A263)</f>
        <v>3</v>
      </c>
      <c r="E263">
        <f>SUMIFS(clean_sales!T:T,clean_sales!C:C,RFM_Analysis!A263)</f>
        <v>293400</v>
      </c>
      <c r="F263">
        <f t="shared" ca="1" si="25"/>
        <v>2</v>
      </c>
      <c r="G263">
        <f t="shared" si="26"/>
        <v>5</v>
      </c>
      <c r="H263">
        <f t="shared" si="27"/>
        <v>4</v>
      </c>
      <c r="I263" t="str">
        <f t="shared" ca="1" si="28"/>
        <v>254</v>
      </c>
      <c r="J263" t="str">
        <f t="shared" ca="1" si="29"/>
        <v>At Risk</v>
      </c>
    </row>
    <row r="264" spans="1:10" x14ac:dyDescent="0.35">
      <c r="A264" t="s">
        <v>2050</v>
      </c>
      <c r="B264" s="2">
        <f>_xlfn.MAXIFS(clean_sales!P:P,clean_sales!C:C,RFM_Analysis!A264)</f>
        <v>45879</v>
      </c>
      <c r="C264">
        <f t="shared" ca="1" si="24"/>
        <v>149</v>
      </c>
      <c r="D264">
        <f>COUNTIFS(clean_sales!C:C,RFM_Analysis!A264)</f>
        <v>2</v>
      </c>
      <c r="E264">
        <f>SUMIFS(clean_sales!T:T,clean_sales!C:C,RFM_Analysis!A264)</f>
        <v>31500</v>
      </c>
      <c r="F264">
        <f t="shared" ca="1" si="25"/>
        <v>3</v>
      </c>
      <c r="G264">
        <f t="shared" si="26"/>
        <v>3</v>
      </c>
      <c r="H264">
        <f t="shared" si="27"/>
        <v>2</v>
      </c>
      <c r="I264" t="str">
        <f t="shared" ca="1" si="28"/>
        <v>332</v>
      </c>
      <c r="J264" t="str">
        <f t="shared" ca="1" si="29"/>
        <v>Regular</v>
      </c>
    </row>
    <row r="265" spans="1:10" x14ac:dyDescent="0.35">
      <c r="A265" t="s">
        <v>2051</v>
      </c>
      <c r="B265" s="2">
        <f>_xlfn.MAXIFS(clean_sales!P:P,clean_sales!C:C,RFM_Analysis!A265)</f>
        <v>45960</v>
      </c>
      <c r="C265">
        <f t="shared" ca="1" si="24"/>
        <v>68</v>
      </c>
      <c r="D265">
        <f>COUNTIFS(clean_sales!C:C,RFM_Analysis!A265)</f>
        <v>1</v>
      </c>
      <c r="E265">
        <f>SUMIFS(clean_sales!T:T,clean_sales!C:C,RFM_Analysis!A265)</f>
        <v>3600</v>
      </c>
      <c r="F265">
        <f t="shared" ca="1" si="25"/>
        <v>4</v>
      </c>
      <c r="G265">
        <f t="shared" si="26"/>
        <v>1</v>
      </c>
      <c r="H265">
        <f t="shared" si="27"/>
        <v>1</v>
      </c>
      <c r="I265" t="str">
        <f t="shared" ca="1" si="28"/>
        <v>411</v>
      </c>
      <c r="J265" t="str">
        <f t="shared" ca="1" si="29"/>
        <v>Regular</v>
      </c>
    </row>
    <row r="266" spans="1:10" x14ac:dyDescent="0.35">
      <c r="A266" t="s">
        <v>2052</v>
      </c>
      <c r="B266" s="2">
        <f>_xlfn.MAXIFS(clean_sales!P:P,clean_sales!C:C,RFM_Analysis!A266)</f>
        <v>45834</v>
      </c>
      <c r="C266">
        <f t="shared" ca="1" si="24"/>
        <v>194</v>
      </c>
      <c r="D266">
        <f>COUNTIFS(clean_sales!C:C,RFM_Analysis!A266)</f>
        <v>1</v>
      </c>
      <c r="E266">
        <f>SUMIFS(clean_sales!T:T,clean_sales!C:C,RFM_Analysis!A266)</f>
        <v>20000</v>
      </c>
      <c r="F266">
        <f t="shared" ca="1" si="25"/>
        <v>2</v>
      </c>
      <c r="G266">
        <f t="shared" si="26"/>
        <v>1</v>
      </c>
      <c r="H266">
        <f t="shared" si="27"/>
        <v>2</v>
      </c>
      <c r="I266" t="str">
        <f t="shared" ca="1" si="28"/>
        <v>212</v>
      </c>
      <c r="J266" t="str">
        <f t="shared" ca="1" si="29"/>
        <v>At Risk</v>
      </c>
    </row>
    <row r="267" spans="1:10" x14ac:dyDescent="0.35">
      <c r="A267" t="s">
        <v>2053</v>
      </c>
      <c r="B267" s="2">
        <f>_xlfn.MAXIFS(clean_sales!P:P,clean_sales!C:C,RFM_Analysis!A267)</f>
        <v>45830</v>
      </c>
      <c r="C267">
        <f t="shared" ca="1" si="24"/>
        <v>198</v>
      </c>
      <c r="D267">
        <f>COUNTIFS(clean_sales!C:C,RFM_Analysis!A267)</f>
        <v>1</v>
      </c>
      <c r="E267">
        <f>SUMIFS(clean_sales!T:T,clean_sales!C:C,RFM_Analysis!A267)</f>
        <v>12000</v>
      </c>
      <c r="F267">
        <f t="shared" ca="1" si="25"/>
        <v>2</v>
      </c>
      <c r="G267">
        <f t="shared" si="26"/>
        <v>1</v>
      </c>
      <c r="H267">
        <f t="shared" si="27"/>
        <v>1</v>
      </c>
      <c r="I267" t="str">
        <f t="shared" ca="1" si="28"/>
        <v>211</v>
      </c>
      <c r="J267" t="str">
        <f t="shared" ca="1" si="29"/>
        <v>At Risk</v>
      </c>
    </row>
    <row r="268" spans="1:10" x14ac:dyDescent="0.35">
      <c r="A268" t="s">
        <v>2054</v>
      </c>
      <c r="B268" s="2">
        <f>_xlfn.MAXIFS(clean_sales!P:P,clean_sales!C:C,RFM_Analysis!A268)</f>
        <v>45956</v>
      </c>
      <c r="C268">
        <f t="shared" ca="1" si="24"/>
        <v>72</v>
      </c>
      <c r="D268">
        <f>COUNTIFS(clean_sales!C:C,RFM_Analysis!A268)</f>
        <v>1</v>
      </c>
      <c r="E268">
        <f>SUMIFS(clean_sales!T:T,clean_sales!C:C,RFM_Analysis!A268)</f>
        <v>65000</v>
      </c>
      <c r="F268">
        <f t="shared" ca="1" si="25"/>
        <v>4</v>
      </c>
      <c r="G268">
        <f t="shared" si="26"/>
        <v>1</v>
      </c>
      <c r="H268">
        <f t="shared" si="27"/>
        <v>3</v>
      </c>
      <c r="I268" t="str">
        <f t="shared" ca="1" si="28"/>
        <v>413</v>
      </c>
      <c r="J268" t="str">
        <f t="shared" ca="1" si="29"/>
        <v>Regular</v>
      </c>
    </row>
    <row r="269" spans="1:10" x14ac:dyDescent="0.35">
      <c r="A269" t="s">
        <v>2055</v>
      </c>
      <c r="B269" s="2">
        <f>_xlfn.MAXIFS(clean_sales!P:P,clean_sales!C:C,RFM_Analysis!A269)</f>
        <v>45948</v>
      </c>
      <c r="C269">
        <f t="shared" ca="1" si="24"/>
        <v>80</v>
      </c>
      <c r="D269">
        <f>COUNTIFS(clean_sales!C:C,RFM_Analysis!A269)</f>
        <v>3</v>
      </c>
      <c r="E269">
        <f>SUMIFS(clean_sales!T:T,clean_sales!C:C,RFM_Analysis!A269)</f>
        <v>520000</v>
      </c>
      <c r="F269">
        <f t="shared" ca="1" si="25"/>
        <v>4</v>
      </c>
      <c r="G269">
        <f t="shared" si="26"/>
        <v>5</v>
      </c>
      <c r="H269">
        <f t="shared" si="27"/>
        <v>5</v>
      </c>
      <c r="I269" t="str">
        <f t="shared" ca="1" si="28"/>
        <v>455</v>
      </c>
      <c r="J269" t="str">
        <f t="shared" ca="1" si="29"/>
        <v>Loyal</v>
      </c>
    </row>
    <row r="270" spans="1:10" x14ac:dyDescent="0.35">
      <c r="A270" t="s">
        <v>2056</v>
      </c>
      <c r="B270" s="2">
        <f>_xlfn.MAXIFS(clean_sales!P:P,clean_sales!C:C,RFM_Analysis!A270)</f>
        <v>46009</v>
      </c>
      <c r="C270">
        <f t="shared" ca="1" si="24"/>
        <v>19</v>
      </c>
      <c r="D270">
        <f>COUNTIFS(clean_sales!C:C,RFM_Analysis!A270)</f>
        <v>2</v>
      </c>
      <c r="E270">
        <f>SUMIFS(clean_sales!T:T,clean_sales!C:C,RFM_Analysis!A270)</f>
        <v>290000</v>
      </c>
      <c r="F270">
        <f t="shared" ca="1" si="25"/>
        <v>5</v>
      </c>
      <c r="G270">
        <f t="shared" si="26"/>
        <v>3</v>
      </c>
      <c r="H270">
        <f t="shared" si="27"/>
        <v>4</v>
      </c>
      <c r="I270" t="str">
        <f t="shared" ca="1" si="28"/>
        <v>534</v>
      </c>
      <c r="J270" t="str">
        <f t="shared" ca="1" si="29"/>
        <v>Regular</v>
      </c>
    </row>
    <row r="271" spans="1:10" x14ac:dyDescent="0.35">
      <c r="A271" t="s">
        <v>2057</v>
      </c>
      <c r="B271" s="2">
        <f>_xlfn.MAXIFS(clean_sales!P:P,clean_sales!C:C,RFM_Analysis!A271)</f>
        <v>45930</v>
      </c>
      <c r="C271">
        <f t="shared" ca="1" si="24"/>
        <v>98</v>
      </c>
      <c r="D271">
        <f>COUNTIFS(clean_sales!C:C,RFM_Analysis!A271)</f>
        <v>1</v>
      </c>
      <c r="E271">
        <f>SUMIFS(clean_sales!T:T,clean_sales!C:C,RFM_Analysis!A271)</f>
        <v>4500</v>
      </c>
      <c r="F271">
        <f t="shared" ca="1" si="25"/>
        <v>4</v>
      </c>
      <c r="G271">
        <f t="shared" si="26"/>
        <v>1</v>
      </c>
      <c r="H271">
        <f t="shared" si="27"/>
        <v>1</v>
      </c>
      <c r="I271" t="str">
        <f t="shared" ca="1" si="28"/>
        <v>411</v>
      </c>
      <c r="J271" t="str">
        <f t="shared" ca="1" si="29"/>
        <v>Regular</v>
      </c>
    </row>
    <row r="272" spans="1:10" x14ac:dyDescent="0.35">
      <c r="A272" t="s">
        <v>2058</v>
      </c>
      <c r="B272" s="2">
        <f>_xlfn.MAXIFS(clean_sales!P:P,clean_sales!C:C,RFM_Analysis!A272)</f>
        <v>46001</v>
      </c>
      <c r="C272">
        <f t="shared" ca="1" si="24"/>
        <v>27</v>
      </c>
      <c r="D272">
        <f>COUNTIFS(clean_sales!C:C,RFM_Analysis!A272)</f>
        <v>1</v>
      </c>
      <c r="E272">
        <f>SUMIFS(clean_sales!T:T,clean_sales!C:C,RFM_Analysis!A272)</f>
        <v>4500</v>
      </c>
      <c r="F272">
        <f t="shared" ca="1" si="25"/>
        <v>5</v>
      </c>
      <c r="G272">
        <f t="shared" si="26"/>
        <v>1</v>
      </c>
      <c r="H272">
        <f t="shared" si="27"/>
        <v>1</v>
      </c>
      <c r="I272" t="str">
        <f t="shared" ca="1" si="28"/>
        <v>511</v>
      </c>
      <c r="J272" t="str">
        <f t="shared" ca="1" si="29"/>
        <v>Regular</v>
      </c>
    </row>
    <row r="273" spans="1:10" x14ac:dyDescent="0.35">
      <c r="A273" t="s">
        <v>2059</v>
      </c>
      <c r="B273" s="2">
        <f>_xlfn.MAXIFS(clean_sales!P:P,clean_sales!C:C,RFM_Analysis!A273)</f>
        <v>45735</v>
      </c>
      <c r="C273">
        <f t="shared" ca="1" si="24"/>
        <v>293</v>
      </c>
      <c r="D273">
        <f>COUNTIFS(clean_sales!C:C,RFM_Analysis!A273)</f>
        <v>1</v>
      </c>
      <c r="E273">
        <f>SUMIFS(clean_sales!T:T,clean_sales!C:C,RFM_Analysis!A273)</f>
        <v>15000</v>
      </c>
      <c r="F273">
        <f t="shared" ca="1" si="25"/>
        <v>1</v>
      </c>
      <c r="G273">
        <f t="shared" si="26"/>
        <v>1</v>
      </c>
      <c r="H273">
        <f t="shared" si="27"/>
        <v>1</v>
      </c>
      <c r="I273" t="str">
        <f t="shared" ca="1" si="28"/>
        <v>111</v>
      </c>
      <c r="J273" t="str">
        <f t="shared" ca="1" si="29"/>
        <v>At Risk</v>
      </c>
    </row>
    <row r="274" spans="1:10" x14ac:dyDescent="0.35">
      <c r="A274" t="s">
        <v>2060</v>
      </c>
      <c r="B274" s="2">
        <f>_xlfn.MAXIFS(clean_sales!P:P,clean_sales!C:C,RFM_Analysis!A274)</f>
        <v>45707</v>
      </c>
      <c r="C274">
        <f t="shared" ca="1" si="24"/>
        <v>321</v>
      </c>
      <c r="D274">
        <f>COUNTIFS(clean_sales!C:C,RFM_Analysis!A274)</f>
        <v>1</v>
      </c>
      <c r="E274">
        <f>SUMIFS(clean_sales!T:T,clean_sales!C:C,RFM_Analysis!A274)</f>
        <v>18000</v>
      </c>
      <c r="F274">
        <f t="shared" ca="1" si="25"/>
        <v>1</v>
      </c>
      <c r="G274">
        <f t="shared" si="26"/>
        <v>1</v>
      </c>
      <c r="H274">
        <f t="shared" si="27"/>
        <v>2</v>
      </c>
      <c r="I274" t="str">
        <f t="shared" ca="1" si="28"/>
        <v>112</v>
      </c>
      <c r="J274" t="str">
        <f t="shared" ca="1" si="29"/>
        <v>At Risk</v>
      </c>
    </row>
    <row r="275" spans="1:10" x14ac:dyDescent="0.35">
      <c r="A275" t="s">
        <v>2061</v>
      </c>
      <c r="B275" s="2">
        <f>_xlfn.MAXIFS(clean_sales!P:P,clean_sales!C:C,RFM_Analysis!A275)</f>
        <v>45802</v>
      </c>
      <c r="C275">
        <f t="shared" ca="1" si="24"/>
        <v>226</v>
      </c>
      <c r="D275">
        <f>COUNTIFS(clean_sales!C:C,RFM_Analysis!A275)</f>
        <v>1</v>
      </c>
      <c r="E275">
        <f>SUMIFS(clean_sales!T:T,clean_sales!C:C,RFM_Analysis!A275)</f>
        <v>290000</v>
      </c>
      <c r="F275">
        <f t="shared" ca="1" si="25"/>
        <v>2</v>
      </c>
      <c r="G275">
        <f t="shared" si="26"/>
        <v>1</v>
      </c>
      <c r="H275">
        <f t="shared" si="27"/>
        <v>4</v>
      </c>
      <c r="I275" t="str">
        <f t="shared" ca="1" si="28"/>
        <v>214</v>
      </c>
      <c r="J275" t="str">
        <f t="shared" ca="1" si="29"/>
        <v>At Risk</v>
      </c>
    </row>
    <row r="276" spans="1:10" x14ac:dyDescent="0.35">
      <c r="A276" t="s">
        <v>2062</v>
      </c>
      <c r="B276" s="2">
        <f>_xlfn.MAXIFS(clean_sales!P:P,clean_sales!C:C,RFM_Analysis!A276)</f>
        <v>45977</v>
      </c>
      <c r="C276">
        <f t="shared" ca="1" si="24"/>
        <v>51</v>
      </c>
      <c r="D276">
        <f>COUNTIFS(clean_sales!C:C,RFM_Analysis!A276)</f>
        <v>3</v>
      </c>
      <c r="E276">
        <f>SUMIFS(clean_sales!T:T,clean_sales!C:C,RFM_Analysis!A276)</f>
        <v>550000</v>
      </c>
      <c r="F276">
        <f t="shared" ca="1" si="25"/>
        <v>4</v>
      </c>
      <c r="G276">
        <f t="shared" si="26"/>
        <v>5</v>
      </c>
      <c r="H276">
        <f t="shared" si="27"/>
        <v>5</v>
      </c>
      <c r="I276" t="str">
        <f t="shared" ca="1" si="28"/>
        <v>455</v>
      </c>
      <c r="J276" t="str">
        <f t="shared" ca="1" si="29"/>
        <v>Loyal</v>
      </c>
    </row>
    <row r="277" spans="1:10" x14ac:dyDescent="0.35">
      <c r="A277" t="s">
        <v>2063</v>
      </c>
      <c r="B277" s="2">
        <f>_xlfn.MAXIFS(clean_sales!P:P,clean_sales!C:C,RFM_Analysis!A277)</f>
        <v>45884</v>
      </c>
      <c r="C277">
        <f t="shared" ca="1" si="24"/>
        <v>144</v>
      </c>
      <c r="D277">
        <f>COUNTIFS(clean_sales!C:C,RFM_Analysis!A277)</f>
        <v>1</v>
      </c>
      <c r="E277">
        <f>SUMIFS(clean_sales!T:T,clean_sales!C:C,RFM_Analysis!A277)</f>
        <v>144000</v>
      </c>
      <c r="F277">
        <f t="shared" ca="1" si="25"/>
        <v>3</v>
      </c>
      <c r="G277">
        <f t="shared" si="26"/>
        <v>1</v>
      </c>
      <c r="H277">
        <f t="shared" si="27"/>
        <v>3</v>
      </c>
      <c r="I277" t="str">
        <f t="shared" ca="1" si="28"/>
        <v>313</v>
      </c>
      <c r="J277" t="str">
        <f t="shared" ca="1" si="29"/>
        <v>Regular</v>
      </c>
    </row>
    <row r="278" spans="1:10" x14ac:dyDescent="0.35">
      <c r="A278" t="s">
        <v>2064</v>
      </c>
      <c r="B278" s="2">
        <f>_xlfn.MAXIFS(clean_sales!P:P,clean_sales!C:C,RFM_Analysis!A278)</f>
        <v>45692</v>
      </c>
      <c r="C278">
        <f t="shared" ca="1" si="24"/>
        <v>336</v>
      </c>
      <c r="D278">
        <f>COUNTIFS(clean_sales!C:C,RFM_Analysis!A278)</f>
        <v>1</v>
      </c>
      <c r="E278">
        <f>SUMIFS(clean_sales!T:T,clean_sales!C:C,RFM_Analysis!A278)</f>
        <v>174000</v>
      </c>
      <c r="F278">
        <f t="shared" ca="1" si="25"/>
        <v>1</v>
      </c>
      <c r="G278">
        <f t="shared" si="26"/>
        <v>1</v>
      </c>
      <c r="H278">
        <f t="shared" si="27"/>
        <v>4</v>
      </c>
      <c r="I278" t="str">
        <f t="shared" ca="1" si="28"/>
        <v>114</v>
      </c>
      <c r="J278" t="str">
        <f t="shared" ca="1" si="29"/>
        <v>At Risk</v>
      </c>
    </row>
    <row r="279" spans="1:10" x14ac:dyDescent="0.35">
      <c r="A279" t="s">
        <v>2065</v>
      </c>
      <c r="B279" s="2">
        <f>_xlfn.MAXIFS(clean_sales!P:P,clean_sales!C:C,RFM_Analysis!A279)</f>
        <v>46023</v>
      </c>
      <c r="C279">
        <f t="shared" ca="1" si="24"/>
        <v>5</v>
      </c>
      <c r="D279">
        <f>COUNTIFS(clean_sales!C:C,RFM_Analysis!A279)</f>
        <v>2</v>
      </c>
      <c r="E279">
        <f>SUMIFS(clean_sales!T:T,clean_sales!C:C,RFM_Analysis!A279)</f>
        <v>308000</v>
      </c>
      <c r="F279">
        <f t="shared" ca="1" si="25"/>
        <v>5</v>
      </c>
      <c r="G279">
        <f t="shared" si="26"/>
        <v>3</v>
      </c>
      <c r="H279">
        <f t="shared" si="27"/>
        <v>4</v>
      </c>
      <c r="I279" t="str">
        <f t="shared" ca="1" si="28"/>
        <v>534</v>
      </c>
      <c r="J279" t="str">
        <f t="shared" ca="1" si="29"/>
        <v>Regular</v>
      </c>
    </row>
    <row r="280" spans="1:10" x14ac:dyDescent="0.35">
      <c r="A280" t="s">
        <v>2066</v>
      </c>
      <c r="B280" s="2">
        <f>_xlfn.MAXIFS(clean_sales!P:P,clean_sales!C:C,RFM_Analysis!A280)</f>
        <v>45976</v>
      </c>
      <c r="C280">
        <f t="shared" ca="1" si="24"/>
        <v>52</v>
      </c>
      <c r="D280">
        <f>COUNTIFS(clean_sales!C:C,RFM_Analysis!A280)</f>
        <v>2</v>
      </c>
      <c r="E280">
        <f>SUMIFS(clean_sales!T:T,clean_sales!C:C,RFM_Analysis!A280)</f>
        <v>13600</v>
      </c>
      <c r="F280">
        <f t="shared" ca="1" si="25"/>
        <v>4</v>
      </c>
      <c r="G280">
        <f t="shared" si="26"/>
        <v>3</v>
      </c>
      <c r="H280">
        <f t="shared" si="27"/>
        <v>1</v>
      </c>
      <c r="I280" t="str">
        <f t="shared" ca="1" si="28"/>
        <v>431</v>
      </c>
      <c r="J280" t="str">
        <f t="shared" ca="1" si="29"/>
        <v>Regular</v>
      </c>
    </row>
    <row r="281" spans="1:10" x14ac:dyDescent="0.35">
      <c r="A281" t="s">
        <v>2067</v>
      </c>
      <c r="B281" s="2">
        <f>_xlfn.MAXIFS(clean_sales!P:P,clean_sales!C:C,RFM_Analysis!A281)</f>
        <v>46025</v>
      </c>
      <c r="C281">
        <f t="shared" ca="1" si="24"/>
        <v>3</v>
      </c>
      <c r="D281">
        <f>COUNTIFS(clean_sales!C:C,RFM_Analysis!A281)</f>
        <v>2</v>
      </c>
      <c r="E281">
        <f>SUMIFS(clean_sales!T:T,clean_sales!C:C,RFM_Analysis!A281)</f>
        <v>90000</v>
      </c>
      <c r="F281">
        <f t="shared" ca="1" si="25"/>
        <v>5</v>
      </c>
      <c r="G281">
        <f t="shared" si="26"/>
        <v>3</v>
      </c>
      <c r="H281">
        <f t="shared" si="27"/>
        <v>3</v>
      </c>
      <c r="I281" t="str">
        <f t="shared" ca="1" si="28"/>
        <v>533</v>
      </c>
      <c r="J281" t="str">
        <f t="shared" ca="1" si="29"/>
        <v>Regular</v>
      </c>
    </row>
    <row r="282" spans="1:10" x14ac:dyDescent="0.35">
      <c r="A282" t="s">
        <v>2068</v>
      </c>
      <c r="B282" s="2">
        <f>_xlfn.MAXIFS(clean_sales!P:P,clean_sales!C:C,RFM_Analysis!A282)</f>
        <v>45914</v>
      </c>
      <c r="C282">
        <f t="shared" ca="1" si="24"/>
        <v>114</v>
      </c>
      <c r="D282">
        <f>COUNTIFS(clean_sales!C:C,RFM_Analysis!A282)</f>
        <v>2</v>
      </c>
      <c r="E282">
        <f>SUMIFS(clean_sales!T:T,clean_sales!C:C,RFM_Analysis!A282)</f>
        <v>49800</v>
      </c>
      <c r="F282">
        <f t="shared" ca="1" si="25"/>
        <v>3</v>
      </c>
      <c r="G282">
        <f t="shared" si="26"/>
        <v>3</v>
      </c>
      <c r="H282">
        <f t="shared" si="27"/>
        <v>2</v>
      </c>
      <c r="I282" t="str">
        <f t="shared" ca="1" si="28"/>
        <v>332</v>
      </c>
      <c r="J282" t="str">
        <f t="shared" ca="1" si="29"/>
        <v>Regular</v>
      </c>
    </row>
    <row r="283" spans="1:10" x14ac:dyDescent="0.35">
      <c r="A283" t="s">
        <v>2069</v>
      </c>
      <c r="B283" s="2">
        <f>_xlfn.MAXIFS(clean_sales!P:P,clean_sales!C:C,RFM_Analysis!A283)</f>
        <v>46015</v>
      </c>
      <c r="C283">
        <f t="shared" ca="1" si="24"/>
        <v>13</v>
      </c>
      <c r="D283">
        <f>COUNTIFS(clean_sales!C:C,RFM_Analysis!A283)</f>
        <v>1</v>
      </c>
      <c r="E283">
        <f>SUMIFS(clean_sales!T:T,clean_sales!C:C,RFM_Analysis!A283)</f>
        <v>360000</v>
      </c>
      <c r="F283">
        <f t="shared" ca="1" si="25"/>
        <v>5</v>
      </c>
      <c r="G283">
        <f t="shared" si="26"/>
        <v>1</v>
      </c>
      <c r="H283">
        <f t="shared" si="27"/>
        <v>5</v>
      </c>
      <c r="I283" t="str">
        <f t="shared" ca="1" si="28"/>
        <v>515</v>
      </c>
      <c r="J283" t="str">
        <f t="shared" ca="1" si="29"/>
        <v>Regular</v>
      </c>
    </row>
    <row r="284" spans="1:10" x14ac:dyDescent="0.35">
      <c r="A284" t="s">
        <v>2070</v>
      </c>
      <c r="B284" s="2">
        <f>_xlfn.MAXIFS(clean_sales!P:P,clean_sales!C:C,RFM_Analysis!A284)</f>
        <v>46010</v>
      </c>
      <c r="C284">
        <f t="shared" ca="1" si="24"/>
        <v>18</v>
      </c>
      <c r="D284">
        <f>COUNTIFS(clean_sales!C:C,RFM_Analysis!A284)</f>
        <v>3</v>
      </c>
      <c r="E284">
        <f>SUMIFS(clean_sales!T:T,clean_sales!C:C,RFM_Analysis!A284)</f>
        <v>346600</v>
      </c>
      <c r="F284">
        <f t="shared" ca="1" si="25"/>
        <v>5</v>
      </c>
      <c r="G284">
        <f t="shared" si="26"/>
        <v>5</v>
      </c>
      <c r="H284">
        <f t="shared" si="27"/>
        <v>5</v>
      </c>
      <c r="I284" t="str">
        <f t="shared" ca="1" si="28"/>
        <v>555</v>
      </c>
      <c r="J284" t="str">
        <f t="shared" ca="1" si="29"/>
        <v>Champions</v>
      </c>
    </row>
    <row r="285" spans="1:10" x14ac:dyDescent="0.35">
      <c r="A285" t="s">
        <v>2071</v>
      </c>
      <c r="B285" s="2">
        <f>_xlfn.MAXIFS(clean_sales!P:P,clean_sales!C:C,RFM_Analysis!A285)</f>
        <v>45920</v>
      </c>
      <c r="C285">
        <f t="shared" ca="1" si="24"/>
        <v>108</v>
      </c>
      <c r="D285">
        <f>COUNTIFS(clean_sales!C:C,RFM_Analysis!A285)</f>
        <v>4</v>
      </c>
      <c r="E285">
        <f>SUMIFS(clean_sales!T:T,clean_sales!C:C,RFM_Analysis!A285)</f>
        <v>444000</v>
      </c>
      <c r="F285">
        <f t="shared" ca="1" si="25"/>
        <v>4</v>
      </c>
      <c r="G285">
        <f t="shared" si="26"/>
        <v>5</v>
      </c>
      <c r="H285">
        <f t="shared" si="27"/>
        <v>5</v>
      </c>
      <c r="I285" t="str">
        <f t="shared" ca="1" si="28"/>
        <v>455</v>
      </c>
      <c r="J285" t="str">
        <f t="shared" ca="1" si="29"/>
        <v>Loyal</v>
      </c>
    </row>
    <row r="286" spans="1:10" x14ac:dyDescent="0.35">
      <c r="A286" t="s">
        <v>2072</v>
      </c>
      <c r="B286" s="2">
        <f>_xlfn.MAXIFS(clean_sales!P:P,clean_sales!C:C,RFM_Analysis!A286)</f>
        <v>45916</v>
      </c>
      <c r="C286">
        <f t="shared" ca="1" si="24"/>
        <v>112</v>
      </c>
      <c r="D286">
        <f>COUNTIFS(clean_sales!C:C,RFM_Analysis!A286)</f>
        <v>5</v>
      </c>
      <c r="E286">
        <f>SUMIFS(clean_sales!T:T,clean_sales!C:C,RFM_Analysis!A286)</f>
        <v>672000</v>
      </c>
      <c r="F286">
        <f t="shared" ca="1" si="25"/>
        <v>3</v>
      </c>
      <c r="G286">
        <f t="shared" si="26"/>
        <v>5</v>
      </c>
      <c r="H286">
        <f t="shared" si="27"/>
        <v>5</v>
      </c>
      <c r="I286" t="str">
        <f t="shared" ca="1" si="28"/>
        <v>355</v>
      </c>
      <c r="J286" t="str">
        <f t="shared" ca="1" si="29"/>
        <v>Regular</v>
      </c>
    </row>
    <row r="287" spans="1:10" x14ac:dyDescent="0.35">
      <c r="A287" t="s">
        <v>2073</v>
      </c>
      <c r="B287" s="2">
        <f>_xlfn.MAXIFS(clean_sales!P:P,clean_sales!C:C,RFM_Analysis!A287)</f>
        <v>45893</v>
      </c>
      <c r="C287">
        <f t="shared" ca="1" si="24"/>
        <v>135</v>
      </c>
      <c r="D287">
        <f>COUNTIFS(clean_sales!C:C,RFM_Analysis!A287)</f>
        <v>2</v>
      </c>
      <c r="E287">
        <f>SUMIFS(clean_sales!T:T,clean_sales!C:C,RFM_Analysis!A287)</f>
        <v>89000</v>
      </c>
      <c r="F287">
        <f t="shared" ca="1" si="25"/>
        <v>3</v>
      </c>
      <c r="G287">
        <f t="shared" si="26"/>
        <v>3</v>
      </c>
      <c r="H287">
        <f t="shared" si="27"/>
        <v>3</v>
      </c>
      <c r="I287" t="str">
        <f t="shared" ca="1" si="28"/>
        <v>333</v>
      </c>
      <c r="J287" t="str">
        <f t="shared" ca="1" si="29"/>
        <v>Regular</v>
      </c>
    </row>
    <row r="288" spans="1:10" x14ac:dyDescent="0.35">
      <c r="A288" t="s">
        <v>2074</v>
      </c>
      <c r="B288" s="2">
        <f>_xlfn.MAXIFS(clean_sales!P:P,clean_sales!C:C,RFM_Analysis!A288)</f>
        <v>45943</v>
      </c>
      <c r="C288">
        <f t="shared" ca="1" si="24"/>
        <v>85</v>
      </c>
      <c r="D288">
        <f>COUNTIFS(clean_sales!C:C,RFM_Analysis!A288)</f>
        <v>3</v>
      </c>
      <c r="E288">
        <f>SUMIFS(clean_sales!T:T,clean_sales!C:C,RFM_Analysis!A288)</f>
        <v>397200</v>
      </c>
      <c r="F288">
        <f t="shared" ca="1" si="25"/>
        <v>4</v>
      </c>
      <c r="G288">
        <f t="shared" si="26"/>
        <v>5</v>
      </c>
      <c r="H288">
        <f t="shared" si="27"/>
        <v>5</v>
      </c>
      <c r="I288" t="str">
        <f t="shared" ca="1" si="28"/>
        <v>455</v>
      </c>
      <c r="J288" t="str">
        <f t="shared" ca="1" si="29"/>
        <v>Loyal</v>
      </c>
    </row>
    <row r="289" spans="1:10" x14ac:dyDescent="0.35">
      <c r="A289" t="s">
        <v>2075</v>
      </c>
      <c r="B289" s="2">
        <f>_xlfn.MAXIFS(clean_sales!P:P,clean_sales!C:C,RFM_Analysis!A289)</f>
        <v>45865</v>
      </c>
      <c r="C289">
        <f t="shared" ca="1" si="24"/>
        <v>163</v>
      </c>
      <c r="D289">
        <f>COUNTIFS(clean_sales!C:C,RFM_Analysis!A289)</f>
        <v>2</v>
      </c>
      <c r="E289">
        <f>SUMIFS(clean_sales!T:T,clean_sales!C:C,RFM_Analysis!A289)</f>
        <v>346000</v>
      </c>
      <c r="F289">
        <f t="shared" ca="1" si="25"/>
        <v>3</v>
      </c>
      <c r="G289">
        <f t="shared" si="26"/>
        <v>3</v>
      </c>
      <c r="H289">
        <f t="shared" si="27"/>
        <v>5</v>
      </c>
      <c r="I289" t="str">
        <f t="shared" ca="1" si="28"/>
        <v>335</v>
      </c>
      <c r="J289" t="str">
        <f t="shared" ca="1" si="29"/>
        <v>Regular</v>
      </c>
    </row>
    <row r="290" spans="1:10" x14ac:dyDescent="0.35">
      <c r="A290" t="s">
        <v>2076</v>
      </c>
      <c r="B290" s="2">
        <f>_xlfn.MAXIFS(clean_sales!P:P,clean_sales!C:C,RFM_Analysis!A290)</f>
        <v>45794</v>
      </c>
      <c r="C290">
        <f t="shared" ca="1" si="24"/>
        <v>234</v>
      </c>
      <c r="D290">
        <f>COUNTIFS(clean_sales!C:C,RFM_Analysis!A290)</f>
        <v>2</v>
      </c>
      <c r="E290">
        <f>SUMIFS(clean_sales!T:T,clean_sales!C:C,RFM_Analysis!A290)</f>
        <v>220000</v>
      </c>
      <c r="F290">
        <f t="shared" ca="1" si="25"/>
        <v>2</v>
      </c>
      <c r="G290">
        <f t="shared" si="26"/>
        <v>3</v>
      </c>
      <c r="H290">
        <f t="shared" si="27"/>
        <v>4</v>
      </c>
      <c r="I290" t="str">
        <f t="shared" ca="1" si="28"/>
        <v>234</v>
      </c>
      <c r="J290" t="str">
        <f t="shared" ca="1" si="29"/>
        <v>At Risk</v>
      </c>
    </row>
    <row r="291" spans="1:10" x14ac:dyDescent="0.35">
      <c r="A291" t="s">
        <v>2077</v>
      </c>
      <c r="B291" s="2">
        <f>_xlfn.MAXIFS(clean_sales!P:P,clean_sales!C:C,RFM_Analysis!A291)</f>
        <v>45905</v>
      </c>
      <c r="C291">
        <f t="shared" ca="1" si="24"/>
        <v>123</v>
      </c>
      <c r="D291">
        <f>COUNTIFS(clean_sales!C:C,RFM_Analysis!A291)</f>
        <v>2</v>
      </c>
      <c r="E291">
        <f>SUMIFS(clean_sales!T:T,clean_sales!C:C,RFM_Analysis!A291)</f>
        <v>236500</v>
      </c>
      <c r="F291">
        <f t="shared" ca="1" si="25"/>
        <v>3</v>
      </c>
      <c r="G291">
        <f t="shared" si="26"/>
        <v>3</v>
      </c>
      <c r="H291">
        <f t="shared" si="27"/>
        <v>4</v>
      </c>
      <c r="I291" t="str">
        <f t="shared" ca="1" si="28"/>
        <v>334</v>
      </c>
      <c r="J291" t="str">
        <f t="shared" ca="1" si="29"/>
        <v>Regular</v>
      </c>
    </row>
    <row r="292" spans="1:10" x14ac:dyDescent="0.35">
      <c r="A292" t="s">
        <v>2078</v>
      </c>
      <c r="B292" s="2">
        <f>_xlfn.MAXIFS(clean_sales!P:P,clean_sales!C:C,RFM_Analysis!A292)</f>
        <v>45981</v>
      </c>
      <c r="C292">
        <f t="shared" ca="1" si="24"/>
        <v>47</v>
      </c>
      <c r="D292">
        <f>COUNTIFS(clean_sales!C:C,RFM_Analysis!A292)</f>
        <v>1</v>
      </c>
      <c r="E292">
        <f>SUMIFS(clean_sales!T:T,clean_sales!C:C,RFM_Analysis!A292)</f>
        <v>15000</v>
      </c>
      <c r="F292">
        <f t="shared" ca="1" si="25"/>
        <v>5</v>
      </c>
      <c r="G292">
        <f t="shared" si="26"/>
        <v>1</v>
      </c>
      <c r="H292">
        <f t="shared" si="27"/>
        <v>1</v>
      </c>
      <c r="I292" t="str">
        <f t="shared" ca="1" si="28"/>
        <v>511</v>
      </c>
      <c r="J292" t="str">
        <f t="shared" ca="1" si="29"/>
        <v>Regular</v>
      </c>
    </row>
    <row r="293" spans="1:10" x14ac:dyDescent="0.35">
      <c r="A293" t="s">
        <v>2079</v>
      </c>
      <c r="B293" s="2">
        <f>_xlfn.MAXIFS(clean_sales!P:P,clean_sales!C:C,RFM_Analysis!A293)</f>
        <v>45724</v>
      </c>
      <c r="C293">
        <f t="shared" ca="1" si="24"/>
        <v>304</v>
      </c>
      <c r="D293">
        <f>COUNTIFS(clean_sales!C:C,RFM_Analysis!A293)</f>
        <v>2</v>
      </c>
      <c r="E293">
        <f>SUMIFS(clean_sales!T:T,clean_sales!C:C,RFM_Analysis!A293)</f>
        <v>18000</v>
      </c>
      <c r="F293">
        <f t="shared" ca="1" si="25"/>
        <v>1</v>
      </c>
      <c r="G293">
        <f t="shared" si="26"/>
        <v>3</v>
      </c>
      <c r="H293">
        <f t="shared" si="27"/>
        <v>2</v>
      </c>
      <c r="I293" t="str">
        <f t="shared" ca="1" si="28"/>
        <v>132</v>
      </c>
      <c r="J293" t="str">
        <f t="shared" ca="1" si="29"/>
        <v>At Risk</v>
      </c>
    </row>
    <row r="294" spans="1:10" x14ac:dyDescent="0.35">
      <c r="A294" t="s">
        <v>2080</v>
      </c>
      <c r="B294" s="2">
        <f>_xlfn.MAXIFS(clean_sales!P:P,clean_sales!C:C,RFM_Analysis!A294)</f>
        <v>46004</v>
      </c>
      <c r="C294">
        <f t="shared" ca="1" si="24"/>
        <v>24</v>
      </c>
      <c r="D294">
        <f>COUNTIFS(clean_sales!C:C,RFM_Analysis!A294)</f>
        <v>3</v>
      </c>
      <c r="E294">
        <f>SUMIFS(clean_sales!T:T,clean_sales!C:C,RFM_Analysis!A294)</f>
        <v>340500</v>
      </c>
      <c r="F294">
        <f t="shared" ca="1" si="25"/>
        <v>5</v>
      </c>
      <c r="G294">
        <f t="shared" si="26"/>
        <v>5</v>
      </c>
      <c r="H294">
        <f t="shared" si="27"/>
        <v>5</v>
      </c>
      <c r="I294" t="str">
        <f t="shared" ca="1" si="28"/>
        <v>555</v>
      </c>
      <c r="J294" t="str">
        <f t="shared" ca="1" si="29"/>
        <v>Champions</v>
      </c>
    </row>
    <row r="295" spans="1:10" x14ac:dyDescent="0.35">
      <c r="A295" t="s">
        <v>2081</v>
      </c>
      <c r="B295" s="2">
        <f>_xlfn.MAXIFS(clean_sales!P:P,clean_sales!C:C,RFM_Analysis!A295)</f>
        <v>45894</v>
      </c>
      <c r="C295">
        <f t="shared" ca="1" si="24"/>
        <v>134</v>
      </c>
      <c r="D295">
        <f>COUNTIFS(clean_sales!C:C,RFM_Analysis!A295)</f>
        <v>1</v>
      </c>
      <c r="E295">
        <f>SUMIFS(clean_sales!T:T,clean_sales!C:C,RFM_Analysis!A295)</f>
        <v>12000</v>
      </c>
      <c r="F295">
        <f t="shared" ca="1" si="25"/>
        <v>3</v>
      </c>
      <c r="G295">
        <f t="shared" si="26"/>
        <v>1</v>
      </c>
      <c r="H295">
        <f t="shared" si="27"/>
        <v>1</v>
      </c>
      <c r="I295" t="str">
        <f t="shared" ca="1" si="28"/>
        <v>311</v>
      </c>
      <c r="J295" t="str">
        <f t="shared" ca="1" si="29"/>
        <v>Regular</v>
      </c>
    </row>
    <row r="296" spans="1:10" x14ac:dyDescent="0.35">
      <c r="A296" t="s">
        <v>2082</v>
      </c>
      <c r="B296" s="2">
        <f>_xlfn.MAXIFS(clean_sales!P:P,clean_sales!C:C,RFM_Analysis!A296)</f>
        <v>45873</v>
      </c>
      <c r="C296">
        <f t="shared" ca="1" si="24"/>
        <v>155</v>
      </c>
      <c r="D296">
        <f>COUNTIFS(clean_sales!C:C,RFM_Analysis!A296)</f>
        <v>3</v>
      </c>
      <c r="E296">
        <f>SUMIFS(clean_sales!T:T,clean_sales!C:C,RFM_Analysis!A296)</f>
        <v>387900</v>
      </c>
      <c r="F296">
        <f t="shared" ca="1" si="25"/>
        <v>3</v>
      </c>
      <c r="G296">
        <f t="shared" si="26"/>
        <v>5</v>
      </c>
      <c r="H296">
        <f t="shared" si="27"/>
        <v>5</v>
      </c>
      <c r="I296" t="str">
        <f t="shared" ca="1" si="28"/>
        <v>355</v>
      </c>
      <c r="J296" t="str">
        <f t="shared" ca="1" si="29"/>
        <v>Regular</v>
      </c>
    </row>
    <row r="297" spans="1:10" x14ac:dyDescent="0.35">
      <c r="A297" t="s">
        <v>2083</v>
      </c>
      <c r="B297" s="2">
        <f>_xlfn.MAXIFS(clean_sales!P:P,clean_sales!C:C,RFM_Analysis!A297)</f>
        <v>46011</v>
      </c>
      <c r="C297">
        <f t="shared" ca="1" si="24"/>
        <v>17</v>
      </c>
      <c r="D297">
        <f>COUNTIFS(clean_sales!C:C,RFM_Analysis!A297)</f>
        <v>5</v>
      </c>
      <c r="E297">
        <f>SUMIFS(clean_sales!T:T,clean_sales!C:C,RFM_Analysis!A297)</f>
        <v>887000</v>
      </c>
      <c r="F297">
        <f t="shared" ca="1" si="25"/>
        <v>5</v>
      </c>
      <c r="G297">
        <f t="shared" si="26"/>
        <v>5</v>
      </c>
      <c r="H297">
        <f t="shared" si="27"/>
        <v>5</v>
      </c>
      <c r="I297" t="str">
        <f t="shared" ca="1" si="28"/>
        <v>555</v>
      </c>
      <c r="J297" t="str">
        <f t="shared" ca="1" si="29"/>
        <v>Champions</v>
      </c>
    </row>
    <row r="298" spans="1:10" x14ac:dyDescent="0.35">
      <c r="A298" t="s">
        <v>2084</v>
      </c>
      <c r="B298" s="2">
        <f>_xlfn.MAXIFS(clean_sales!P:P,clean_sales!C:C,RFM_Analysis!A298)</f>
        <v>45867</v>
      </c>
      <c r="C298">
        <f t="shared" ca="1" si="24"/>
        <v>161</v>
      </c>
      <c r="D298">
        <f>COUNTIFS(clean_sales!C:C,RFM_Analysis!A298)</f>
        <v>1</v>
      </c>
      <c r="E298">
        <f>SUMIFS(clean_sales!T:T,clean_sales!C:C,RFM_Analysis!A298)</f>
        <v>15000</v>
      </c>
      <c r="F298">
        <f t="shared" ca="1" si="25"/>
        <v>3</v>
      </c>
      <c r="G298">
        <f t="shared" si="26"/>
        <v>1</v>
      </c>
      <c r="H298">
        <f t="shared" si="27"/>
        <v>1</v>
      </c>
      <c r="I298" t="str">
        <f t="shared" ca="1" si="28"/>
        <v>311</v>
      </c>
      <c r="J298" t="str">
        <f t="shared" ca="1" si="29"/>
        <v>Regular</v>
      </c>
    </row>
    <row r="299" spans="1:10" x14ac:dyDescent="0.35">
      <c r="A299" t="s">
        <v>2085</v>
      </c>
      <c r="B299" s="2">
        <f>_xlfn.MAXIFS(clean_sales!P:P,clean_sales!C:C,RFM_Analysis!A299)</f>
        <v>45694</v>
      </c>
      <c r="C299">
        <f t="shared" ca="1" si="24"/>
        <v>334</v>
      </c>
      <c r="D299">
        <f>COUNTIFS(clean_sales!C:C,RFM_Analysis!A299)</f>
        <v>1</v>
      </c>
      <c r="E299">
        <f>SUMIFS(clean_sales!T:T,clean_sales!C:C,RFM_Analysis!A299)</f>
        <v>9000</v>
      </c>
      <c r="F299">
        <f t="shared" ca="1" si="25"/>
        <v>1</v>
      </c>
      <c r="G299">
        <f t="shared" si="26"/>
        <v>1</v>
      </c>
      <c r="H299">
        <f t="shared" si="27"/>
        <v>1</v>
      </c>
      <c r="I299" t="str">
        <f t="shared" ca="1" si="28"/>
        <v>111</v>
      </c>
      <c r="J299" t="str">
        <f t="shared" ca="1" si="29"/>
        <v>At Risk</v>
      </c>
    </row>
    <row r="300" spans="1:10" x14ac:dyDescent="0.35">
      <c r="A300" t="s">
        <v>2086</v>
      </c>
      <c r="B300" s="2">
        <f>_xlfn.MAXIFS(clean_sales!P:P,clean_sales!C:C,RFM_Analysis!A300)</f>
        <v>45874</v>
      </c>
      <c r="C300">
        <f t="shared" ca="1" si="24"/>
        <v>154</v>
      </c>
      <c r="D300">
        <f>COUNTIFS(clean_sales!C:C,RFM_Analysis!A300)</f>
        <v>1</v>
      </c>
      <c r="E300">
        <f>SUMIFS(clean_sales!T:T,clean_sales!C:C,RFM_Analysis!A300)</f>
        <v>60000</v>
      </c>
      <c r="F300">
        <f t="shared" ca="1" si="25"/>
        <v>3</v>
      </c>
      <c r="G300">
        <f t="shared" si="26"/>
        <v>1</v>
      </c>
      <c r="H300">
        <f t="shared" si="27"/>
        <v>3</v>
      </c>
      <c r="I300" t="str">
        <f t="shared" ca="1" si="28"/>
        <v>313</v>
      </c>
      <c r="J300" t="str">
        <f t="shared" ca="1" si="29"/>
        <v>Regular</v>
      </c>
    </row>
    <row r="301" spans="1:10" x14ac:dyDescent="0.35">
      <c r="A301" t="s">
        <v>2087</v>
      </c>
      <c r="B301" s="2">
        <f>_xlfn.MAXIFS(clean_sales!P:P,clean_sales!C:C,RFM_Analysis!A301)</f>
        <v>45866</v>
      </c>
      <c r="C301">
        <f t="shared" ca="1" si="24"/>
        <v>162</v>
      </c>
      <c r="D301">
        <f>COUNTIFS(clean_sales!C:C,RFM_Analysis!A301)</f>
        <v>1</v>
      </c>
      <c r="E301">
        <f>SUMIFS(clean_sales!T:T,clean_sales!C:C,RFM_Analysis!A301)</f>
        <v>36000</v>
      </c>
      <c r="F301">
        <f t="shared" ca="1" si="25"/>
        <v>3</v>
      </c>
      <c r="G301">
        <f t="shared" si="26"/>
        <v>1</v>
      </c>
      <c r="H301">
        <f t="shared" si="27"/>
        <v>2</v>
      </c>
      <c r="I301" t="str">
        <f t="shared" ca="1" si="28"/>
        <v>312</v>
      </c>
      <c r="J301" t="str">
        <f t="shared" ca="1" si="29"/>
        <v>Regular</v>
      </c>
    </row>
    <row r="302" spans="1:10" x14ac:dyDescent="0.35">
      <c r="A302" t="s">
        <v>2088</v>
      </c>
      <c r="B302" s="2">
        <f>_xlfn.MAXIFS(clean_sales!P:P,clean_sales!C:C,RFM_Analysis!A302)</f>
        <v>45917</v>
      </c>
      <c r="C302">
        <f t="shared" ca="1" si="24"/>
        <v>111</v>
      </c>
      <c r="D302">
        <f>COUNTIFS(clean_sales!C:C,RFM_Analysis!A302)</f>
        <v>1</v>
      </c>
      <c r="E302">
        <f>SUMIFS(clean_sales!T:T,clean_sales!C:C,RFM_Analysis!A302)</f>
        <v>9000</v>
      </c>
      <c r="F302">
        <f t="shared" ca="1" si="25"/>
        <v>3</v>
      </c>
      <c r="G302">
        <f t="shared" si="26"/>
        <v>1</v>
      </c>
      <c r="H302">
        <f t="shared" si="27"/>
        <v>1</v>
      </c>
      <c r="I302" t="str">
        <f t="shared" ca="1" si="28"/>
        <v>311</v>
      </c>
      <c r="J302" t="str">
        <f t="shared" ca="1" si="29"/>
        <v>Regular</v>
      </c>
    </row>
    <row r="303" spans="1:10" x14ac:dyDescent="0.35">
      <c r="A303" t="s">
        <v>2089</v>
      </c>
      <c r="B303" s="2">
        <f>_xlfn.MAXIFS(clean_sales!P:P,clean_sales!C:C,RFM_Analysis!A303)</f>
        <v>45967</v>
      </c>
      <c r="C303">
        <f t="shared" ca="1" si="24"/>
        <v>61</v>
      </c>
      <c r="D303">
        <f>COUNTIFS(clean_sales!C:C,RFM_Analysis!A303)</f>
        <v>2</v>
      </c>
      <c r="E303">
        <f>SUMIFS(clean_sales!T:T,clean_sales!C:C,RFM_Analysis!A303)</f>
        <v>74000</v>
      </c>
      <c r="F303">
        <f t="shared" ca="1" si="25"/>
        <v>4</v>
      </c>
      <c r="G303">
        <f t="shared" si="26"/>
        <v>3</v>
      </c>
      <c r="H303">
        <f t="shared" si="27"/>
        <v>3</v>
      </c>
      <c r="I303" t="str">
        <f t="shared" ca="1" si="28"/>
        <v>433</v>
      </c>
      <c r="J303" t="str">
        <f t="shared" ca="1" si="29"/>
        <v>Regular</v>
      </c>
    </row>
    <row r="304" spans="1:10" x14ac:dyDescent="0.35">
      <c r="A304" t="s">
        <v>2090</v>
      </c>
      <c r="B304" s="2">
        <f>_xlfn.MAXIFS(clean_sales!P:P,clean_sales!C:C,RFM_Analysis!A304)</f>
        <v>45861</v>
      </c>
      <c r="C304">
        <f t="shared" ca="1" si="24"/>
        <v>167</v>
      </c>
      <c r="D304">
        <f>COUNTIFS(clean_sales!C:C,RFM_Analysis!A304)</f>
        <v>1</v>
      </c>
      <c r="E304">
        <f>SUMIFS(clean_sales!T:T,clean_sales!C:C,RFM_Analysis!A304)</f>
        <v>65000</v>
      </c>
      <c r="F304">
        <f t="shared" ca="1" si="25"/>
        <v>3</v>
      </c>
      <c r="G304">
        <f t="shared" si="26"/>
        <v>1</v>
      </c>
      <c r="H304">
        <f t="shared" si="27"/>
        <v>3</v>
      </c>
      <c r="I304" t="str">
        <f t="shared" ca="1" si="28"/>
        <v>313</v>
      </c>
      <c r="J304" t="str">
        <f t="shared" ca="1" si="29"/>
        <v>Regular</v>
      </c>
    </row>
    <row r="305" spans="1:10" x14ac:dyDescent="0.35">
      <c r="A305" t="s">
        <v>2091</v>
      </c>
      <c r="B305" s="2">
        <f>_xlfn.MAXIFS(clean_sales!P:P,clean_sales!C:C,RFM_Analysis!A305)</f>
        <v>45840</v>
      </c>
      <c r="C305">
        <f t="shared" ca="1" si="24"/>
        <v>188</v>
      </c>
      <c r="D305">
        <f>COUNTIFS(clean_sales!C:C,RFM_Analysis!A305)</f>
        <v>2</v>
      </c>
      <c r="E305">
        <f>SUMIFS(clean_sales!T:T,clean_sales!C:C,RFM_Analysis!A305)</f>
        <v>149400</v>
      </c>
      <c r="F305">
        <f t="shared" ca="1" si="25"/>
        <v>2</v>
      </c>
      <c r="G305">
        <f t="shared" si="26"/>
        <v>3</v>
      </c>
      <c r="H305">
        <f t="shared" si="27"/>
        <v>3</v>
      </c>
      <c r="I305" t="str">
        <f t="shared" ca="1" si="28"/>
        <v>233</v>
      </c>
      <c r="J305" t="str">
        <f t="shared" ca="1" si="29"/>
        <v>At Risk</v>
      </c>
    </row>
    <row r="306" spans="1:10" x14ac:dyDescent="0.35">
      <c r="A306" t="s">
        <v>2092</v>
      </c>
      <c r="B306" s="2">
        <f>_xlfn.MAXIFS(clean_sales!P:P,clean_sales!C:C,RFM_Analysis!A306)</f>
        <v>45666</v>
      </c>
      <c r="C306">
        <f t="shared" ca="1" si="24"/>
        <v>362</v>
      </c>
      <c r="D306">
        <f>COUNTIFS(clean_sales!C:C,RFM_Analysis!A306)</f>
        <v>1</v>
      </c>
      <c r="E306">
        <f>SUMIFS(clean_sales!T:T,clean_sales!C:C,RFM_Analysis!A306)</f>
        <v>3600</v>
      </c>
      <c r="F306">
        <f t="shared" ca="1" si="25"/>
        <v>1</v>
      </c>
      <c r="G306">
        <f t="shared" si="26"/>
        <v>1</v>
      </c>
      <c r="H306">
        <f t="shared" si="27"/>
        <v>1</v>
      </c>
      <c r="I306" t="str">
        <f t="shared" ca="1" si="28"/>
        <v>111</v>
      </c>
      <c r="J306" t="str">
        <f t="shared" ca="1" si="29"/>
        <v>At Risk</v>
      </c>
    </row>
    <row r="307" spans="1:10" x14ac:dyDescent="0.35">
      <c r="A307" t="s">
        <v>2093</v>
      </c>
      <c r="B307" s="2">
        <f>_xlfn.MAXIFS(clean_sales!P:P,clean_sales!C:C,RFM_Analysis!A307)</f>
        <v>45910</v>
      </c>
      <c r="C307">
        <f t="shared" ca="1" si="24"/>
        <v>118</v>
      </c>
      <c r="D307">
        <f>COUNTIFS(clean_sales!C:C,RFM_Analysis!A307)</f>
        <v>2</v>
      </c>
      <c r="E307">
        <f>SUMIFS(clean_sales!T:T,clean_sales!C:C,RFM_Analysis!A307)</f>
        <v>78000</v>
      </c>
      <c r="F307">
        <f t="shared" ca="1" si="25"/>
        <v>3</v>
      </c>
      <c r="G307">
        <f t="shared" si="26"/>
        <v>3</v>
      </c>
      <c r="H307">
        <f t="shared" si="27"/>
        <v>3</v>
      </c>
      <c r="I307" t="str">
        <f t="shared" ca="1" si="28"/>
        <v>333</v>
      </c>
      <c r="J307" t="str">
        <f t="shared" ca="1" si="29"/>
        <v>Regular</v>
      </c>
    </row>
    <row r="308" spans="1:10" x14ac:dyDescent="0.35">
      <c r="A308" t="s">
        <v>2094</v>
      </c>
      <c r="B308" s="2">
        <f>_xlfn.MAXIFS(clean_sales!P:P,clean_sales!C:C,RFM_Analysis!A308)</f>
        <v>45858</v>
      </c>
      <c r="C308">
        <f t="shared" ca="1" si="24"/>
        <v>170</v>
      </c>
      <c r="D308">
        <f>COUNTIFS(clean_sales!C:C,RFM_Analysis!A308)</f>
        <v>1</v>
      </c>
      <c r="E308">
        <f>SUMIFS(clean_sales!T:T,clean_sales!C:C,RFM_Analysis!A308)</f>
        <v>144000</v>
      </c>
      <c r="F308">
        <f t="shared" ca="1" si="25"/>
        <v>2</v>
      </c>
      <c r="G308">
        <f t="shared" si="26"/>
        <v>1</v>
      </c>
      <c r="H308">
        <f t="shared" si="27"/>
        <v>3</v>
      </c>
      <c r="I308" t="str">
        <f t="shared" ca="1" si="28"/>
        <v>213</v>
      </c>
      <c r="J308" t="str">
        <f t="shared" ca="1" si="29"/>
        <v>At Risk</v>
      </c>
    </row>
    <row r="309" spans="1:10" x14ac:dyDescent="0.35">
      <c r="A309" t="s">
        <v>2095</v>
      </c>
      <c r="B309" s="2">
        <f>_xlfn.MAXIFS(clean_sales!P:P,clean_sales!C:C,RFM_Analysis!A309)</f>
        <v>45804</v>
      </c>
      <c r="C309">
        <f t="shared" ca="1" si="24"/>
        <v>224</v>
      </c>
      <c r="D309">
        <f>COUNTIFS(clean_sales!C:C,RFM_Analysis!A309)</f>
        <v>2</v>
      </c>
      <c r="E309">
        <f>SUMIFS(clean_sales!T:T,clean_sales!C:C,RFM_Analysis!A309)</f>
        <v>245500</v>
      </c>
      <c r="F309">
        <f t="shared" ca="1" si="25"/>
        <v>2</v>
      </c>
      <c r="G309">
        <f t="shared" si="26"/>
        <v>3</v>
      </c>
      <c r="H309">
        <f t="shared" si="27"/>
        <v>4</v>
      </c>
      <c r="I309" t="str">
        <f t="shared" ca="1" si="28"/>
        <v>234</v>
      </c>
      <c r="J309" t="str">
        <f t="shared" ca="1" si="29"/>
        <v>At Risk</v>
      </c>
    </row>
    <row r="310" spans="1:10" x14ac:dyDescent="0.35">
      <c r="A310" t="s">
        <v>2096</v>
      </c>
      <c r="B310" s="2">
        <f>_xlfn.MAXIFS(clean_sales!P:P,clean_sales!C:C,RFM_Analysis!A310)</f>
        <v>45714</v>
      </c>
      <c r="C310">
        <f t="shared" ca="1" si="24"/>
        <v>314</v>
      </c>
      <c r="D310">
        <f>COUNTIFS(clean_sales!C:C,RFM_Analysis!A310)</f>
        <v>1</v>
      </c>
      <c r="E310">
        <f>SUMIFS(clean_sales!T:T,clean_sales!C:C,RFM_Analysis!A310)</f>
        <v>195000</v>
      </c>
      <c r="F310">
        <f t="shared" ca="1" si="25"/>
        <v>1</v>
      </c>
      <c r="G310">
        <f t="shared" si="26"/>
        <v>1</v>
      </c>
      <c r="H310">
        <f t="shared" si="27"/>
        <v>4</v>
      </c>
      <c r="I310" t="str">
        <f t="shared" ca="1" si="28"/>
        <v>114</v>
      </c>
      <c r="J310" t="str">
        <f t="shared" ca="1" si="29"/>
        <v>At Risk</v>
      </c>
    </row>
    <row r="311" spans="1:10" x14ac:dyDescent="0.35">
      <c r="A311" t="s">
        <v>2097</v>
      </c>
      <c r="B311" s="2">
        <f>_xlfn.MAXIFS(clean_sales!P:P,clean_sales!C:C,RFM_Analysis!A311)</f>
        <v>46014</v>
      </c>
      <c r="C311">
        <f t="shared" ca="1" si="24"/>
        <v>14</v>
      </c>
      <c r="D311">
        <f>COUNTIFS(clean_sales!C:C,RFM_Analysis!A311)</f>
        <v>4</v>
      </c>
      <c r="E311">
        <f>SUMIFS(clean_sales!T:T,clean_sales!C:C,RFM_Analysis!A311)</f>
        <v>391200</v>
      </c>
      <c r="F311">
        <f t="shared" ca="1" si="25"/>
        <v>5</v>
      </c>
      <c r="G311">
        <f t="shared" si="26"/>
        <v>5</v>
      </c>
      <c r="H311">
        <f t="shared" si="27"/>
        <v>5</v>
      </c>
      <c r="I311" t="str">
        <f t="shared" ca="1" si="28"/>
        <v>555</v>
      </c>
      <c r="J311" t="str">
        <f t="shared" ca="1" si="29"/>
        <v>Champions</v>
      </c>
    </row>
    <row r="312" spans="1:10" x14ac:dyDescent="0.35">
      <c r="A312" t="s">
        <v>2098</v>
      </c>
      <c r="B312" s="2">
        <f>_xlfn.MAXIFS(clean_sales!P:P,clean_sales!C:C,RFM_Analysis!A312)</f>
        <v>45880</v>
      </c>
      <c r="C312">
        <f t="shared" ca="1" si="24"/>
        <v>148</v>
      </c>
      <c r="D312">
        <f>COUNTIFS(clean_sales!C:C,RFM_Analysis!A312)</f>
        <v>1</v>
      </c>
      <c r="E312">
        <f>SUMIFS(clean_sales!T:T,clean_sales!C:C,RFM_Analysis!A312)</f>
        <v>18000</v>
      </c>
      <c r="F312">
        <f t="shared" ca="1" si="25"/>
        <v>3</v>
      </c>
      <c r="G312">
        <f t="shared" si="26"/>
        <v>1</v>
      </c>
      <c r="H312">
        <f t="shared" si="27"/>
        <v>2</v>
      </c>
      <c r="I312" t="str">
        <f t="shared" ca="1" si="28"/>
        <v>312</v>
      </c>
      <c r="J312" t="str">
        <f t="shared" ca="1" si="29"/>
        <v>Regular</v>
      </c>
    </row>
    <row r="313" spans="1:10" x14ac:dyDescent="0.35">
      <c r="A313" t="s">
        <v>2099</v>
      </c>
      <c r="B313" s="2">
        <f>_xlfn.MAXIFS(clean_sales!P:P,clean_sales!C:C,RFM_Analysis!A313)</f>
        <v>45764</v>
      </c>
      <c r="C313">
        <f t="shared" ca="1" si="24"/>
        <v>264</v>
      </c>
      <c r="D313">
        <f>COUNTIFS(clean_sales!C:C,RFM_Analysis!A313)</f>
        <v>1</v>
      </c>
      <c r="E313">
        <f>SUMIFS(clean_sales!T:T,clean_sales!C:C,RFM_Analysis!A313)</f>
        <v>260000</v>
      </c>
      <c r="F313">
        <f t="shared" ca="1" si="25"/>
        <v>1</v>
      </c>
      <c r="G313">
        <f t="shared" si="26"/>
        <v>1</v>
      </c>
      <c r="H313">
        <f t="shared" si="27"/>
        <v>4</v>
      </c>
      <c r="I313" t="str">
        <f t="shared" ca="1" si="28"/>
        <v>114</v>
      </c>
      <c r="J313" t="str">
        <f t="shared" ca="1" si="29"/>
        <v>At Risk</v>
      </c>
    </row>
    <row r="314" spans="1:10" x14ac:dyDescent="0.35">
      <c r="A314" t="s">
        <v>2100</v>
      </c>
      <c r="B314" s="2">
        <f>_xlfn.MAXIFS(clean_sales!P:P,clean_sales!C:C,RFM_Analysis!A314)</f>
        <v>45863</v>
      </c>
      <c r="C314">
        <f t="shared" ca="1" si="24"/>
        <v>165</v>
      </c>
      <c r="D314">
        <f>COUNTIFS(clean_sales!C:C,RFM_Analysis!A314)</f>
        <v>1</v>
      </c>
      <c r="E314">
        <f>SUMIFS(clean_sales!T:T,clean_sales!C:C,RFM_Analysis!A314)</f>
        <v>116000</v>
      </c>
      <c r="F314">
        <f t="shared" ca="1" si="25"/>
        <v>3</v>
      </c>
      <c r="G314">
        <f t="shared" si="26"/>
        <v>1</v>
      </c>
      <c r="H314">
        <f t="shared" si="27"/>
        <v>3</v>
      </c>
      <c r="I314" t="str">
        <f t="shared" ca="1" si="28"/>
        <v>313</v>
      </c>
      <c r="J314" t="str">
        <f t="shared" ca="1" si="29"/>
        <v>Regular</v>
      </c>
    </row>
    <row r="315" spans="1:10" x14ac:dyDescent="0.35">
      <c r="A315" t="s">
        <v>2101</v>
      </c>
      <c r="B315" s="2">
        <f>_xlfn.MAXIFS(clean_sales!P:P,clean_sales!C:C,RFM_Analysis!A315)</f>
        <v>45687</v>
      </c>
      <c r="C315">
        <f t="shared" ca="1" si="24"/>
        <v>341</v>
      </c>
      <c r="D315">
        <f>COUNTIFS(clean_sales!C:C,RFM_Analysis!A315)</f>
        <v>1</v>
      </c>
      <c r="E315">
        <f>SUMIFS(clean_sales!T:T,clean_sales!C:C,RFM_Analysis!A315)</f>
        <v>9000</v>
      </c>
      <c r="F315">
        <f t="shared" ca="1" si="25"/>
        <v>1</v>
      </c>
      <c r="G315">
        <f t="shared" si="26"/>
        <v>1</v>
      </c>
      <c r="H315">
        <f t="shared" si="27"/>
        <v>1</v>
      </c>
      <c r="I315" t="str">
        <f t="shared" ca="1" si="28"/>
        <v>111</v>
      </c>
      <c r="J315" t="str">
        <f t="shared" ca="1" si="29"/>
        <v>At Risk</v>
      </c>
    </row>
    <row r="316" spans="1:10" x14ac:dyDescent="0.35">
      <c r="A316" t="s">
        <v>2102</v>
      </c>
      <c r="B316" s="2">
        <f>_xlfn.MAXIFS(clean_sales!P:P,clean_sales!C:C,RFM_Analysis!A316)</f>
        <v>45891</v>
      </c>
      <c r="C316">
        <f t="shared" ca="1" si="24"/>
        <v>137</v>
      </c>
      <c r="D316">
        <f>COUNTIFS(clean_sales!C:C,RFM_Analysis!A316)</f>
        <v>5</v>
      </c>
      <c r="E316">
        <f>SUMIFS(clean_sales!T:T,clean_sales!C:C,RFM_Analysis!A316)</f>
        <v>354000</v>
      </c>
      <c r="F316">
        <f t="shared" ca="1" si="25"/>
        <v>3</v>
      </c>
      <c r="G316">
        <f t="shared" si="26"/>
        <v>5</v>
      </c>
      <c r="H316">
        <f t="shared" si="27"/>
        <v>5</v>
      </c>
      <c r="I316" t="str">
        <f t="shared" ca="1" si="28"/>
        <v>355</v>
      </c>
      <c r="J316" t="str">
        <f t="shared" ca="1" si="29"/>
        <v>Regular</v>
      </c>
    </row>
    <row r="317" spans="1:10" x14ac:dyDescent="0.35">
      <c r="A317" t="s">
        <v>2103</v>
      </c>
      <c r="B317" s="2">
        <f>_xlfn.MAXIFS(clean_sales!P:P,clean_sales!C:C,RFM_Analysis!A317)</f>
        <v>46002</v>
      </c>
      <c r="C317">
        <f t="shared" ca="1" si="24"/>
        <v>26</v>
      </c>
      <c r="D317">
        <f>COUNTIFS(clean_sales!C:C,RFM_Analysis!A317)</f>
        <v>3</v>
      </c>
      <c r="E317">
        <f>SUMIFS(clean_sales!T:T,clean_sales!C:C,RFM_Analysis!A317)</f>
        <v>441000</v>
      </c>
      <c r="F317">
        <f t="shared" ca="1" si="25"/>
        <v>5</v>
      </c>
      <c r="G317">
        <f t="shared" si="26"/>
        <v>5</v>
      </c>
      <c r="H317">
        <f t="shared" si="27"/>
        <v>5</v>
      </c>
      <c r="I317" t="str">
        <f t="shared" ca="1" si="28"/>
        <v>555</v>
      </c>
      <c r="J317" t="str">
        <f t="shared" ca="1" si="29"/>
        <v>Champions</v>
      </c>
    </row>
    <row r="318" spans="1:10" x14ac:dyDescent="0.35">
      <c r="A318" t="s">
        <v>2104</v>
      </c>
      <c r="B318" s="2">
        <f>_xlfn.MAXIFS(clean_sales!P:P,clean_sales!C:C,RFM_Analysis!A318)</f>
        <v>45806</v>
      </c>
      <c r="C318">
        <f t="shared" ca="1" si="24"/>
        <v>222</v>
      </c>
      <c r="D318">
        <f>COUNTIFS(clean_sales!C:C,RFM_Analysis!A318)</f>
        <v>2</v>
      </c>
      <c r="E318">
        <f>SUMIFS(clean_sales!T:T,clean_sales!C:C,RFM_Analysis!A318)</f>
        <v>14400</v>
      </c>
      <c r="F318">
        <f t="shared" ca="1" si="25"/>
        <v>2</v>
      </c>
      <c r="G318">
        <f t="shared" si="26"/>
        <v>3</v>
      </c>
      <c r="H318">
        <f t="shared" si="27"/>
        <v>1</v>
      </c>
      <c r="I318" t="str">
        <f t="shared" ca="1" si="28"/>
        <v>231</v>
      </c>
      <c r="J318" t="str">
        <f t="shared" ca="1" si="29"/>
        <v>At Risk</v>
      </c>
    </row>
    <row r="319" spans="1:10" x14ac:dyDescent="0.35">
      <c r="A319" t="s">
        <v>2105</v>
      </c>
      <c r="B319" s="2">
        <f>_xlfn.MAXIFS(clean_sales!P:P,clean_sales!C:C,RFM_Analysis!A319)</f>
        <v>45930</v>
      </c>
      <c r="C319">
        <f t="shared" ca="1" si="24"/>
        <v>98</v>
      </c>
      <c r="D319">
        <f>COUNTIFS(clean_sales!C:C,RFM_Analysis!A319)</f>
        <v>1</v>
      </c>
      <c r="E319">
        <f>SUMIFS(clean_sales!T:T,clean_sales!C:C,RFM_Analysis!A319)</f>
        <v>5000</v>
      </c>
      <c r="F319">
        <f t="shared" ca="1" si="25"/>
        <v>4</v>
      </c>
      <c r="G319">
        <f t="shared" si="26"/>
        <v>1</v>
      </c>
      <c r="H319">
        <f t="shared" si="27"/>
        <v>1</v>
      </c>
      <c r="I319" t="str">
        <f t="shared" ca="1" si="28"/>
        <v>411</v>
      </c>
      <c r="J319" t="str">
        <f t="shared" ca="1" si="29"/>
        <v>Regular</v>
      </c>
    </row>
    <row r="320" spans="1:10" x14ac:dyDescent="0.35">
      <c r="A320" t="s">
        <v>2106</v>
      </c>
      <c r="B320" s="2">
        <f>_xlfn.MAXIFS(clean_sales!P:P,clean_sales!C:C,RFM_Analysis!A320)</f>
        <v>45976</v>
      </c>
      <c r="C320">
        <f t="shared" ca="1" si="24"/>
        <v>52</v>
      </c>
      <c r="D320">
        <f>COUNTIFS(clean_sales!C:C,RFM_Analysis!A320)</f>
        <v>1</v>
      </c>
      <c r="E320">
        <f>SUMIFS(clean_sales!T:T,clean_sales!C:C,RFM_Analysis!A320)</f>
        <v>144000</v>
      </c>
      <c r="F320">
        <f t="shared" ca="1" si="25"/>
        <v>4</v>
      </c>
      <c r="G320">
        <f t="shared" si="26"/>
        <v>1</v>
      </c>
      <c r="H320">
        <f t="shared" si="27"/>
        <v>3</v>
      </c>
      <c r="I320" t="str">
        <f t="shared" ca="1" si="28"/>
        <v>413</v>
      </c>
      <c r="J320" t="str">
        <f t="shared" ca="1" si="29"/>
        <v>Regular</v>
      </c>
    </row>
    <row r="321" spans="1:10" x14ac:dyDescent="0.35">
      <c r="A321" t="s">
        <v>2107</v>
      </c>
      <c r="B321" s="2">
        <f>_xlfn.MAXIFS(clean_sales!P:P,clean_sales!C:C,RFM_Analysis!A321)</f>
        <v>45698</v>
      </c>
      <c r="C321">
        <f t="shared" ca="1" si="24"/>
        <v>330</v>
      </c>
      <c r="D321">
        <f>COUNTIFS(clean_sales!C:C,RFM_Analysis!A321)</f>
        <v>1</v>
      </c>
      <c r="E321">
        <f>SUMIFS(clean_sales!T:T,clean_sales!C:C,RFM_Analysis!A321)</f>
        <v>58000</v>
      </c>
      <c r="F321">
        <f t="shared" ca="1" si="25"/>
        <v>1</v>
      </c>
      <c r="G321">
        <f t="shared" si="26"/>
        <v>1</v>
      </c>
      <c r="H321">
        <f t="shared" si="27"/>
        <v>2</v>
      </c>
      <c r="I321" t="str">
        <f t="shared" ca="1" si="28"/>
        <v>112</v>
      </c>
      <c r="J321" t="str">
        <f t="shared" ca="1" si="29"/>
        <v>At Risk</v>
      </c>
    </row>
    <row r="322" spans="1:10" x14ac:dyDescent="0.35">
      <c r="A322" t="s">
        <v>2108</v>
      </c>
      <c r="B322" s="2">
        <f>_xlfn.MAXIFS(clean_sales!P:P,clean_sales!C:C,RFM_Analysis!A322)</f>
        <v>45837</v>
      </c>
      <c r="C322">
        <f t="shared" ca="1" si="24"/>
        <v>191</v>
      </c>
      <c r="D322">
        <f>COUNTIFS(clean_sales!C:C,RFM_Analysis!A322)</f>
        <v>2</v>
      </c>
      <c r="E322">
        <f>SUMIFS(clean_sales!T:T,clean_sales!C:C,RFM_Analysis!A322)</f>
        <v>373500</v>
      </c>
      <c r="F322">
        <f t="shared" ca="1" si="25"/>
        <v>2</v>
      </c>
      <c r="G322">
        <f t="shared" si="26"/>
        <v>3</v>
      </c>
      <c r="H322">
        <f t="shared" si="27"/>
        <v>5</v>
      </c>
      <c r="I322" t="str">
        <f t="shared" ca="1" si="28"/>
        <v>235</v>
      </c>
      <c r="J322" t="str">
        <f t="shared" ca="1" si="29"/>
        <v>At Risk</v>
      </c>
    </row>
    <row r="323" spans="1:10" x14ac:dyDescent="0.35">
      <c r="A323" t="s">
        <v>2109</v>
      </c>
      <c r="B323" s="2">
        <f>_xlfn.MAXIFS(clean_sales!P:P,clean_sales!C:C,RFM_Analysis!A323)</f>
        <v>45919</v>
      </c>
      <c r="C323">
        <f t="shared" ref="C323:C386" ca="1" si="30">TODAY()-B323</f>
        <v>109</v>
      </c>
      <c r="D323">
        <f>COUNTIFS(clean_sales!C:C,RFM_Analysis!A323)</f>
        <v>1</v>
      </c>
      <c r="E323">
        <f>SUMIFS(clean_sales!T:T,clean_sales!C:C,RFM_Analysis!A323)</f>
        <v>288000</v>
      </c>
      <c r="F323">
        <f t="shared" ref="F323:F386" ca="1" si="31">IF(C323&lt;=PERCENTILE($C:$C,0.2),5,
IF(C323&lt;=PERCENTILE($C:$C,0.4),4,
IF(C323&lt;=PERCENTILE($C:$C,0.6),3,
IF(C323&lt;=PERCENTILE($C:$C,0.8),2,1))))</f>
        <v>3</v>
      </c>
      <c r="G323">
        <f t="shared" ref="G323:G386" si="32">IF(D323&lt;=PERCENTILE($D:$D,0.2),1,
IF(D323&lt;=PERCENTILE($D:$D,0.4),2,
IF(D323&lt;=PERCENTILE($D:$D,0.6),3,
IF(D323&lt;=PERCENTILE($D:$D,0.8),4,5))))</f>
        <v>1</v>
      </c>
      <c r="H323">
        <f t="shared" ref="H323:H386" si="33">IF(E323&lt;=PERCENTILE($E:$E,0.2),1,
IF(E323&lt;=PERCENTILE($E:$E,0.4),2,
IF(E323&lt;=PERCENTILE($E:$E,0.6),3,
IF(E323&lt;=PERCENTILE($E:$E,0.8),4,5))))</f>
        <v>4</v>
      </c>
      <c r="I323" t="str">
        <f t="shared" ref="I323:I386" ca="1" si="34">F323&amp;G323&amp;H323</f>
        <v>314</v>
      </c>
      <c r="J323" t="str">
        <f t="shared" ref="J323:J386" ca="1" si="35">IF(I323="555","Champions",
IF(AND(F323&gt;=4,G323&gt;=4),"Loyal",
IF(F323&lt;=2,"At Risk","Regular")))</f>
        <v>Regular</v>
      </c>
    </row>
    <row r="324" spans="1:10" x14ac:dyDescent="0.35">
      <c r="A324" t="s">
        <v>2110</v>
      </c>
      <c r="B324" s="2">
        <f>_xlfn.MAXIFS(clean_sales!P:P,clean_sales!C:C,RFM_Analysis!A324)</f>
        <v>45810</v>
      </c>
      <c r="C324">
        <f t="shared" ca="1" si="30"/>
        <v>218</v>
      </c>
      <c r="D324">
        <f>COUNTIFS(clean_sales!C:C,RFM_Analysis!A324)</f>
        <v>1</v>
      </c>
      <c r="E324">
        <f>SUMIFS(clean_sales!T:T,clean_sales!C:C,RFM_Analysis!A324)</f>
        <v>58000</v>
      </c>
      <c r="F324">
        <f t="shared" ca="1" si="31"/>
        <v>2</v>
      </c>
      <c r="G324">
        <f t="shared" si="32"/>
        <v>1</v>
      </c>
      <c r="H324">
        <f t="shared" si="33"/>
        <v>2</v>
      </c>
      <c r="I324" t="str">
        <f t="shared" ca="1" si="34"/>
        <v>212</v>
      </c>
      <c r="J324" t="str">
        <f t="shared" ca="1" si="35"/>
        <v>At Risk</v>
      </c>
    </row>
    <row r="325" spans="1:10" x14ac:dyDescent="0.35">
      <c r="A325" t="s">
        <v>2111</v>
      </c>
      <c r="B325" s="2">
        <f>_xlfn.MAXIFS(clean_sales!P:P,clean_sales!C:C,RFM_Analysis!A325)</f>
        <v>45784</v>
      </c>
      <c r="C325">
        <f t="shared" ca="1" si="30"/>
        <v>244</v>
      </c>
      <c r="D325">
        <f>COUNTIFS(clean_sales!C:C,RFM_Analysis!A325)</f>
        <v>2</v>
      </c>
      <c r="E325">
        <f>SUMIFS(clean_sales!T:T,clean_sales!C:C,RFM_Analysis!A325)</f>
        <v>69000</v>
      </c>
      <c r="F325">
        <f t="shared" ca="1" si="31"/>
        <v>1</v>
      </c>
      <c r="G325">
        <f t="shared" si="32"/>
        <v>3</v>
      </c>
      <c r="H325">
        <f t="shared" si="33"/>
        <v>3</v>
      </c>
      <c r="I325" t="str">
        <f t="shared" ca="1" si="34"/>
        <v>133</v>
      </c>
      <c r="J325" t="str">
        <f t="shared" ca="1" si="35"/>
        <v>At Risk</v>
      </c>
    </row>
    <row r="326" spans="1:10" x14ac:dyDescent="0.35">
      <c r="A326" t="s">
        <v>2112</v>
      </c>
      <c r="B326" s="2">
        <f>_xlfn.MAXIFS(clean_sales!P:P,clean_sales!C:C,RFM_Analysis!A326)</f>
        <v>46009</v>
      </c>
      <c r="C326">
        <f t="shared" ca="1" si="30"/>
        <v>19</v>
      </c>
      <c r="D326">
        <f>COUNTIFS(clean_sales!C:C,RFM_Analysis!A326)</f>
        <v>1</v>
      </c>
      <c r="E326">
        <f>SUMIFS(clean_sales!T:T,clean_sales!C:C,RFM_Analysis!A326)</f>
        <v>325000</v>
      </c>
      <c r="F326">
        <f t="shared" ca="1" si="31"/>
        <v>5</v>
      </c>
      <c r="G326">
        <f t="shared" si="32"/>
        <v>1</v>
      </c>
      <c r="H326">
        <f t="shared" si="33"/>
        <v>5</v>
      </c>
      <c r="I326" t="str">
        <f t="shared" ca="1" si="34"/>
        <v>515</v>
      </c>
      <c r="J326" t="str">
        <f t="shared" ca="1" si="35"/>
        <v>Regular</v>
      </c>
    </row>
    <row r="327" spans="1:10" x14ac:dyDescent="0.35">
      <c r="A327" t="s">
        <v>2113</v>
      </c>
      <c r="B327" s="2">
        <f>_xlfn.MAXIFS(clean_sales!P:P,clean_sales!C:C,RFM_Analysis!A327)</f>
        <v>45785</v>
      </c>
      <c r="C327">
        <f t="shared" ca="1" si="30"/>
        <v>243</v>
      </c>
      <c r="D327">
        <f>COUNTIFS(clean_sales!C:C,RFM_Analysis!A327)</f>
        <v>1</v>
      </c>
      <c r="E327">
        <f>SUMIFS(clean_sales!T:T,clean_sales!C:C,RFM_Analysis!A327)</f>
        <v>58000</v>
      </c>
      <c r="F327">
        <f t="shared" ca="1" si="31"/>
        <v>1</v>
      </c>
      <c r="G327">
        <f t="shared" si="32"/>
        <v>1</v>
      </c>
      <c r="H327">
        <f t="shared" si="33"/>
        <v>2</v>
      </c>
      <c r="I327" t="str">
        <f t="shared" ca="1" si="34"/>
        <v>112</v>
      </c>
      <c r="J327" t="str">
        <f t="shared" ca="1" si="35"/>
        <v>At Risk</v>
      </c>
    </row>
    <row r="328" spans="1:10" x14ac:dyDescent="0.35">
      <c r="A328" t="s">
        <v>2114</v>
      </c>
      <c r="B328" s="2">
        <f>_xlfn.MAXIFS(clean_sales!P:P,clean_sales!C:C,RFM_Analysis!A328)</f>
        <v>46001</v>
      </c>
      <c r="C328">
        <f t="shared" ca="1" si="30"/>
        <v>27</v>
      </c>
      <c r="D328">
        <f>COUNTIFS(clean_sales!C:C,RFM_Analysis!A328)</f>
        <v>2</v>
      </c>
      <c r="E328">
        <f>SUMIFS(clean_sales!T:T,clean_sales!C:C,RFM_Analysis!A328)</f>
        <v>28500</v>
      </c>
      <c r="F328">
        <f t="shared" ca="1" si="31"/>
        <v>5</v>
      </c>
      <c r="G328">
        <f t="shared" si="32"/>
        <v>3</v>
      </c>
      <c r="H328">
        <f t="shared" si="33"/>
        <v>2</v>
      </c>
      <c r="I328" t="str">
        <f t="shared" ca="1" si="34"/>
        <v>532</v>
      </c>
      <c r="J328" t="str">
        <f t="shared" ca="1" si="35"/>
        <v>Regular</v>
      </c>
    </row>
    <row r="329" spans="1:10" x14ac:dyDescent="0.35">
      <c r="A329" t="s">
        <v>2115</v>
      </c>
      <c r="B329" s="2">
        <f>_xlfn.MAXIFS(clean_sales!P:P,clean_sales!C:C,RFM_Analysis!A329)</f>
        <v>45961</v>
      </c>
      <c r="C329">
        <f t="shared" ca="1" si="30"/>
        <v>67</v>
      </c>
      <c r="D329">
        <f>COUNTIFS(clean_sales!C:C,RFM_Analysis!A329)</f>
        <v>2</v>
      </c>
      <c r="E329">
        <f>SUMIFS(clean_sales!T:T,clean_sales!C:C,RFM_Analysis!A329)</f>
        <v>318000</v>
      </c>
      <c r="F329">
        <f t="shared" ca="1" si="31"/>
        <v>4</v>
      </c>
      <c r="G329">
        <f t="shared" si="32"/>
        <v>3</v>
      </c>
      <c r="H329">
        <f t="shared" si="33"/>
        <v>5</v>
      </c>
      <c r="I329" t="str">
        <f t="shared" ca="1" si="34"/>
        <v>435</v>
      </c>
      <c r="J329" t="str">
        <f t="shared" ca="1" si="35"/>
        <v>Regular</v>
      </c>
    </row>
    <row r="330" spans="1:10" x14ac:dyDescent="0.35">
      <c r="A330" t="s">
        <v>2116</v>
      </c>
      <c r="B330" s="2">
        <f>_xlfn.MAXIFS(clean_sales!P:P,clean_sales!C:C,RFM_Analysis!A330)</f>
        <v>45812</v>
      </c>
      <c r="C330">
        <f t="shared" ca="1" si="30"/>
        <v>216</v>
      </c>
      <c r="D330">
        <f>COUNTIFS(clean_sales!C:C,RFM_Analysis!A330)</f>
        <v>2</v>
      </c>
      <c r="E330">
        <f>SUMIFS(clean_sales!T:T,clean_sales!C:C,RFM_Analysis!A330)</f>
        <v>235600</v>
      </c>
      <c r="F330">
        <f t="shared" ca="1" si="31"/>
        <v>2</v>
      </c>
      <c r="G330">
        <f t="shared" si="32"/>
        <v>3</v>
      </c>
      <c r="H330">
        <f t="shared" si="33"/>
        <v>4</v>
      </c>
      <c r="I330" t="str">
        <f t="shared" ca="1" si="34"/>
        <v>234</v>
      </c>
      <c r="J330" t="str">
        <f t="shared" ca="1" si="35"/>
        <v>At Risk</v>
      </c>
    </row>
    <row r="331" spans="1:10" x14ac:dyDescent="0.35">
      <c r="A331" t="s">
        <v>2117</v>
      </c>
      <c r="B331" s="2">
        <f>_xlfn.MAXIFS(clean_sales!P:P,clean_sales!C:C,RFM_Analysis!A331)</f>
        <v>45815</v>
      </c>
      <c r="C331">
        <f t="shared" ca="1" si="30"/>
        <v>213</v>
      </c>
      <c r="D331">
        <f>COUNTIFS(clean_sales!C:C,RFM_Analysis!A331)</f>
        <v>1</v>
      </c>
      <c r="E331">
        <f>SUMIFS(clean_sales!T:T,clean_sales!C:C,RFM_Analysis!A331)</f>
        <v>174000</v>
      </c>
      <c r="F331">
        <f t="shared" ca="1" si="31"/>
        <v>2</v>
      </c>
      <c r="G331">
        <f t="shared" si="32"/>
        <v>1</v>
      </c>
      <c r="H331">
        <f t="shared" si="33"/>
        <v>4</v>
      </c>
      <c r="I331" t="str">
        <f t="shared" ca="1" si="34"/>
        <v>214</v>
      </c>
      <c r="J331" t="str">
        <f t="shared" ca="1" si="35"/>
        <v>At Risk</v>
      </c>
    </row>
    <row r="332" spans="1:10" x14ac:dyDescent="0.35">
      <c r="A332" t="s">
        <v>2118</v>
      </c>
      <c r="B332" s="2">
        <f>_xlfn.MAXIFS(clean_sales!P:P,clean_sales!C:C,RFM_Analysis!A332)</f>
        <v>45662</v>
      </c>
      <c r="C332">
        <f t="shared" ca="1" si="30"/>
        <v>366</v>
      </c>
      <c r="D332">
        <f>COUNTIFS(clean_sales!C:C,RFM_Analysis!A332)</f>
        <v>1</v>
      </c>
      <c r="E332">
        <f>SUMIFS(clean_sales!T:T,clean_sales!C:C,RFM_Analysis!A332)</f>
        <v>20000</v>
      </c>
      <c r="F332">
        <f t="shared" ca="1" si="31"/>
        <v>1</v>
      </c>
      <c r="G332">
        <f t="shared" si="32"/>
        <v>1</v>
      </c>
      <c r="H332">
        <f t="shared" si="33"/>
        <v>2</v>
      </c>
      <c r="I332" t="str">
        <f t="shared" ca="1" si="34"/>
        <v>112</v>
      </c>
      <c r="J332" t="str">
        <f t="shared" ca="1" si="35"/>
        <v>At Risk</v>
      </c>
    </row>
    <row r="333" spans="1:10" x14ac:dyDescent="0.35">
      <c r="A333" t="s">
        <v>2119</v>
      </c>
      <c r="B333" s="2">
        <f>_xlfn.MAXIFS(clean_sales!P:P,clean_sales!C:C,RFM_Analysis!A333)</f>
        <v>45909</v>
      </c>
      <c r="C333">
        <f t="shared" ca="1" si="30"/>
        <v>119</v>
      </c>
      <c r="D333">
        <f>COUNTIFS(clean_sales!C:C,RFM_Analysis!A333)</f>
        <v>2</v>
      </c>
      <c r="E333">
        <f>SUMIFS(clean_sales!T:T,clean_sales!C:C,RFM_Analysis!A333)</f>
        <v>390000</v>
      </c>
      <c r="F333">
        <f t="shared" ca="1" si="31"/>
        <v>3</v>
      </c>
      <c r="G333">
        <f t="shared" si="32"/>
        <v>3</v>
      </c>
      <c r="H333">
        <f t="shared" si="33"/>
        <v>5</v>
      </c>
      <c r="I333" t="str">
        <f t="shared" ca="1" si="34"/>
        <v>335</v>
      </c>
      <c r="J333" t="str">
        <f t="shared" ca="1" si="35"/>
        <v>Regular</v>
      </c>
    </row>
    <row r="334" spans="1:10" x14ac:dyDescent="0.35">
      <c r="A334" t="s">
        <v>2120</v>
      </c>
      <c r="B334" s="2">
        <f>_xlfn.MAXIFS(clean_sales!P:P,clean_sales!C:C,RFM_Analysis!A334)</f>
        <v>45893</v>
      </c>
      <c r="C334">
        <f t="shared" ca="1" si="30"/>
        <v>135</v>
      </c>
      <c r="D334">
        <f>COUNTIFS(clean_sales!C:C,RFM_Analysis!A334)</f>
        <v>1</v>
      </c>
      <c r="E334">
        <f>SUMIFS(clean_sales!T:T,clean_sales!C:C,RFM_Analysis!A334)</f>
        <v>22500</v>
      </c>
      <c r="F334">
        <f t="shared" ca="1" si="31"/>
        <v>3</v>
      </c>
      <c r="G334">
        <f t="shared" si="32"/>
        <v>1</v>
      </c>
      <c r="H334">
        <f t="shared" si="33"/>
        <v>2</v>
      </c>
      <c r="I334" t="str">
        <f t="shared" ca="1" si="34"/>
        <v>312</v>
      </c>
      <c r="J334" t="str">
        <f t="shared" ca="1" si="35"/>
        <v>Regular</v>
      </c>
    </row>
    <row r="335" spans="1:10" x14ac:dyDescent="0.35">
      <c r="A335" t="s">
        <v>2121</v>
      </c>
      <c r="B335" s="2">
        <f>_xlfn.MAXIFS(clean_sales!P:P,clean_sales!C:C,RFM_Analysis!A335)</f>
        <v>45663</v>
      </c>
      <c r="C335">
        <f t="shared" ca="1" si="30"/>
        <v>365</v>
      </c>
      <c r="D335">
        <f>COUNTIFS(clean_sales!C:C,RFM_Analysis!A335)</f>
        <v>1</v>
      </c>
      <c r="E335">
        <f>SUMIFS(clean_sales!T:T,clean_sales!C:C,RFM_Analysis!A335)</f>
        <v>25000</v>
      </c>
      <c r="F335">
        <f t="shared" ca="1" si="31"/>
        <v>1</v>
      </c>
      <c r="G335">
        <f t="shared" si="32"/>
        <v>1</v>
      </c>
      <c r="H335">
        <f t="shared" si="33"/>
        <v>2</v>
      </c>
      <c r="I335" t="str">
        <f t="shared" ca="1" si="34"/>
        <v>112</v>
      </c>
      <c r="J335" t="str">
        <f t="shared" ca="1" si="35"/>
        <v>At Risk</v>
      </c>
    </row>
    <row r="336" spans="1:10" x14ac:dyDescent="0.35">
      <c r="A336" t="s">
        <v>2122</v>
      </c>
      <c r="B336" s="2">
        <f>_xlfn.MAXIFS(clean_sales!P:P,clean_sales!C:C,RFM_Analysis!A336)</f>
        <v>45666</v>
      </c>
      <c r="C336">
        <f t="shared" ca="1" si="30"/>
        <v>362</v>
      </c>
      <c r="D336">
        <f>COUNTIFS(clean_sales!C:C,RFM_Analysis!A336)</f>
        <v>1</v>
      </c>
      <c r="E336">
        <f>SUMIFS(clean_sales!T:T,clean_sales!C:C,RFM_Analysis!A336)</f>
        <v>20000</v>
      </c>
      <c r="F336">
        <f t="shared" ca="1" si="31"/>
        <v>1</v>
      </c>
      <c r="G336">
        <f t="shared" si="32"/>
        <v>1</v>
      </c>
      <c r="H336">
        <f t="shared" si="33"/>
        <v>2</v>
      </c>
      <c r="I336" t="str">
        <f t="shared" ca="1" si="34"/>
        <v>112</v>
      </c>
      <c r="J336" t="str">
        <f t="shared" ca="1" si="35"/>
        <v>At Risk</v>
      </c>
    </row>
    <row r="337" spans="1:10" x14ac:dyDescent="0.35">
      <c r="A337" t="s">
        <v>2123</v>
      </c>
      <c r="B337" s="2">
        <f>_xlfn.MAXIFS(clean_sales!P:P,clean_sales!C:C,RFM_Analysis!A337)</f>
        <v>45929</v>
      </c>
      <c r="C337">
        <f t="shared" ca="1" si="30"/>
        <v>99</v>
      </c>
      <c r="D337">
        <f>COUNTIFS(clean_sales!C:C,RFM_Analysis!A337)</f>
        <v>2</v>
      </c>
      <c r="E337">
        <f>SUMIFS(clean_sales!T:T,clean_sales!C:C,RFM_Analysis!A337)</f>
        <v>145000</v>
      </c>
      <c r="F337">
        <f t="shared" ca="1" si="31"/>
        <v>4</v>
      </c>
      <c r="G337">
        <f t="shared" si="32"/>
        <v>3</v>
      </c>
      <c r="H337">
        <f t="shared" si="33"/>
        <v>3</v>
      </c>
      <c r="I337" t="str">
        <f t="shared" ca="1" si="34"/>
        <v>433</v>
      </c>
      <c r="J337" t="str">
        <f t="shared" ca="1" si="35"/>
        <v>Regular</v>
      </c>
    </row>
    <row r="338" spans="1:10" x14ac:dyDescent="0.35">
      <c r="A338" t="s">
        <v>2124</v>
      </c>
      <c r="B338" s="2">
        <f>_xlfn.MAXIFS(clean_sales!P:P,clean_sales!C:C,RFM_Analysis!A338)</f>
        <v>45960</v>
      </c>
      <c r="C338">
        <f t="shared" ca="1" si="30"/>
        <v>68</v>
      </c>
      <c r="D338">
        <f>COUNTIFS(clean_sales!C:C,RFM_Analysis!A338)</f>
        <v>3</v>
      </c>
      <c r="E338">
        <f>SUMIFS(clean_sales!T:T,clean_sales!C:C,RFM_Analysis!A338)</f>
        <v>385000</v>
      </c>
      <c r="F338">
        <f t="shared" ca="1" si="31"/>
        <v>4</v>
      </c>
      <c r="G338">
        <f t="shared" si="32"/>
        <v>5</v>
      </c>
      <c r="H338">
        <f t="shared" si="33"/>
        <v>5</v>
      </c>
      <c r="I338" t="str">
        <f t="shared" ca="1" si="34"/>
        <v>455</v>
      </c>
      <c r="J338" t="str">
        <f t="shared" ca="1" si="35"/>
        <v>Loyal</v>
      </c>
    </row>
    <row r="339" spans="1:10" x14ac:dyDescent="0.35">
      <c r="A339" t="s">
        <v>2125</v>
      </c>
      <c r="B339" s="2">
        <f>_xlfn.MAXIFS(clean_sales!P:P,clean_sales!C:C,RFM_Analysis!A339)</f>
        <v>46022</v>
      </c>
      <c r="C339">
        <f t="shared" ca="1" si="30"/>
        <v>6</v>
      </c>
      <c r="D339">
        <f>COUNTIFS(clean_sales!C:C,RFM_Analysis!A339)</f>
        <v>3</v>
      </c>
      <c r="E339">
        <f>SUMIFS(clean_sales!T:T,clean_sales!C:C,RFM_Analysis!A339)</f>
        <v>208600</v>
      </c>
      <c r="F339">
        <f t="shared" ca="1" si="31"/>
        <v>5</v>
      </c>
      <c r="G339">
        <f t="shared" si="32"/>
        <v>5</v>
      </c>
      <c r="H339">
        <f t="shared" si="33"/>
        <v>4</v>
      </c>
      <c r="I339" t="str">
        <f t="shared" ca="1" si="34"/>
        <v>554</v>
      </c>
      <c r="J339" t="str">
        <f t="shared" ca="1" si="35"/>
        <v>Loyal</v>
      </c>
    </row>
    <row r="340" spans="1:10" x14ac:dyDescent="0.35">
      <c r="A340" t="s">
        <v>2126</v>
      </c>
      <c r="B340" s="2">
        <f>_xlfn.MAXIFS(clean_sales!P:P,clean_sales!C:C,RFM_Analysis!A340)</f>
        <v>45809</v>
      </c>
      <c r="C340">
        <f t="shared" ca="1" si="30"/>
        <v>219</v>
      </c>
      <c r="D340">
        <f>COUNTIFS(clean_sales!C:C,RFM_Analysis!A340)</f>
        <v>1</v>
      </c>
      <c r="E340">
        <f>SUMIFS(clean_sales!T:T,clean_sales!C:C,RFM_Analysis!A340)</f>
        <v>195000</v>
      </c>
      <c r="F340">
        <f t="shared" ca="1" si="31"/>
        <v>2</v>
      </c>
      <c r="G340">
        <f t="shared" si="32"/>
        <v>1</v>
      </c>
      <c r="H340">
        <f t="shared" si="33"/>
        <v>4</v>
      </c>
      <c r="I340" t="str">
        <f t="shared" ca="1" si="34"/>
        <v>214</v>
      </c>
      <c r="J340" t="str">
        <f t="shared" ca="1" si="35"/>
        <v>At Risk</v>
      </c>
    </row>
    <row r="341" spans="1:10" x14ac:dyDescent="0.35">
      <c r="A341" t="s">
        <v>2127</v>
      </c>
      <c r="B341" s="2">
        <f>_xlfn.MAXIFS(clean_sales!P:P,clean_sales!C:C,RFM_Analysis!A341)</f>
        <v>45941</v>
      </c>
      <c r="C341">
        <f t="shared" ca="1" si="30"/>
        <v>87</v>
      </c>
      <c r="D341">
        <f>COUNTIFS(clean_sales!C:C,RFM_Analysis!A341)</f>
        <v>3</v>
      </c>
      <c r="E341">
        <f>SUMIFS(clean_sales!T:T,clean_sales!C:C,RFM_Analysis!A341)</f>
        <v>521800</v>
      </c>
      <c r="F341">
        <f t="shared" ca="1" si="31"/>
        <v>4</v>
      </c>
      <c r="G341">
        <f t="shared" si="32"/>
        <v>5</v>
      </c>
      <c r="H341">
        <f t="shared" si="33"/>
        <v>5</v>
      </c>
      <c r="I341" t="str">
        <f t="shared" ca="1" si="34"/>
        <v>455</v>
      </c>
      <c r="J341" t="str">
        <f t="shared" ca="1" si="35"/>
        <v>Loyal</v>
      </c>
    </row>
    <row r="342" spans="1:10" x14ac:dyDescent="0.35">
      <c r="A342" t="s">
        <v>2128</v>
      </c>
      <c r="B342" s="2">
        <f>_xlfn.MAXIFS(clean_sales!P:P,clean_sales!C:C,RFM_Analysis!A342)</f>
        <v>45969</v>
      </c>
      <c r="C342">
        <f t="shared" ca="1" si="30"/>
        <v>59</v>
      </c>
      <c r="D342">
        <f>COUNTIFS(clean_sales!C:C,RFM_Analysis!A342)</f>
        <v>1</v>
      </c>
      <c r="E342">
        <f>SUMIFS(clean_sales!T:T,clean_sales!C:C,RFM_Analysis!A342)</f>
        <v>24000</v>
      </c>
      <c r="F342">
        <f t="shared" ca="1" si="31"/>
        <v>4</v>
      </c>
      <c r="G342">
        <f t="shared" si="32"/>
        <v>1</v>
      </c>
      <c r="H342">
        <f t="shared" si="33"/>
        <v>2</v>
      </c>
      <c r="I342" t="str">
        <f t="shared" ca="1" si="34"/>
        <v>412</v>
      </c>
      <c r="J342" t="str">
        <f t="shared" ca="1" si="35"/>
        <v>Regular</v>
      </c>
    </row>
    <row r="343" spans="1:10" x14ac:dyDescent="0.35">
      <c r="A343" t="s">
        <v>2129</v>
      </c>
      <c r="B343" s="2">
        <f>_xlfn.MAXIFS(clean_sales!P:P,clean_sales!C:C,RFM_Analysis!A343)</f>
        <v>45999</v>
      </c>
      <c r="C343">
        <f t="shared" ca="1" si="30"/>
        <v>29</v>
      </c>
      <c r="D343">
        <f>COUNTIFS(clean_sales!C:C,RFM_Analysis!A343)</f>
        <v>1</v>
      </c>
      <c r="E343">
        <f>SUMIFS(clean_sales!T:T,clean_sales!C:C,RFM_Analysis!A343)</f>
        <v>7200</v>
      </c>
      <c r="F343">
        <f t="shared" ca="1" si="31"/>
        <v>5</v>
      </c>
      <c r="G343">
        <f t="shared" si="32"/>
        <v>1</v>
      </c>
      <c r="H343">
        <f t="shared" si="33"/>
        <v>1</v>
      </c>
      <c r="I343" t="str">
        <f t="shared" ca="1" si="34"/>
        <v>511</v>
      </c>
      <c r="J343" t="str">
        <f t="shared" ca="1" si="35"/>
        <v>Regular</v>
      </c>
    </row>
    <row r="344" spans="1:10" x14ac:dyDescent="0.35">
      <c r="A344" t="s">
        <v>2130</v>
      </c>
      <c r="B344" s="2">
        <f>_xlfn.MAXIFS(clean_sales!P:P,clean_sales!C:C,RFM_Analysis!A344)</f>
        <v>46000</v>
      </c>
      <c r="C344">
        <f t="shared" ca="1" si="30"/>
        <v>28</v>
      </c>
      <c r="D344">
        <f>COUNTIFS(clean_sales!C:C,RFM_Analysis!A344)</f>
        <v>3</v>
      </c>
      <c r="E344">
        <f>SUMIFS(clean_sales!T:T,clean_sales!C:C,RFM_Analysis!A344)</f>
        <v>534000</v>
      </c>
      <c r="F344">
        <f t="shared" ca="1" si="31"/>
        <v>5</v>
      </c>
      <c r="G344">
        <f t="shared" si="32"/>
        <v>5</v>
      </c>
      <c r="H344">
        <f t="shared" si="33"/>
        <v>5</v>
      </c>
      <c r="I344" t="str">
        <f t="shared" ca="1" si="34"/>
        <v>555</v>
      </c>
      <c r="J344" t="str">
        <f t="shared" ca="1" si="35"/>
        <v>Champions</v>
      </c>
    </row>
    <row r="345" spans="1:10" x14ac:dyDescent="0.35">
      <c r="A345" t="s">
        <v>2131</v>
      </c>
      <c r="B345" s="2">
        <f>_xlfn.MAXIFS(clean_sales!P:P,clean_sales!C:C,RFM_Analysis!A345)</f>
        <v>45904</v>
      </c>
      <c r="C345">
        <f t="shared" ca="1" si="30"/>
        <v>124</v>
      </c>
      <c r="D345">
        <f>COUNTIFS(clean_sales!C:C,RFM_Analysis!A345)</f>
        <v>1</v>
      </c>
      <c r="E345">
        <f>SUMIFS(clean_sales!T:T,clean_sales!C:C,RFM_Analysis!A345)</f>
        <v>174000</v>
      </c>
      <c r="F345">
        <f t="shared" ca="1" si="31"/>
        <v>3</v>
      </c>
      <c r="G345">
        <f t="shared" si="32"/>
        <v>1</v>
      </c>
      <c r="H345">
        <f t="shared" si="33"/>
        <v>4</v>
      </c>
      <c r="I345" t="str">
        <f t="shared" ca="1" si="34"/>
        <v>314</v>
      </c>
      <c r="J345" t="str">
        <f t="shared" ca="1" si="35"/>
        <v>Regular</v>
      </c>
    </row>
    <row r="346" spans="1:10" x14ac:dyDescent="0.35">
      <c r="A346" t="s">
        <v>2132</v>
      </c>
      <c r="B346" s="2">
        <f>_xlfn.MAXIFS(clean_sales!P:P,clean_sales!C:C,RFM_Analysis!A346)</f>
        <v>45962</v>
      </c>
      <c r="C346">
        <f t="shared" ca="1" si="30"/>
        <v>66</v>
      </c>
      <c r="D346">
        <f>COUNTIFS(clean_sales!C:C,RFM_Analysis!A346)</f>
        <v>2</v>
      </c>
      <c r="E346">
        <f>SUMIFS(clean_sales!T:T,clean_sales!C:C,RFM_Analysis!A346)</f>
        <v>346000</v>
      </c>
      <c r="F346">
        <f t="shared" ca="1" si="31"/>
        <v>4</v>
      </c>
      <c r="G346">
        <f t="shared" si="32"/>
        <v>3</v>
      </c>
      <c r="H346">
        <f t="shared" si="33"/>
        <v>5</v>
      </c>
      <c r="I346" t="str">
        <f t="shared" ca="1" si="34"/>
        <v>435</v>
      </c>
      <c r="J346" t="str">
        <f t="shared" ca="1" si="35"/>
        <v>Regular</v>
      </c>
    </row>
    <row r="347" spans="1:10" x14ac:dyDescent="0.35">
      <c r="A347" t="s">
        <v>2133</v>
      </c>
      <c r="B347" s="2">
        <f>_xlfn.MAXIFS(clean_sales!P:P,clean_sales!C:C,RFM_Analysis!A347)</f>
        <v>46024</v>
      </c>
      <c r="C347">
        <f t="shared" ca="1" si="30"/>
        <v>4</v>
      </c>
      <c r="D347">
        <f>COUNTIFS(clean_sales!C:C,RFM_Analysis!A347)</f>
        <v>3</v>
      </c>
      <c r="E347">
        <f>SUMIFS(clean_sales!T:T,clean_sales!C:C,RFM_Analysis!A347)</f>
        <v>592000</v>
      </c>
      <c r="F347">
        <f t="shared" ca="1" si="31"/>
        <v>5</v>
      </c>
      <c r="G347">
        <f t="shared" si="32"/>
        <v>5</v>
      </c>
      <c r="H347">
        <f t="shared" si="33"/>
        <v>5</v>
      </c>
      <c r="I347" t="str">
        <f t="shared" ca="1" si="34"/>
        <v>555</v>
      </c>
      <c r="J347" t="str">
        <f t="shared" ca="1" si="35"/>
        <v>Champions</v>
      </c>
    </row>
    <row r="348" spans="1:10" x14ac:dyDescent="0.35">
      <c r="A348" t="s">
        <v>2134</v>
      </c>
      <c r="B348" s="2">
        <f>_xlfn.MAXIFS(clean_sales!P:P,clean_sales!C:C,RFM_Analysis!A348)</f>
        <v>45786</v>
      </c>
      <c r="C348">
        <f t="shared" ca="1" si="30"/>
        <v>242</v>
      </c>
      <c r="D348">
        <f>COUNTIFS(clean_sales!C:C,RFM_Analysis!A348)</f>
        <v>1</v>
      </c>
      <c r="E348">
        <f>SUMIFS(clean_sales!T:T,clean_sales!C:C,RFM_Analysis!A348)</f>
        <v>12000</v>
      </c>
      <c r="F348">
        <f t="shared" ca="1" si="31"/>
        <v>1</v>
      </c>
      <c r="G348">
        <f t="shared" si="32"/>
        <v>1</v>
      </c>
      <c r="H348">
        <f t="shared" si="33"/>
        <v>1</v>
      </c>
      <c r="I348" t="str">
        <f t="shared" ca="1" si="34"/>
        <v>111</v>
      </c>
      <c r="J348" t="str">
        <f t="shared" ca="1" si="35"/>
        <v>At Risk</v>
      </c>
    </row>
    <row r="349" spans="1:10" x14ac:dyDescent="0.35">
      <c r="A349" t="s">
        <v>2135</v>
      </c>
      <c r="B349" s="2">
        <f>_xlfn.MAXIFS(clean_sales!P:P,clean_sales!C:C,RFM_Analysis!A349)</f>
        <v>45921</v>
      </c>
      <c r="C349">
        <f t="shared" ca="1" si="30"/>
        <v>107</v>
      </c>
      <c r="D349">
        <f>COUNTIFS(clean_sales!C:C,RFM_Analysis!A349)</f>
        <v>2</v>
      </c>
      <c r="E349">
        <f>SUMIFS(clean_sales!T:T,clean_sales!C:C,RFM_Analysis!A349)</f>
        <v>343000</v>
      </c>
      <c r="F349">
        <f t="shared" ca="1" si="31"/>
        <v>4</v>
      </c>
      <c r="G349">
        <f t="shared" si="32"/>
        <v>3</v>
      </c>
      <c r="H349">
        <f t="shared" si="33"/>
        <v>5</v>
      </c>
      <c r="I349" t="str">
        <f t="shared" ca="1" si="34"/>
        <v>435</v>
      </c>
      <c r="J349" t="str">
        <f t="shared" ca="1" si="35"/>
        <v>Regular</v>
      </c>
    </row>
    <row r="350" spans="1:10" x14ac:dyDescent="0.35">
      <c r="A350" t="s">
        <v>2136</v>
      </c>
      <c r="B350" s="2">
        <f>_xlfn.MAXIFS(clean_sales!P:P,clean_sales!C:C,RFM_Analysis!A350)</f>
        <v>46022</v>
      </c>
      <c r="C350">
        <f t="shared" ca="1" si="30"/>
        <v>6</v>
      </c>
      <c r="D350">
        <f>COUNTIFS(clean_sales!C:C,RFM_Analysis!A350)</f>
        <v>2</v>
      </c>
      <c r="E350">
        <f>SUMIFS(clean_sales!T:T,clean_sales!C:C,RFM_Analysis!A350)</f>
        <v>76500</v>
      </c>
      <c r="F350">
        <f t="shared" ca="1" si="31"/>
        <v>5</v>
      </c>
      <c r="G350">
        <f t="shared" si="32"/>
        <v>3</v>
      </c>
      <c r="H350">
        <f t="shared" si="33"/>
        <v>3</v>
      </c>
      <c r="I350" t="str">
        <f t="shared" ca="1" si="34"/>
        <v>533</v>
      </c>
      <c r="J350" t="str">
        <f t="shared" ca="1" si="35"/>
        <v>Regular</v>
      </c>
    </row>
    <row r="351" spans="1:10" x14ac:dyDescent="0.35">
      <c r="A351" t="s">
        <v>2137</v>
      </c>
      <c r="B351" s="2">
        <f>_xlfn.MAXIFS(clean_sales!P:P,clean_sales!C:C,RFM_Analysis!A351)</f>
        <v>45956</v>
      </c>
      <c r="C351">
        <f t="shared" ca="1" si="30"/>
        <v>72</v>
      </c>
      <c r="D351">
        <f>COUNTIFS(clean_sales!C:C,RFM_Analysis!A351)</f>
        <v>1</v>
      </c>
      <c r="E351">
        <f>SUMIFS(clean_sales!T:T,clean_sales!C:C,RFM_Analysis!A351)</f>
        <v>25000</v>
      </c>
      <c r="F351">
        <f t="shared" ca="1" si="31"/>
        <v>4</v>
      </c>
      <c r="G351">
        <f t="shared" si="32"/>
        <v>1</v>
      </c>
      <c r="H351">
        <f t="shared" si="33"/>
        <v>2</v>
      </c>
      <c r="I351" t="str">
        <f t="shared" ca="1" si="34"/>
        <v>412</v>
      </c>
      <c r="J351" t="str">
        <f t="shared" ca="1" si="35"/>
        <v>Regular</v>
      </c>
    </row>
    <row r="352" spans="1:10" x14ac:dyDescent="0.35">
      <c r="A352" t="s">
        <v>2138</v>
      </c>
      <c r="B352" s="2">
        <f>_xlfn.MAXIFS(clean_sales!P:P,clean_sales!C:C,RFM_Analysis!A352)</f>
        <v>45809</v>
      </c>
      <c r="C352">
        <f t="shared" ca="1" si="30"/>
        <v>219</v>
      </c>
      <c r="D352">
        <f>COUNTIFS(clean_sales!C:C,RFM_Analysis!A352)</f>
        <v>1</v>
      </c>
      <c r="E352">
        <f>SUMIFS(clean_sales!T:T,clean_sales!C:C,RFM_Analysis!A352)</f>
        <v>290000</v>
      </c>
      <c r="F352">
        <f t="shared" ca="1" si="31"/>
        <v>2</v>
      </c>
      <c r="G352">
        <f t="shared" si="32"/>
        <v>1</v>
      </c>
      <c r="H352">
        <f t="shared" si="33"/>
        <v>4</v>
      </c>
      <c r="I352" t="str">
        <f t="shared" ca="1" si="34"/>
        <v>214</v>
      </c>
      <c r="J352" t="str">
        <f t="shared" ca="1" si="35"/>
        <v>At Risk</v>
      </c>
    </row>
    <row r="353" spans="1:10" x14ac:dyDescent="0.35">
      <c r="A353" t="s">
        <v>2139</v>
      </c>
      <c r="B353" s="2">
        <f>_xlfn.MAXIFS(clean_sales!P:P,clean_sales!C:C,RFM_Analysis!A353)</f>
        <v>45758</v>
      </c>
      <c r="C353">
        <f t="shared" ca="1" si="30"/>
        <v>270</v>
      </c>
      <c r="D353">
        <f>COUNTIFS(clean_sales!C:C,RFM_Analysis!A353)</f>
        <v>2</v>
      </c>
      <c r="E353">
        <f>SUMIFS(clean_sales!T:T,clean_sales!C:C,RFM_Analysis!A353)</f>
        <v>361800</v>
      </c>
      <c r="F353">
        <f t="shared" ca="1" si="31"/>
        <v>1</v>
      </c>
      <c r="G353">
        <f t="shared" si="32"/>
        <v>3</v>
      </c>
      <c r="H353">
        <f t="shared" si="33"/>
        <v>5</v>
      </c>
      <c r="I353" t="str">
        <f t="shared" ca="1" si="34"/>
        <v>135</v>
      </c>
      <c r="J353" t="str">
        <f t="shared" ca="1" si="35"/>
        <v>At Risk</v>
      </c>
    </row>
    <row r="354" spans="1:10" x14ac:dyDescent="0.35">
      <c r="A354" t="s">
        <v>2140</v>
      </c>
      <c r="B354" s="2">
        <f>_xlfn.MAXIFS(clean_sales!P:P,clean_sales!C:C,RFM_Analysis!A354)</f>
        <v>46023</v>
      </c>
      <c r="C354">
        <f t="shared" ca="1" si="30"/>
        <v>5</v>
      </c>
      <c r="D354">
        <f>COUNTIFS(clean_sales!C:C,RFM_Analysis!A354)</f>
        <v>4</v>
      </c>
      <c r="E354">
        <f>SUMIFS(clean_sales!T:T,clean_sales!C:C,RFM_Analysis!A354)</f>
        <v>484000</v>
      </c>
      <c r="F354">
        <f t="shared" ca="1" si="31"/>
        <v>5</v>
      </c>
      <c r="G354">
        <f t="shared" si="32"/>
        <v>5</v>
      </c>
      <c r="H354">
        <f t="shared" si="33"/>
        <v>5</v>
      </c>
      <c r="I354" t="str">
        <f t="shared" ca="1" si="34"/>
        <v>555</v>
      </c>
      <c r="J354" t="str">
        <f t="shared" ca="1" si="35"/>
        <v>Champions</v>
      </c>
    </row>
    <row r="355" spans="1:10" x14ac:dyDescent="0.35">
      <c r="A355" t="s">
        <v>2141</v>
      </c>
      <c r="B355" s="2">
        <f>_xlfn.MAXIFS(clean_sales!P:P,clean_sales!C:C,RFM_Analysis!A355)</f>
        <v>45673</v>
      </c>
      <c r="C355">
        <f t="shared" ca="1" si="30"/>
        <v>355</v>
      </c>
      <c r="D355">
        <f>COUNTIFS(clean_sales!C:C,RFM_Analysis!A355)</f>
        <v>1</v>
      </c>
      <c r="E355">
        <f>SUMIFS(clean_sales!T:T,clean_sales!C:C,RFM_Analysis!A355)</f>
        <v>4500</v>
      </c>
      <c r="F355">
        <f t="shared" ca="1" si="31"/>
        <v>1</v>
      </c>
      <c r="G355">
        <f t="shared" si="32"/>
        <v>1</v>
      </c>
      <c r="H355">
        <f t="shared" si="33"/>
        <v>1</v>
      </c>
      <c r="I355" t="str">
        <f t="shared" ca="1" si="34"/>
        <v>111</v>
      </c>
      <c r="J355" t="str">
        <f t="shared" ca="1" si="35"/>
        <v>At Risk</v>
      </c>
    </row>
    <row r="356" spans="1:10" x14ac:dyDescent="0.35">
      <c r="A356" t="s">
        <v>2142</v>
      </c>
      <c r="B356" s="2">
        <f>_xlfn.MAXIFS(clean_sales!P:P,clean_sales!C:C,RFM_Analysis!A356)</f>
        <v>45869</v>
      </c>
      <c r="C356">
        <f t="shared" ca="1" si="30"/>
        <v>159</v>
      </c>
      <c r="D356">
        <f>COUNTIFS(clean_sales!C:C,RFM_Analysis!A356)</f>
        <v>1</v>
      </c>
      <c r="E356">
        <f>SUMIFS(clean_sales!T:T,clean_sales!C:C,RFM_Analysis!A356)</f>
        <v>288000</v>
      </c>
      <c r="F356">
        <f t="shared" ca="1" si="31"/>
        <v>3</v>
      </c>
      <c r="G356">
        <f t="shared" si="32"/>
        <v>1</v>
      </c>
      <c r="H356">
        <f t="shared" si="33"/>
        <v>4</v>
      </c>
      <c r="I356" t="str">
        <f t="shared" ca="1" si="34"/>
        <v>314</v>
      </c>
      <c r="J356" t="str">
        <f t="shared" ca="1" si="35"/>
        <v>Regular</v>
      </c>
    </row>
    <row r="357" spans="1:10" x14ac:dyDescent="0.35">
      <c r="A357" t="s">
        <v>2143</v>
      </c>
      <c r="B357" s="2">
        <f>_xlfn.MAXIFS(clean_sales!P:P,clean_sales!C:C,RFM_Analysis!A357)</f>
        <v>45790</v>
      </c>
      <c r="C357">
        <f t="shared" ca="1" si="30"/>
        <v>238</v>
      </c>
      <c r="D357">
        <f>COUNTIFS(clean_sales!C:C,RFM_Analysis!A357)</f>
        <v>1</v>
      </c>
      <c r="E357">
        <f>SUMIFS(clean_sales!T:T,clean_sales!C:C,RFM_Analysis!A357)</f>
        <v>5400</v>
      </c>
      <c r="F357">
        <f t="shared" ca="1" si="31"/>
        <v>1</v>
      </c>
      <c r="G357">
        <f t="shared" si="32"/>
        <v>1</v>
      </c>
      <c r="H357">
        <f t="shared" si="33"/>
        <v>1</v>
      </c>
      <c r="I357" t="str">
        <f t="shared" ca="1" si="34"/>
        <v>111</v>
      </c>
      <c r="J357" t="str">
        <f t="shared" ca="1" si="35"/>
        <v>At Risk</v>
      </c>
    </row>
    <row r="358" spans="1:10" x14ac:dyDescent="0.35">
      <c r="A358" t="s">
        <v>2144</v>
      </c>
      <c r="B358" s="2">
        <f>_xlfn.MAXIFS(clean_sales!P:P,clean_sales!C:C,RFM_Analysis!A358)</f>
        <v>45990</v>
      </c>
      <c r="C358">
        <f t="shared" ca="1" si="30"/>
        <v>38</v>
      </c>
      <c r="D358">
        <f>COUNTIFS(clean_sales!C:C,RFM_Analysis!A358)</f>
        <v>1</v>
      </c>
      <c r="E358">
        <f>SUMIFS(clean_sales!T:T,clean_sales!C:C,RFM_Analysis!A358)</f>
        <v>216000</v>
      </c>
      <c r="F358">
        <f t="shared" ca="1" si="31"/>
        <v>5</v>
      </c>
      <c r="G358">
        <f t="shared" si="32"/>
        <v>1</v>
      </c>
      <c r="H358">
        <f t="shared" si="33"/>
        <v>4</v>
      </c>
      <c r="I358" t="str">
        <f t="shared" ca="1" si="34"/>
        <v>514</v>
      </c>
      <c r="J358" t="str">
        <f t="shared" ca="1" si="35"/>
        <v>Regular</v>
      </c>
    </row>
    <row r="359" spans="1:10" x14ac:dyDescent="0.35">
      <c r="A359" t="s">
        <v>2145</v>
      </c>
      <c r="B359" s="2">
        <f>_xlfn.MAXIFS(clean_sales!P:P,clean_sales!C:C,RFM_Analysis!A359)</f>
        <v>45998</v>
      </c>
      <c r="C359">
        <f t="shared" ca="1" si="30"/>
        <v>30</v>
      </c>
      <c r="D359">
        <f>COUNTIFS(clean_sales!C:C,RFM_Analysis!A359)</f>
        <v>2</v>
      </c>
      <c r="E359">
        <f>SUMIFS(clean_sales!T:T,clean_sales!C:C,RFM_Analysis!A359)</f>
        <v>335000</v>
      </c>
      <c r="F359">
        <f t="shared" ca="1" si="31"/>
        <v>5</v>
      </c>
      <c r="G359">
        <f t="shared" si="32"/>
        <v>3</v>
      </c>
      <c r="H359">
        <f t="shared" si="33"/>
        <v>5</v>
      </c>
      <c r="I359" t="str">
        <f t="shared" ca="1" si="34"/>
        <v>535</v>
      </c>
      <c r="J359" t="str">
        <f t="shared" ca="1" si="35"/>
        <v>Regular</v>
      </c>
    </row>
    <row r="360" spans="1:10" x14ac:dyDescent="0.35">
      <c r="A360" t="s">
        <v>2146</v>
      </c>
      <c r="B360" s="2">
        <f>_xlfn.MAXIFS(clean_sales!P:P,clean_sales!C:C,RFM_Analysis!A360)</f>
        <v>45861</v>
      </c>
      <c r="C360">
        <f t="shared" ca="1" si="30"/>
        <v>167</v>
      </c>
      <c r="D360">
        <f>COUNTIFS(clean_sales!C:C,RFM_Analysis!A360)</f>
        <v>3</v>
      </c>
      <c r="E360">
        <f>SUMIFS(clean_sales!T:T,clean_sales!C:C,RFM_Analysis!A360)</f>
        <v>308000</v>
      </c>
      <c r="F360">
        <f t="shared" ca="1" si="31"/>
        <v>3</v>
      </c>
      <c r="G360">
        <f t="shared" si="32"/>
        <v>5</v>
      </c>
      <c r="H360">
        <f t="shared" si="33"/>
        <v>4</v>
      </c>
      <c r="I360" t="str">
        <f t="shared" ca="1" si="34"/>
        <v>354</v>
      </c>
      <c r="J360" t="str">
        <f t="shared" ca="1" si="35"/>
        <v>Regular</v>
      </c>
    </row>
    <row r="361" spans="1:10" x14ac:dyDescent="0.35">
      <c r="A361" t="s">
        <v>2147</v>
      </c>
      <c r="B361" s="2">
        <f>_xlfn.MAXIFS(clean_sales!P:P,clean_sales!C:C,RFM_Analysis!A361)</f>
        <v>45880</v>
      </c>
      <c r="C361">
        <f t="shared" ca="1" si="30"/>
        <v>148</v>
      </c>
      <c r="D361">
        <f>COUNTIFS(clean_sales!C:C,RFM_Analysis!A361)</f>
        <v>3</v>
      </c>
      <c r="E361">
        <f>SUMIFS(clean_sales!T:T,clean_sales!C:C,RFM_Analysis!A361)</f>
        <v>138500</v>
      </c>
      <c r="F361">
        <f t="shared" ca="1" si="31"/>
        <v>3</v>
      </c>
      <c r="G361">
        <f t="shared" si="32"/>
        <v>5</v>
      </c>
      <c r="H361">
        <f t="shared" si="33"/>
        <v>3</v>
      </c>
      <c r="I361" t="str">
        <f t="shared" ca="1" si="34"/>
        <v>353</v>
      </c>
      <c r="J361" t="str">
        <f t="shared" ca="1" si="35"/>
        <v>Regular</v>
      </c>
    </row>
    <row r="362" spans="1:10" x14ac:dyDescent="0.35">
      <c r="A362" t="s">
        <v>2148</v>
      </c>
      <c r="B362" s="2">
        <f>_xlfn.MAXIFS(clean_sales!P:P,clean_sales!C:C,RFM_Analysis!A362)</f>
        <v>45862</v>
      </c>
      <c r="C362">
        <f t="shared" ca="1" si="30"/>
        <v>166</v>
      </c>
      <c r="D362">
        <f>COUNTIFS(clean_sales!C:C,RFM_Analysis!A362)</f>
        <v>1</v>
      </c>
      <c r="E362">
        <f>SUMIFS(clean_sales!T:T,clean_sales!C:C,RFM_Analysis!A362)</f>
        <v>360000</v>
      </c>
      <c r="F362">
        <f t="shared" ca="1" si="31"/>
        <v>3</v>
      </c>
      <c r="G362">
        <f t="shared" si="32"/>
        <v>1</v>
      </c>
      <c r="H362">
        <f t="shared" si="33"/>
        <v>5</v>
      </c>
      <c r="I362" t="str">
        <f t="shared" ca="1" si="34"/>
        <v>315</v>
      </c>
      <c r="J362" t="str">
        <f t="shared" ca="1" si="35"/>
        <v>Regular</v>
      </c>
    </row>
    <row r="363" spans="1:10" x14ac:dyDescent="0.35">
      <c r="A363" t="s">
        <v>2149</v>
      </c>
      <c r="B363" s="2">
        <f>_xlfn.MAXIFS(clean_sales!P:P,clean_sales!C:C,RFM_Analysis!A363)</f>
        <v>45758</v>
      </c>
      <c r="C363">
        <f t="shared" ca="1" si="30"/>
        <v>270</v>
      </c>
      <c r="D363">
        <f>COUNTIFS(clean_sales!C:C,RFM_Analysis!A363)</f>
        <v>1</v>
      </c>
      <c r="E363">
        <f>SUMIFS(clean_sales!T:T,clean_sales!C:C,RFM_Analysis!A363)</f>
        <v>216000</v>
      </c>
      <c r="F363">
        <f t="shared" ca="1" si="31"/>
        <v>1</v>
      </c>
      <c r="G363">
        <f t="shared" si="32"/>
        <v>1</v>
      </c>
      <c r="H363">
        <f t="shared" si="33"/>
        <v>4</v>
      </c>
      <c r="I363" t="str">
        <f t="shared" ca="1" si="34"/>
        <v>114</v>
      </c>
      <c r="J363" t="str">
        <f t="shared" ca="1" si="35"/>
        <v>At Risk</v>
      </c>
    </row>
    <row r="364" spans="1:10" x14ac:dyDescent="0.35">
      <c r="A364" t="s">
        <v>2150</v>
      </c>
      <c r="B364" s="2">
        <f>_xlfn.MAXIFS(clean_sales!P:P,clean_sales!C:C,RFM_Analysis!A364)</f>
        <v>45995</v>
      </c>
      <c r="C364">
        <f t="shared" ca="1" si="30"/>
        <v>33</v>
      </c>
      <c r="D364">
        <f>COUNTIFS(clean_sales!C:C,RFM_Analysis!A364)</f>
        <v>1</v>
      </c>
      <c r="E364">
        <f>SUMIFS(clean_sales!T:T,clean_sales!C:C,RFM_Analysis!A364)</f>
        <v>9000</v>
      </c>
      <c r="F364">
        <f t="shared" ca="1" si="31"/>
        <v>5</v>
      </c>
      <c r="G364">
        <f t="shared" si="32"/>
        <v>1</v>
      </c>
      <c r="H364">
        <f t="shared" si="33"/>
        <v>1</v>
      </c>
      <c r="I364" t="str">
        <f t="shared" ca="1" si="34"/>
        <v>511</v>
      </c>
      <c r="J364" t="str">
        <f t="shared" ca="1" si="35"/>
        <v>Regular</v>
      </c>
    </row>
    <row r="365" spans="1:10" x14ac:dyDescent="0.35">
      <c r="A365" t="s">
        <v>2151</v>
      </c>
      <c r="B365" s="2">
        <f>_xlfn.MAXIFS(clean_sales!P:P,clean_sales!C:C,RFM_Analysis!A365)</f>
        <v>45871</v>
      </c>
      <c r="C365">
        <f t="shared" ca="1" si="30"/>
        <v>157</v>
      </c>
      <c r="D365">
        <f>COUNTIFS(clean_sales!C:C,RFM_Analysis!A365)</f>
        <v>4</v>
      </c>
      <c r="E365">
        <f>SUMIFS(clean_sales!T:T,clean_sales!C:C,RFM_Analysis!A365)</f>
        <v>98500</v>
      </c>
      <c r="F365">
        <f t="shared" ca="1" si="31"/>
        <v>3</v>
      </c>
      <c r="G365">
        <f t="shared" si="32"/>
        <v>5</v>
      </c>
      <c r="H365">
        <f t="shared" si="33"/>
        <v>3</v>
      </c>
      <c r="I365" t="str">
        <f t="shared" ca="1" si="34"/>
        <v>353</v>
      </c>
      <c r="J365" t="str">
        <f t="shared" ca="1" si="35"/>
        <v>Regular</v>
      </c>
    </row>
    <row r="366" spans="1:10" x14ac:dyDescent="0.35">
      <c r="A366" t="s">
        <v>2152</v>
      </c>
      <c r="B366" s="2">
        <f>_xlfn.MAXIFS(clean_sales!P:P,clean_sales!C:C,RFM_Analysis!A366)</f>
        <v>45859</v>
      </c>
      <c r="C366">
        <f t="shared" ca="1" si="30"/>
        <v>169</v>
      </c>
      <c r="D366">
        <f>COUNTIFS(clean_sales!C:C,RFM_Analysis!A366)</f>
        <v>2</v>
      </c>
      <c r="E366">
        <f>SUMIFS(clean_sales!T:T,clean_sales!C:C,RFM_Analysis!A366)</f>
        <v>232000</v>
      </c>
      <c r="F366">
        <f t="shared" ca="1" si="31"/>
        <v>2</v>
      </c>
      <c r="G366">
        <f t="shared" si="32"/>
        <v>3</v>
      </c>
      <c r="H366">
        <f t="shared" si="33"/>
        <v>4</v>
      </c>
      <c r="I366" t="str">
        <f t="shared" ca="1" si="34"/>
        <v>234</v>
      </c>
      <c r="J366" t="str">
        <f t="shared" ca="1" si="35"/>
        <v>At Risk</v>
      </c>
    </row>
    <row r="367" spans="1:10" x14ac:dyDescent="0.35">
      <c r="A367" t="s">
        <v>2153</v>
      </c>
      <c r="B367" s="2">
        <f>_xlfn.MAXIFS(clean_sales!P:P,clean_sales!C:C,RFM_Analysis!A367)</f>
        <v>45858</v>
      </c>
      <c r="C367">
        <f t="shared" ca="1" si="30"/>
        <v>170</v>
      </c>
      <c r="D367">
        <f>COUNTIFS(clean_sales!C:C,RFM_Analysis!A367)</f>
        <v>1</v>
      </c>
      <c r="E367">
        <f>SUMIFS(clean_sales!T:T,clean_sales!C:C,RFM_Analysis!A367)</f>
        <v>24000</v>
      </c>
      <c r="F367">
        <f t="shared" ca="1" si="31"/>
        <v>2</v>
      </c>
      <c r="G367">
        <f t="shared" si="32"/>
        <v>1</v>
      </c>
      <c r="H367">
        <f t="shared" si="33"/>
        <v>2</v>
      </c>
      <c r="I367" t="str">
        <f t="shared" ca="1" si="34"/>
        <v>212</v>
      </c>
      <c r="J367" t="str">
        <f t="shared" ca="1" si="35"/>
        <v>At Risk</v>
      </c>
    </row>
    <row r="368" spans="1:10" x14ac:dyDescent="0.35">
      <c r="A368" t="s">
        <v>2154</v>
      </c>
      <c r="B368" s="2">
        <f>_xlfn.MAXIFS(clean_sales!P:P,clean_sales!C:C,RFM_Analysis!A368)</f>
        <v>45943</v>
      </c>
      <c r="C368">
        <f t="shared" ca="1" si="30"/>
        <v>85</v>
      </c>
      <c r="D368">
        <f>COUNTIFS(clean_sales!C:C,RFM_Analysis!A368)</f>
        <v>2</v>
      </c>
      <c r="E368">
        <f>SUMIFS(clean_sales!T:T,clean_sales!C:C,RFM_Analysis!A368)</f>
        <v>23400</v>
      </c>
      <c r="F368">
        <f t="shared" ca="1" si="31"/>
        <v>4</v>
      </c>
      <c r="G368">
        <f t="shared" si="32"/>
        <v>3</v>
      </c>
      <c r="H368">
        <f t="shared" si="33"/>
        <v>2</v>
      </c>
      <c r="I368" t="str">
        <f t="shared" ca="1" si="34"/>
        <v>432</v>
      </c>
      <c r="J368" t="str">
        <f t="shared" ca="1" si="35"/>
        <v>Regular</v>
      </c>
    </row>
    <row r="369" spans="1:10" x14ac:dyDescent="0.35">
      <c r="A369" t="s">
        <v>2155</v>
      </c>
      <c r="B369" s="2">
        <f>_xlfn.MAXIFS(clean_sales!P:P,clean_sales!C:C,RFM_Analysis!A369)</f>
        <v>46006</v>
      </c>
      <c r="C369">
        <f t="shared" ca="1" si="30"/>
        <v>22</v>
      </c>
      <c r="D369">
        <f>COUNTIFS(clean_sales!C:C,RFM_Analysis!A369)</f>
        <v>1</v>
      </c>
      <c r="E369">
        <f>SUMIFS(clean_sales!T:T,clean_sales!C:C,RFM_Analysis!A369)</f>
        <v>290000</v>
      </c>
      <c r="F369">
        <f t="shared" ca="1" si="31"/>
        <v>5</v>
      </c>
      <c r="G369">
        <f t="shared" si="32"/>
        <v>1</v>
      </c>
      <c r="H369">
        <f t="shared" si="33"/>
        <v>4</v>
      </c>
      <c r="I369" t="str">
        <f t="shared" ca="1" si="34"/>
        <v>514</v>
      </c>
      <c r="J369" t="str">
        <f t="shared" ca="1" si="35"/>
        <v>Regular</v>
      </c>
    </row>
    <row r="370" spans="1:10" x14ac:dyDescent="0.35">
      <c r="A370" t="s">
        <v>2156</v>
      </c>
      <c r="B370" s="2">
        <f>_xlfn.MAXIFS(clean_sales!P:P,clean_sales!C:C,RFM_Analysis!A370)</f>
        <v>45965</v>
      </c>
      <c r="C370">
        <f t="shared" ca="1" si="30"/>
        <v>63</v>
      </c>
      <c r="D370">
        <f>COUNTIFS(clean_sales!C:C,RFM_Analysis!A370)</f>
        <v>1</v>
      </c>
      <c r="E370">
        <f>SUMIFS(clean_sales!T:T,clean_sales!C:C,RFM_Analysis!A370)</f>
        <v>290000</v>
      </c>
      <c r="F370">
        <f t="shared" ca="1" si="31"/>
        <v>4</v>
      </c>
      <c r="G370">
        <f t="shared" si="32"/>
        <v>1</v>
      </c>
      <c r="H370">
        <f t="shared" si="33"/>
        <v>4</v>
      </c>
      <c r="I370" t="str">
        <f t="shared" ca="1" si="34"/>
        <v>414</v>
      </c>
      <c r="J370" t="str">
        <f t="shared" ca="1" si="35"/>
        <v>Regular</v>
      </c>
    </row>
    <row r="371" spans="1:10" x14ac:dyDescent="0.35">
      <c r="A371" t="s">
        <v>2157</v>
      </c>
      <c r="B371" s="2">
        <f>_xlfn.MAXIFS(clean_sales!P:P,clean_sales!C:C,RFM_Analysis!A371)</f>
        <v>45947</v>
      </c>
      <c r="C371">
        <f t="shared" ca="1" si="30"/>
        <v>81</v>
      </c>
      <c r="D371">
        <f>COUNTIFS(clean_sales!C:C,RFM_Analysis!A371)</f>
        <v>1</v>
      </c>
      <c r="E371">
        <f>SUMIFS(clean_sales!T:T,clean_sales!C:C,RFM_Analysis!A371)</f>
        <v>15000</v>
      </c>
      <c r="F371">
        <f t="shared" ca="1" si="31"/>
        <v>4</v>
      </c>
      <c r="G371">
        <f t="shared" si="32"/>
        <v>1</v>
      </c>
      <c r="H371">
        <f t="shared" si="33"/>
        <v>1</v>
      </c>
      <c r="I371" t="str">
        <f t="shared" ca="1" si="34"/>
        <v>411</v>
      </c>
      <c r="J371" t="str">
        <f t="shared" ca="1" si="35"/>
        <v>Regular</v>
      </c>
    </row>
    <row r="372" spans="1:10" x14ac:dyDescent="0.35">
      <c r="A372" t="s">
        <v>2158</v>
      </c>
      <c r="B372" s="2">
        <f>_xlfn.MAXIFS(clean_sales!P:P,clean_sales!C:C,RFM_Analysis!A372)</f>
        <v>45871</v>
      </c>
      <c r="C372">
        <f t="shared" ca="1" si="30"/>
        <v>157</v>
      </c>
      <c r="D372">
        <f>COUNTIFS(clean_sales!C:C,RFM_Analysis!A372)</f>
        <v>1</v>
      </c>
      <c r="E372">
        <f>SUMIFS(clean_sales!T:T,clean_sales!C:C,RFM_Analysis!A372)</f>
        <v>22500</v>
      </c>
      <c r="F372">
        <f t="shared" ca="1" si="31"/>
        <v>3</v>
      </c>
      <c r="G372">
        <f t="shared" si="32"/>
        <v>1</v>
      </c>
      <c r="H372">
        <f t="shared" si="33"/>
        <v>2</v>
      </c>
      <c r="I372" t="str">
        <f t="shared" ca="1" si="34"/>
        <v>312</v>
      </c>
      <c r="J372" t="str">
        <f t="shared" ca="1" si="35"/>
        <v>Regular</v>
      </c>
    </row>
    <row r="373" spans="1:10" x14ac:dyDescent="0.35">
      <c r="A373" t="s">
        <v>2159</v>
      </c>
      <c r="B373" s="2">
        <f>_xlfn.MAXIFS(clean_sales!P:P,clean_sales!C:C,RFM_Analysis!A373)</f>
        <v>45965</v>
      </c>
      <c r="C373">
        <f t="shared" ca="1" si="30"/>
        <v>63</v>
      </c>
      <c r="D373">
        <f>COUNTIFS(clean_sales!C:C,RFM_Analysis!A373)</f>
        <v>1</v>
      </c>
      <c r="E373">
        <f>SUMIFS(clean_sales!T:T,clean_sales!C:C,RFM_Analysis!A373)</f>
        <v>72000</v>
      </c>
      <c r="F373">
        <f t="shared" ca="1" si="31"/>
        <v>4</v>
      </c>
      <c r="G373">
        <f t="shared" si="32"/>
        <v>1</v>
      </c>
      <c r="H373">
        <f t="shared" si="33"/>
        <v>3</v>
      </c>
      <c r="I373" t="str">
        <f t="shared" ca="1" si="34"/>
        <v>413</v>
      </c>
      <c r="J373" t="str">
        <f t="shared" ca="1" si="35"/>
        <v>Regular</v>
      </c>
    </row>
    <row r="374" spans="1:10" x14ac:dyDescent="0.35">
      <c r="A374" t="s">
        <v>2160</v>
      </c>
      <c r="B374" s="2">
        <f>_xlfn.MAXIFS(clean_sales!P:P,clean_sales!C:C,RFM_Analysis!A374)</f>
        <v>45962</v>
      </c>
      <c r="C374">
        <f t="shared" ca="1" si="30"/>
        <v>66</v>
      </c>
      <c r="D374">
        <f>COUNTIFS(clean_sales!C:C,RFM_Analysis!A374)</f>
        <v>4</v>
      </c>
      <c r="E374">
        <f>SUMIFS(clean_sales!T:T,clean_sales!C:C,RFM_Analysis!A374)</f>
        <v>240900</v>
      </c>
      <c r="F374">
        <f t="shared" ca="1" si="31"/>
        <v>4</v>
      </c>
      <c r="G374">
        <f t="shared" si="32"/>
        <v>5</v>
      </c>
      <c r="H374">
        <f t="shared" si="33"/>
        <v>4</v>
      </c>
      <c r="I374" t="str">
        <f t="shared" ca="1" si="34"/>
        <v>454</v>
      </c>
      <c r="J374" t="str">
        <f t="shared" ca="1" si="35"/>
        <v>Loyal</v>
      </c>
    </row>
    <row r="375" spans="1:10" x14ac:dyDescent="0.35">
      <c r="A375" t="s">
        <v>2161</v>
      </c>
      <c r="B375" s="2">
        <f>_xlfn.MAXIFS(clean_sales!P:P,clean_sales!C:C,RFM_Analysis!A375)</f>
        <v>46000</v>
      </c>
      <c r="C375">
        <f t="shared" ca="1" si="30"/>
        <v>28</v>
      </c>
      <c r="D375">
        <f>COUNTIFS(clean_sales!C:C,RFM_Analysis!A375)</f>
        <v>1</v>
      </c>
      <c r="E375">
        <f>SUMIFS(clean_sales!T:T,clean_sales!C:C,RFM_Analysis!A375)</f>
        <v>290000</v>
      </c>
      <c r="F375">
        <f t="shared" ca="1" si="31"/>
        <v>5</v>
      </c>
      <c r="G375">
        <f t="shared" si="32"/>
        <v>1</v>
      </c>
      <c r="H375">
        <f t="shared" si="33"/>
        <v>4</v>
      </c>
      <c r="I375" t="str">
        <f t="shared" ca="1" si="34"/>
        <v>514</v>
      </c>
      <c r="J375" t="str">
        <f t="shared" ca="1" si="35"/>
        <v>Regular</v>
      </c>
    </row>
    <row r="376" spans="1:10" x14ac:dyDescent="0.35">
      <c r="A376" t="s">
        <v>2162</v>
      </c>
      <c r="B376" s="2">
        <f>_xlfn.MAXIFS(clean_sales!P:P,clean_sales!C:C,RFM_Analysis!A376)</f>
        <v>45766</v>
      </c>
      <c r="C376">
        <f t="shared" ca="1" si="30"/>
        <v>262</v>
      </c>
      <c r="D376">
        <f>COUNTIFS(clean_sales!C:C,RFM_Analysis!A376)</f>
        <v>3</v>
      </c>
      <c r="E376">
        <f>SUMIFS(clean_sales!T:T,clean_sales!C:C,RFM_Analysis!A376)</f>
        <v>527000</v>
      </c>
      <c r="F376">
        <f t="shared" ca="1" si="31"/>
        <v>1</v>
      </c>
      <c r="G376">
        <f t="shared" si="32"/>
        <v>5</v>
      </c>
      <c r="H376">
        <f t="shared" si="33"/>
        <v>5</v>
      </c>
      <c r="I376" t="str">
        <f t="shared" ca="1" si="34"/>
        <v>155</v>
      </c>
      <c r="J376" t="str">
        <f t="shared" ca="1" si="35"/>
        <v>At Risk</v>
      </c>
    </row>
    <row r="377" spans="1:10" x14ac:dyDescent="0.35">
      <c r="A377" t="s">
        <v>2163</v>
      </c>
      <c r="B377" s="2">
        <f>_xlfn.MAXIFS(clean_sales!P:P,clean_sales!C:C,RFM_Analysis!A377)</f>
        <v>45972</v>
      </c>
      <c r="C377">
        <f t="shared" ca="1" si="30"/>
        <v>56</v>
      </c>
      <c r="D377">
        <f>COUNTIFS(clean_sales!C:C,RFM_Analysis!A377)</f>
        <v>2</v>
      </c>
      <c r="E377">
        <f>SUMIFS(clean_sales!T:T,clean_sales!C:C,RFM_Analysis!A377)</f>
        <v>19800</v>
      </c>
      <c r="F377">
        <f t="shared" ca="1" si="31"/>
        <v>4</v>
      </c>
      <c r="G377">
        <f t="shared" si="32"/>
        <v>3</v>
      </c>
      <c r="H377">
        <f t="shared" si="33"/>
        <v>2</v>
      </c>
      <c r="I377" t="str">
        <f t="shared" ca="1" si="34"/>
        <v>432</v>
      </c>
      <c r="J377" t="str">
        <f t="shared" ca="1" si="35"/>
        <v>Regular</v>
      </c>
    </row>
    <row r="378" spans="1:10" x14ac:dyDescent="0.35">
      <c r="A378" t="s">
        <v>2164</v>
      </c>
      <c r="B378" s="2">
        <f>_xlfn.MAXIFS(clean_sales!P:P,clean_sales!C:C,RFM_Analysis!A378)</f>
        <v>45830</v>
      </c>
      <c r="C378">
        <f t="shared" ca="1" si="30"/>
        <v>198</v>
      </c>
      <c r="D378">
        <f>COUNTIFS(clean_sales!C:C,RFM_Analysis!A378)</f>
        <v>2</v>
      </c>
      <c r="E378">
        <f>SUMIFS(clean_sales!T:T,clean_sales!C:C,RFM_Analysis!A378)</f>
        <v>242000</v>
      </c>
      <c r="F378">
        <f t="shared" ca="1" si="31"/>
        <v>2</v>
      </c>
      <c r="G378">
        <f t="shared" si="32"/>
        <v>3</v>
      </c>
      <c r="H378">
        <f t="shared" si="33"/>
        <v>4</v>
      </c>
      <c r="I378" t="str">
        <f t="shared" ca="1" si="34"/>
        <v>234</v>
      </c>
      <c r="J378" t="str">
        <f t="shared" ca="1" si="35"/>
        <v>At Risk</v>
      </c>
    </row>
    <row r="379" spans="1:10" x14ac:dyDescent="0.35">
      <c r="A379" t="s">
        <v>2165</v>
      </c>
      <c r="B379" s="2">
        <f>_xlfn.MAXIFS(clean_sales!P:P,clean_sales!C:C,RFM_Analysis!A379)</f>
        <v>45791</v>
      </c>
      <c r="C379">
        <f t="shared" ca="1" si="30"/>
        <v>237</v>
      </c>
      <c r="D379">
        <f>COUNTIFS(clean_sales!C:C,RFM_Analysis!A379)</f>
        <v>1</v>
      </c>
      <c r="E379">
        <f>SUMIFS(clean_sales!T:T,clean_sales!C:C,RFM_Analysis!A379)</f>
        <v>232000</v>
      </c>
      <c r="F379">
        <f t="shared" ca="1" si="31"/>
        <v>1</v>
      </c>
      <c r="G379">
        <f t="shared" si="32"/>
        <v>1</v>
      </c>
      <c r="H379">
        <f t="shared" si="33"/>
        <v>4</v>
      </c>
      <c r="I379" t="str">
        <f t="shared" ca="1" si="34"/>
        <v>114</v>
      </c>
      <c r="J379" t="str">
        <f t="shared" ca="1" si="35"/>
        <v>At Risk</v>
      </c>
    </row>
    <row r="380" spans="1:10" x14ac:dyDescent="0.35">
      <c r="A380" t="s">
        <v>2166</v>
      </c>
      <c r="B380" s="2">
        <f>_xlfn.MAXIFS(clean_sales!P:P,clean_sales!C:C,RFM_Analysis!A380)</f>
        <v>45707</v>
      </c>
      <c r="C380">
        <f t="shared" ca="1" si="30"/>
        <v>321</v>
      </c>
      <c r="D380">
        <f>COUNTIFS(clean_sales!C:C,RFM_Analysis!A380)</f>
        <v>1</v>
      </c>
      <c r="E380">
        <f>SUMIFS(clean_sales!T:T,clean_sales!C:C,RFM_Analysis!A380)</f>
        <v>290000</v>
      </c>
      <c r="F380">
        <f t="shared" ca="1" si="31"/>
        <v>1</v>
      </c>
      <c r="G380">
        <f t="shared" si="32"/>
        <v>1</v>
      </c>
      <c r="H380">
        <f t="shared" si="33"/>
        <v>4</v>
      </c>
      <c r="I380" t="str">
        <f t="shared" ca="1" si="34"/>
        <v>114</v>
      </c>
      <c r="J380" t="str">
        <f t="shared" ca="1" si="35"/>
        <v>At Risk</v>
      </c>
    </row>
    <row r="381" spans="1:10" x14ac:dyDescent="0.35">
      <c r="A381" t="s">
        <v>2167</v>
      </c>
      <c r="B381" s="2">
        <f>_xlfn.MAXIFS(clean_sales!P:P,clean_sales!C:C,RFM_Analysis!A381)</f>
        <v>45836</v>
      </c>
      <c r="C381">
        <f t="shared" ca="1" si="30"/>
        <v>192</v>
      </c>
      <c r="D381">
        <f>COUNTIFS(clean_sales!C:C,RFM_Analysis!A381)</f>
        <v>1</v>
      </c>
      <c r="E381">
        <f>SUMIFS(clean_sales!T:T,clean_sales!C:C,RFM_Analysis!A381)</f>
        <v>260000</v>
      </c>
      <c r="F381">
        <f t="shared" ca="1" si="31"/>
        <v>2</v>
      </c>
      <c r="G381">
        <f t="shared" si="32"/>
        <v>1</v>
      </c>
      <c r="H381">
        <f t="shared" si="33"/>
        <v>4</v>
      </c>
      <c r="I381" t="str">
        <f t="shared" ca="1" si="34"/>
        <v>214</v>
      </c>
      <c r="J381" t="str">
        <f t="shared" ca="1" si="35"/>
        <v>At Risk</v>
      </c>
    </row>
    <row r="382" spans="1:10" x14ac:dyDescent="0.35">
      <c r="A382" t="s">
        <v>2168</v>
      </c>
      <c r="B382" s="2">
        <f>_xlfn.MAXIFS(clean_sales!P:P,clean_sales!C:C,RFM_Analysis!A382)</f>
        <v>45860</v>
      </c>
      <c r="C382">
        <f t="shared" ca="1" si="30"/>
        <v>168</v>
      </c>
      <c r="D382">
        <f>COUNTIFS(clean_sales!C:C,RFM_Analysis!A382)</f>
        <v>2</v>
      </c>
      <c r="E382">
        <f>SUMIFS(clean_sales!T:T,clean_sales!C:C,RFM_Analysis!A382)</f>
        <v>92000</v>
      </c>
      <c r="F382">
        <f t="shared" ca="1" si="31"/>
        <v>3</v>
      </c>
      <c r="G382">
        <f t="shared" si="32"/>
        <v>3</v>
      </c>
      <c r="H382">
        <f t="shared" si="33"/>
        <v>3</v>
      </c>
      <c r="I382" t="str">
        <f t="shared" ca="1" si="34"/>
        <v>333</v>
      </c>
      <c r="J382" t="str">
        <f t="shared" ca="1" si="35"/>
        <v>Regular</v>
      </c>
    </row>
    <row r="383" spans="1:10" x14ac:dyDescent="0.35">
      <c r="A383" t="s">
        <v>2169</v>
      </c>
      <c r="B383" s="2">
        <f>_xlfn.MAXIFS(clean_sales!P:P,clean_sales!C:C,RFM_Analysis!A383)</f>
        <v>45766</v>
      </c>
      <c r="C383">
        <f t="shared" ca="1" si="30"/>
        <v>262</v>
      </c>
      <c r="D383">
        <f>COUNTIFS(clean_sales!C:C,RFM_Analysis!A383)</f>
        <v>2</v>
      </c>
      <c r="E383">
        <f>SUMIFS(clean_sales!T:T,clean_sales!C:C,RFM_Analysis!A383)</f>
        <v>75000</v>
      </c>
      <c r="F383">
        <f t="shared" ca="1" si="31"/>
        <v>1</v>
      </c>
      <c r="G383">
        <f t="shared" si="32"/>
        <v>3</v>
      </c>
      <c r="H383">
        <f t="shared" si="33"/>
        <v>3</v>
      </c>
      <c r="I383" t="str">
        <f t="shared" ca="1" si="34"/>
        <v>133</v>
      </c>
      <c r="J383" t="str">
        <f t="shared" ca="1" si="35"/>
        <v>At Risk</v>
      </c>
    </row>
    <row r="384" spans="1:10" x14ac:dyDescent="0.35">
      <c r="A384" t="s">
        <v>2170</v>
      </c>
      <c r="B384" s="2">
        <f>_xlfn.MAXIFS(clean_sales!P:P,clean_sales!C:C,RFM_Analysis!A384)</f>
        <v>45855</v>
      </c>
      <c r="C384">
        <f t="shared" ca="1" si="30"/>
        <v>173</v>
      </c>
      <c r="D384">
        <f>COUNTIFS(clean_sales!C:C,RFM_Analysis!A384)</f>
        <v>2</v>
      </c>
      <c r="E384">
        <f>SUMIFS(clean_sales!T:T,clean_sales!C:C,RFM_Analysis!A384)</f>
        <v>240000</v>
      </c>
      <c r="F384">
        <f t="shared" ca="1" si="31"/>
        <v>2</v>
      </c>
      <c r="G384">
        <f t="shared" si="32"/>
        <v>3</v>
      </c>
      <c r="H384">
        <f t="shared" si="33"/>
        <v>4</v>
      </c>
      <c r="I384" t="str">
        <f t="shared" ca="1" si="34"/>
        <v>234</v>
      </c>
      <c r="J384" t="str">
        <f t="shared" ca="1" si="35"/>
        <v>At Risk</v>
      </c>
    </row>
    <row r="385" spans="1:10" x14ac:dyDescent="0.35">
      <c r="A385" t="s">
        <v>2171</v>
      </c>
      <c r="B385" s="2">
        <f>_xlfn.MAXIFS(clean_sales!P:P,clean_sales!C:C,RFM_Analysis!A385)</f>
        <v>45794</v>
      </c>
      <c r="C385">
        <f t="shared" ca="1" si="30"/>
        <v>234</v>
      </c>
      <c r="D385">
        <f>COUNTIFS(clean_sales!C:C,RFM_Analysis!A385)</f>
        <v>1</v>
      </c>
      <c r="E385">
        <f>SUMIFS(clean_sales!T:T,clean_sales!C:C,RFM_Analysis!A385)</f>
        <v>15000</v>
      </c>
      <c r="F385">
        <f t="shared" ca="1" si="31"/>
        <v>2</v>
      </c>
      <c r="G385">
        <f t="shared" si="32"/>
        <v>1</v>
      </c>
      <c r="H385">
        <f t="shared" si="33"/>
        <v>1</v>
      </c>
      <c r="I385" t="str">
        <f t="shared" ca="1" si="34"/>
        <v>211</v>
      </c>
      <c r="J385" t="str">
        <f t="shared" ca="1" si="35"/>
        <v>At Risk</v>
      </c>
    </row>
    <row r="386" spans="1:10" x14ac:dyDescent="0.35">
      <c r="A386" t="s">
        <v>2172</v>
      </c>
      <c r="B386" s="2">
        <f>_xlfn.MAXIFS(clean_sales!P:P,clean_sales!C:C,RFM_Analysis!A386)</f>
        <v>45918</v>
      </c>
      <c r="C386">
        <f t="shared" ca="1" si="30"/>
        <v>110</v>
      </c>
      <c r="D386">
        <f>COUNTIFS(clean_sales!C:C,RFM_Analysis!A386)</f>
        <v>1</v>
      </c>
      <c r="E386">
        <f>SUMIFS(clean_sales!T:T,clean_sales!C:C,RFM_Analysis!A386)</f>
        <v>60000</v>
      </c>
      <c r="F386">
        <f t="shared" ca="1" si="31"/>
        <v>3</v>
      </c>
      <c r="G386">
        <f t="shared" si="32"/>
        <v>1</v>
      </c>
      <c r="H386">
        <f t="shared" si="33"/>
        <v>3</v>
      </c>
      <c r="I386" t="str">
        <f t="shared" ca="1" si="34"/>
        <v>313</v>
      </c>
      <c r="J386" t="str">
        <f t="shared" ca="1" si="35"/>
        <v>Regular</v>
      </c>
    </row>
    <row r="387" spans="1:10" x14ac:dyDescent="0.35">
      <c r="A387" t="s">
        <v>2173</v>
      </c>
      <c r="B387" s="2">
        <f>_xlfn.MAXIFS(clean_sales!P:P,clean_sales!C:C,RFM_Analysis!A387)</f>
        <v>45830</v>
      </c>
      <c r="C387">
        <f t="shared" ref="C387:C450" ca="1" si="36">TODAY()-B387</f>
        <v>198</v>
      </c>
      <c r="D387">
        <f>COUNTIFS(clean_sales!C:C,RFM_Analysis!A387)</f>
        <v>2</v>
      </c>
      <c r="E387">
        <f>SUMIFS(clean_sales!T:T,clean_sales!C:C,RFM_Analysis!A387)</f>
        <v>335000</v>
      </c>
      <c r="F387">
        <f t="shared" ref="F387:F450" ca="1" si="37">IF(C387&lt;=PERCENTILE($C:$C,0.2),5,
IF(C387&lt;=PERCENTILE($C:$C,0.4),4,
IF(C387&lt;=PERCENTILE($C:$C,0.6),3,
IF(C387&lt;=PERCENTILE($C:$C,0.8),2,1))))</f>
        <v>2</v>
      </c>
      <c r="G387">
        <f t="shared" ref="G387:G450" si="38">IF(D387&lt;=PERCENTILE($D:$D,0.2),1,
IF(D387&lt;=PERCENTILE($D:$D,0.4),2,
IF(D387&lt;=PERCENTILE($D:$D,0.6),3,
IF(D387&lt;=PERCENTILE($D:$D,0.8),4,5))))</f>
        <v>3</v>
      </c>
      <c r="H387">
        <f t="shared" ref="H387:H450" si="39">IF(E387&lt;=PERCENTILE($E:$E,0.2),1,
IF(E387&lt;=PERCENTILE($E:$E,0.4),2,
IF(E387&lt;=PERCENTILE($E:$E,0.6),3,
IF(E387&lt;=PERCENTILE($E:$E,0.8),4,5))))</f>
        <v>5</v>
      </c>
      <c r="I387" t="str">
        <f t="shared" ref="I387:I450" ca="1" si="40">F387&amp;G387&amp;H387</f>
        <v>235</v>
      </c>
      <c r="J387" t="str">
        <f t="shared" ref="J387:J450" ca="1" si="41">IF(I387="555","Champions",
IF(AND(F387&gt;=4,G387&gt;=4),"Loyal",
IF(F387&lt;=2,"At Risk","Regular")))</f>
        <v>At Risk</v>
      </c>
    </row>
    <row r="388" spans="1:10" x14ac:dyDescent="0.35">
      <c r="A388" t="s">
        <v>2174</v>
      </c>
      <c r="B388" s="2">
        <f>_xlfn.MAXIFS(clean_sales!P:P,clean_sales!C:C,RFM_Analysis!A388)</f>
        <v>45709</v>
      </c>
      <c r="C388">
        <f t="shared" ca="1" si="36"/>
        <v>319</v>
      </c>
      <c r="D388">
        <f>COUNTIFS(clean_sales!C:C,RFM_Analysis!A388)</f>
        <v>1</v>
      </c>
      <c r="E388">
        <f>SUMIFS(clean_sales!T:T,clean_sales!C:C,RFM_Analysis!A388)</f>
        <v>232000</v>
      </c>
      <c r="F388">
        <f t="shared" ca="1" si="37"/>
        <v>1</v>
      </c>
      <c r="G388">
        <f t="shared" si="38"/>
        <v>1</v>
      </c>
      <c r="H388">
        <f t="shared" si="39"/>
        <v>4</v>
      </c>
      <c r="I388" t="str">
        <f t="shared" ca="1" si="40"/>
        <v>114</v>
      </c>
      <c r="J388" t="str">
        <f t="shared" ca="1" si="41"/>
        <v>At Risk</v>
      </c>
    </row>
    <row r="389" spans="1:10" x14ac:dyDescent="0.35">
      <c r="A389" t="s">
        <v>2175</v>
      </c>
      <c r="B389" s="2">
        <f>_xlfn.MAXIFS(clean_sales!P:P,clean_sales!C:C,RFM_Analysis!A389)</f>
        <v>45939</v>
      </c>
      <c r="C389">
        <f t="shared" ca="1" si="36"/>
        <v>89</v>
      </c>
      <c r="D389">
        <f>COUNTIFS(clean_sales!C:C,RFM_Analysis!A389)</f>
        <v>2</v>
      </c>
      <c r="E389">
        <f>SUMIFS(clean_sales!T:T,clean_sales!C:C,RFM_Analysis!A389)</f>
        <v>156000</v>
      </c>
      <c r="F389">
        <f t="shared" ca="1" si="37"/>
        <v>4</v>
      </c>
      <c r="G389">
        <f t="shared" si="38"/>
        <v>3</v>
      </c>
      <c r="H389">
        <f t="shared" si="39"/>
        <v>3</v>
      </c>
      <c r="I389" t="str">
        <f t="shared" ca="1" si="40"/>
        <v>433</v>
      </c>
      <c r="J389" t="str">
        <f t="shared" ca="1" si="41"/>
        <v>Regular</v>
      </c>
    </row>
    <row r="390" spans="1:10" x14ac:dyDescent="0.35">
      <c r="A390" t="s">
        <v>2176</v>
      </c>
      <c r="B390" s="2">
        <f>_xlfn.MAXIFS(clean_sales!P:P,clean_sales!C:C,RFM_Analysis!A390)</f>
        <v>46004</v>
      </c>
      <c r="C390">
        <f t="shared" ca="1" si="36"/>
        <v>24</v>
      </c>
      <c r="D390">
        <f>COUNTIFS(clean_sales!C:C,RFM_Analysis!A390)</f>
        <v>3</v>
      </c>
      <c r="E390">
        <f>SUMIFS(clean_sales!T:T,clean_sales!C:C,RFM_Analysis!A390)</f>
        <v>662000</v>
      </c>
      <c r="F390">
        <f t="shared" ca="1" si="37"/>
        <v>5</v>
      </c>
      <c r="G390">
        <f t="shared" si="38"/>
        <v>5</v>
      </c>
      <c r="H390">
        <f t="shared" si="39"/>
        <v>5</v>
      </c>
      <c r="I390" t="str">
        <f t="shared" ca="1" si="40"/>
        <v>555</v>
      </c>
      <c r="J390" t="str">
        <f t="shared" ca="1" si="41"/>
        <v>Champions</v>
      </c>
    </row>
    <row r="391" spans="1:10" x14ac:dyDescent="0.35">
      <c r="A391" t="s">
        <v>2177</v>
      </c>
      <c r="B391" s="2">
        <f>_xlfn.MAXIFS(clean_sales!P:P,clean_sales!C:C,RFM_Analysis!A391)</f>
        <v>45916</v>
      </c>
      <c r="C391">
        <f t="shared" ca="1" si="36"/>
        <v>112</v>
      </c>
      <c r="D391">
        <f>COUNTIFS(clean_sales!C:C,RFM_Analysis!A391)</f>
        <v>1</v>
      </c>
      <c r="E391">
        <f>SUMIFS(clean_sales!T:T,clean_sales!C:C,RFM_Analysis!A391)</f>
        <v>144000</v>
      </c>
      <c r="F391">
        <f t="shared" ca="1" si="37"/>
        <v>3</v>
      </c>
      <c r="G391">
        <f t="shared" si="38"/>
        <v>1</v>
      </c>
      <c r="H391">
        <f t="shared" si="39"/>
        <v>3</v>
      </c>
      <c r="I391" t="str">
        <f t="shared" ca="1" si="40"/>
        <v>313</v>
      </c>
      <c r="J391" t="str">
        <f t="shared" ca="1" si="41"/>
        <v>Regular</v>
      </c>
    </row>
    <row r="392" spans="1:10" x14ac:dyDescent="0.35">
      <c r="A392" t="s">
        <v>2178</v>
      </c>
      <c r="B392" s="2">
        <f>_xlfn.MAXIFS(clean_sales!P:P,clean_sales!C:C,RFM_Analysis!A392)</f>
        <v>45766</v>
      </c>
      <c r="C392">
        <f t="shared" ca="1" si="36"/>
        <v>262</v>
      </c>
      <c r="D392">
        <f>COUNTIFS(clean_sales!C:C,RFM_Analysis!A392)</f>
        <v>1</v>
      </c>
      <c r="E392">
        <f>SUMIFS(clean_sales!T:T,clean_sales!C:C,RFM_Analysis!A392)</f>
        <v>58000</v>
      </c>
      <c r="F392">
        <f t="shared" ca="1" si="37"/>
        <v>1</v>
      </c>
      <c r="G392">
        <f t="shared" si="38"/>
        <v>1</v>
      </c>
      <c r="H392">
        <f t="shared" si="39"/>
        <v>2</v>
      </c>
      <c r="I392" t="str">
        <f t="shared" ca="1" si="40"/>
        <v>112</v>
      </c>
      <c r="J392" t="str">
        <f t="shared" ca="1" si="41"/>
        <v>At Risk</v>
      </c>
    </row>
    <row r="393" spans="1:10" x14ac:dyDescent="0.35">
      <c r="A393" t="s">
        <v>2179</v>
      </c>
      <c r="B393" s="2">
        <f>_xlfn.MAXIFS(clean_sales!P:P,clean_sales!C:C,RFM_Analysis!A393)</f>
        <v>45916</v>
      </c>
      <c r="C393">
        <f t="shared" ca="1" si="36"/>
        <v>112</v>
      </c>
      <c r="D393">
        <f>COUNTIFS(clean_sales!C:C,RFM_Analysis!A393)</f>
        <v>2</v>
      </c>
      <c r="E393">
        <f>SUMIFS(clean_sales!T:T,clean_sales!C:C,RFM_Analysis!A393)</f>
        <v>121400</v>
      </c>
      <c r="F393">
        <f t="shared" ca="1" si="37"/>
        <v>3</v>
      </c>
      <c r="G393">
        <f t="shared" si="38"/>
        <v>3</v>
      </c>
      <c r="H393">
        <f t="shared" si="39"/>
        <v>3</v>
      </c>
      <c r="I393" t="str">
        <f t="shared" ca="1" si="40"/>
        <v>333</v>
      </c>
      <c r="J393" t="str">
        <f t="shared" ca="1" si="41"/>
        <v>Regular</v>
      </c>
    </row>
    <row r="394" spans="1:10" x14ac:dyDescent="0.35">
      <c r="A394" t="s">
        <v>2180</v>
      </c>
      <c r="B394" s="2">
        <f>_xlfn.MAXIFS(clean_sales!P:P,clean_sales!C:C,RFM_Analysis!A394)</f>
        <v>45878</v>
      </c>
      <c r="C394">
        <f t="shared" ca="1" si="36"/>
        <v>150</v>
      </c>
      <c r="D394">
        <f>COUNTIFS(clean_sales!C:C,RFM_Analysis!A394)</f>
        <v>1</v>
      </c>
      <c r="E394">
        <f>SUMIFS(clean_sales!T:T,clean_sales!C:C,RFM_Analysis!A394)</f>
        <v>5000</v>
      </c>
      <c r="F394">
        <f t="shared" ca="1" si="37"/>
        <v>3</v>
      </c>
      <c r="G394">
        <f t="shared" si="38"/>
        <v>1</v>
      </c>
      <c r="H394">
        <f t="shared" si="39"/>
        <v>1</v>
      </c>
      <c r="I394" t="str">
        <f t="shared" ca="1" si="40"/>
        <v>311</v>
      </c>
      <c r="J394" t="str">
        <f t="shared" ca="1" si="41"/>
        <v>Regular</v>
      </c>
    </row>
    <row r="395" spans="1:10" x14ac:dyDescent="0.35">
      <c r="A395" t="s">
        <v>2181</v>
      </c>
      <c r="B395" s="2">
        <f>_xlfn.MAXIFS(clean_sales!P:P,clean_sales!C:C,RFM_Analysis!A395)</f>
        <v>45928</v>
      </c>
      <c r="C395">
        <f t="shared" ca="1" si="36"/>
        <v>100</v>
      </c>
      <c r="D395">
        <f>COUNTIFS(clean_sales!C:C,RFM_Analysis!A395)</f>
        <v>2</v>
      </c>
      <c r="E395">
        <f>SUMIFS(clean_sales!T:T,clean_sales!C:C,RFM_Analysis!A395)</f>
        <v>365000</v>
      </c>
      <c r="F395">
        <f t="shared" ca="1" si="37"/>
        <v>4</v>
      </c>
      <c r="G395">
        <f t="shared" si="38"/>
        <v>3</v>
      </c>
      <c r="H395">
        <f t="shared" si="39"/>
        <v>5</v>
      </c>
      <c r="I395" t="str">
        <f t="shared" ca="1" si="40"/>
        <v>435</v>
      </c>
      <c r="J395" t="str">
        <f t="shared" ca="1" si="41"/>
        <v>Regular</v>
      </c>
    </row>
    <row r="396" spans="1:10" x14ac:dyDescent="0.35">
      <c r="A396" t="s">
        <v>2182</v>
      </c>
      <c r="B396" s="2">
        <f>_xlfn.MAXIFS(clean_sales!P:P,clean_sales!C:C,RFM_Analysis!A396)</f>
        <v>45731</v>
      </c>
      <c r="C396">
        <f t="shared" ca="1" si="36"/>
        <v>297</v>
      </c>
      <c r="D396">
        <f>COUNTIFS(clean_sales!C:C,RFM_Analysis!A396)</f>
        <v>1</v>
      </c>
      <c r="E396">
        <f>SUMIFS(clean_sales!T:T,clean_sales!C:C,RFM_Analysis!A396)</f>
        <v>9000</v>
      </c>
      <c r="F396">
        <f t="shared" ca="1" si="37"/>
        <v>1</v>
      </c>
      <c r="G396">
        <f t="shared" si="38"/>
        <v>1</v>
      </c>
      <c r="H396">
        <f t="shared" si="39"/>
        <v>1</v>
      </c>
      <c r="I396" t="str">
        <f t="shared" ca="1" si="40"/>
        <v>111</v>
      </c>
      <c r="J396" t="str">
        <f t="shared" ca="1" si="41"/>
        <v>At Risk</v>
      </c>
    </row>
    <row r="397" spans="1:10" x14ac:dyDescent="0.35">
      <c r="A397" t="s">
        <v>2183</v>
      </c>
      <c r="B397" s="2">
        <f>_xlfn.MAXIFS(clean_sales!P:P,clean_sales!C:C,RFM_Analysis!A397)</f>
        <v>46016</v>
      </c>
      <c r="C397">
        <f t="shared" ca="1" si="36"/>
        <v>12</v>
      </c>
      <c r="D397">
        <f>COUNTIFS(clean_sales!C:C,RFM_Analysis!A397)</f>
        <v>2</v>
      </c>
      <c r="E397">
        <f>SUMIFS(clean_sales!T:T,clean_sales!C:C,RFM_Analysis!A397)</f>
        <v>334000</v>
      </c>
      <c r="F397">
        <f t="shared" ca="1" si="37"/>
        <v>5</v>
      </c>
      <c r="G397">
        <f t="shared" si="38"/>
        <v>3</v>
      </c>
      <c r="H397">
        <f t="shared" si="39"/>
        <v>5</v>
      </c>
      <c r="I397" t="str">
        <f t="shared" ca="1" si="40"/>
        <v>535</v>
      </c>
      <c r="J397" t="str">
        <f t="shared" ca="1" si="41"/>
        <v>Regular</v>
      </c>
    </row>
    <row r="398" spans="1:10" x14ac:dyDescent="0.35">
      <c r="A398" t="s">
        <v>2184</v>
      </c>
      <c r="B398" s="2">
        <f>_xlfn.MAXIFS(clean_sales!P:P,clean_sales!C:C,RFM_Analysis!A398)</f>
        <v>45903</v>
      </c>
      <c r="C398">
        <f t="shared" ca="1" si="36"/>
        <v>125</v>
      </c>
      <c r="D398">
        <f>COUNTIFS(clean_sales!C:C,RFM_Analysis!A398)</f>
        <v>2</v>
      </c>
      <c r="E398">
        <f>SUMIFS(clean_sales!T:T,clean_sales!C:C,RFM_Analysis!A398)</f>
        <v>291600</v>
      </c>
      <c r="F398">
        <f t="shared" ca="1" si="37"/>
        <v>3</v>
      </c>
      <c r="G398">
        <f t="shared" si="38"/>
        <v>3</v>
      </c>
      <c r="H398">
        <f t="shared" si="39"/>
        <v>4</v>
      </c>
      <c r="I398" t="str">
        <f t="shared" ca="1" si="40"/>
        <v>334</v>
      </c>
      <c r="J398" t="str">
        <f t="shared" ca="1" si="41"/>
        <v>Regular</v>
      </c>
    </row>
    <row r="399" spans="1:10" x14ac:dyDescent="0.35">
      <c r="A399" t="s">
        <v>2185</v>
      </c>
      <c r="B399" s="2">
        <f>_xlfn.MAXIFS(clean_sales!P:P,clean_sales!C:C,RFM_Analysis!A399)</f>
        <v>45976</v>
      </c>
      <c r="C399">
        <f t="shared" ca="1" si="36"/>
        <v>52</v>
      </c>
      <c r="D399">
        <f>COUNTIFS(clean_sales!C:C,RFM_Analysis!A399)</f>
        <v>1</v>
      </c>
      <c r="E399">
        <f>SUMIFS(clean_sales!T:T,clean_sales!C:C,RFM_Analysis!A399)</f>
        <v>360000</v>
      </c>
      <c r="F399">
        <f t="shared" ca="1" si="37"/>
        <v>4</v>
      </c>
      <c r="G399">
        <f t="shared" si="38"/>
        <v>1</v>
      </c>
      <c r="H399">
        <f t="shared" si="39"/>
        <v>5</v>
      </c>
      <c r="I399" t="str">
        <f t="shared" ca="1" si="40"/>
        <v>415</v>
      </c>
      <c r="J399" t="str">
        <f t="shared" ca="1" si="41"/>
        <v>Regular</v>
      </c>
    </row>
    <row r="400" spans="1:10" x14ac:dyDescent="0.35">
      <c r="A400" t="s">
        <v>2186</v>
      </c>
      <c r="B400" s="2">
        <f>_xlfn.MAXIFS(clean_sales!P:P,clean_sales!C:C,RFM_Analysis!A400)</f>
        <v>45817</v>
      </c>
      <c r="C400">
        <f t="shared" ca="1" si="36"/>
        <v>211</v>
      </c>
      <c r="D400">
        <f>COUNTIFS(clean_sales!C:C,RFM_Analysis!A400)</f>
        <v>2</v>
      </c>
      <c r="E400">
        <f>SUMIFS(clean_sales!T:T,clean_sales!C:C,RFM_Analysis!A400)</f>
        <v>47500</v>
      </c>
      <c r="F400">
        <f t="shared" ca="1" si="37"/>
        <v>2</v>
      </c>
      <c r="G400">
        <f t="shared" si="38"/>
        <v>3</v>
      </c>
      <c r="H400">
        <f t="shared" si="39"/>
        <v>2</v>
      </c>
      <c r="I400" t="str">
        <f t="shared" ca="1" si="40"/>
        <v>232</v>
      </c>
      <c r="J400" t="str">
        <f t="shared" ca="1" si="41"/>
        <v>At Risk</v>
      </c>
    </row>
    <row r="401" spans="1:10" x14ac:dyDescent="0.35">
      <c r="A401" t="s">
        <v>2187</v>
      </c>
      <c r="B401" s="2">
        <f>_xlfn.MAXIFS(clean_sales!P:P,clean_sales!C:C,RFM_Analysis!A401)</f>
        <v>45925</v>
      </c>
      <c r="C401">
        <f t="shared" ca="1" si="36"/>
        <v>103</v>
      </c>
      <c r="D401">
        <f>COUNTIFS(clean_sales!C:C,RFM_Analysis!A401)</f>
        <v>2</v>
      </c>
      <c r="E401">
        <f>SUMIFS(clean_sales!T:T,clean_sales!C:C,RFM_Analysis!A401)</f>
        <v>14500</v>
      </c>
      <c r="F401">
        <f t="shared" ca="1" si="37"/>
        <v>4</v>
      </c>
      <c r="G401">
        <f t="shared" si="38"/>
        <v>3</v>
      </c>
      <c r="H401">
        <f t="shared" si="39"/>
        <v>1</v>
      </c>
      <c r="I401" t="str">
        <f t="shared" ca="1" si="40"/>
        <v>431</v>
      </c>
      <c r="J401" t="str">
        <f t="shared" ca="1" si="41"/>
        <v>Regular</v>
      </c>
    </row>
    <row r="402" spans="1:10" x14ac:dyDescent="0.35">
      <c r="A402" t="s">
        <v>2188</v>
      </c>
      <c r="B402" s="2">
        <f>_xlfn.MAXIFS(clean_sales!P:P,clean_sales!C:C,RFM_Analysis!A402)</f>
        <v>46025</v>
      </c>
      <c r="C402">
        <f t="shared" ca="1" si="36"/>
        <v>3</v>
      </c>
      <c r="D402">
        <f>COUNTIFS(clean_sales!C:C,RFM_Analysis!A402)</f>
        <v>2</v>
      </c>
      <c r="E402">
        <f>SUMIFS(clean_sales!T:T,clean_sales!C:C,RFM_Analysis!A402)</f>
        <v>18000</v>
      </c>
      <c r="F402">
        <f t="shared" ca="1" si="37"/>
        <v>5</v>
      </c>
      <c r="G402">
        <f t="shared" si="38"/>
        <v>3</v>
      </c>
      <c r="H402">
        <f t="shared" si="39"/>
        <v>2</v>
      </c>
      <c r="I402" t="str">
        <f t="shared" ca="1" si="40"/>
        <v>532</v>
      </c>
      <c r="J402" t="str">
        <f t="shared" ca="1" si="41"/>
        <v>Regular</v>
      </c>
    </row>
    <row r="403" spans="1:10" x14ac:dyDescent="0.35">
      <c r="A403" t="s">
        <v>2189</v>
      </c>
      <c r="B403" s="2">
        <f>_xlfn.MAXIFS(clean_sales!P:P,clean_sales!C:C,RFM_Analysis!A403)</f>
        <v>45998</v>
      </c>
      <c r="C403">
        <f t="shared" ca="1" si="36"/>
        <v>30</v>
      </c>
      <c r="D403">
        <f>COUNTIFS(clean_sales!C:C,RFM_Analysis!A403)</f>
        <v>2</v>
      </c>
      <c r="E403">
        <f>SUMIFS(clean_sales!T:T,clean_sales!C:C,RFM_Analysis!A403)</f>
        <v>362000</v>
      </c>
      <c r="F403">
        <f t="shared" ca="1" si="37"/>
        <v>5</v>
      </c>
      <c r="G403">
        <f t="shared" si="38"/>
        <v>3</v>
      </c>
      <c r="H403">
        <f t="shared" si="39"/>
        <v>5</v>
      </c>
      <c r="I403" t="str">
        <f t="shared" ca="1" si="40"/>
        <v>535</v>
      </c>
      <c r="J403" t="str">
        <f t="shared" ca="1" si="41"/>
        <v>Regular</v>
      </c>
    </row>
    <row r="404" spans="1:10" x14ac:dyDescent="0.35">
      <c r="A404" t="s">
        <v>2190</v>
      </c>
      <c r="B404" s="2">
        <f>_xlfn.MAXIFS(clean_sales!P:P,clean_sales!C:C,RFM_Analysis!A404)</f>
        <v>45891</v>
      </c>
      <c r="C404">
        <f t="shared" ca="1" si="36"/>
        <v>137</v>
      </c>
      <c r="D404">
        <f>COUNTIFS(clean_sales!C:C,RFM_Analysis!A404)</f>
        <v>1</v>
      </c>
      <c r="E404">
        <f>SUMIFS(clean_sales!T:T,clean_sales!C:C,RFM_Analysis!A404)</f>
        <v>7200</v>
      </c>
      <c r="F404">
        <f t="shared" ca="1" si="37"/>
        <v>3</v>
      </c>
      <c r="G404">
        <f t="shared" si="38"/>
        <v>1</v>
      </c>
      <c r="H404">
        <f t="shared" si="39"/>
        <v>1</v>
      </c>
      <c r="I404" t="str">
        <f t="shared" ca="1" si="40"/>
        <v>311</v>
      </c>
      <c r="J404" t="str">
        <f t="shared" ca="1" si="41"/>
        <v>Regular</v>
      </c>
    </row>
    <row r="405" spans="1:10" x14ac:dyDescent="0.35">
      <c r="A405" t="s">
        <v>2191</v>
      </c>
      <c r="B405" s="2">
        <f>_xlfn.MAXIFS(clean_sales!P:P,clean_sales!C:C,RFM_Analysis!A405)</f>
        <v>45858</v>
      </c>
      <c r="C405">
        <f t="shared" ca="1" si="36"/>
        <v>170</v>
      </c>
      <c r="D405">
        <f>COUNTIFS(clean_sales!C:C,RFM_Analysis!A405)</f>
        <v>2</v>
      </c>
      <c r="E405">
        <f>SUMIFS(clean_sales!T:T,clean_sales!C:C,RFM_Analysis!A405)</f>
        <v>164000</v>
      </c>
      <c r="F405">
        <f t="shared" ca="1" si="37"/>
        <v>2</v>
      </c>
      <c r="G405">
        <f t="shared" si="38"/>
        <v>3</v>
      </c>
      <c r="H405">
        <f t="shared" si="39"/>
        <v>3</v>
      </c>
      <c r="I405" t="str">
        <f t="shared" ca="1" si="40"/>
        <v>233</v>
      </c>
      <c r="J405" t="str">
        <f t="shared" ca="1" si="41"/>
        <v>At Risk</v>
      </c>
    </row>
    <row r="406" spans="1:10" x14ac:dyDescent="0.35">
      <c r="A406" t="s">
        <v>2192</v>
      </c>
      <c r="B406" s="2">
        <f>_xlfn.MAXIFS(clean_sales!P:P,clean_sales!C:C,RFM_Analysis!A406)</f>
        <v>46006</v>
      </c>
      <c r="C406">
        <f t="shared" ca="1" si="36"/>
        <v>22</v>
      </c>
      <c r="D406">
        <f>COUNTIFS(clean_sales!C:C,RFM_Analysis!A406)</f>
        <v>3</v>
      </c>
      <c r="E406">
        <f>SUMIFS(clean_sales!T:T,clean_sales!C:C,RFM_Analysis!A406)</f>
        <v>368500</v>
      </c>
      <c r="F406">
        <f t="shared" ca="1" si="37"/>
        <v>5</v>
      </c>
      <c r="G406">
        <f t="shared" si="38"/>
        <v>5</v>
      </c>
      <c r="H406">
        <f t="shared" si="39"/>
        <v>5</v>
      </c>
      <c r="I406" t="str">
        <f t="shared" ca="1" si="40"/>
        <v>555</v>
      </c>
      <c r="J406" t="str">
        <f t="shared" ca="1" si="41"/>
        <v>Champions</v>
      </c>
    </row>
    <row r="407" spans="1:10" x14ac:dyDescent="0.35">
      <c r="A407" t="s">
        <v>2193</v>
      </c>
      <c r="B407" s="2">
        <f>_xlfn.MAXIFS(clean_sales!P:P,clean_sales!C:C,RFM_Analysis!A407)</f>
        <v>45829</v>
      </c>
      <c r="C407">
        <f t="shared" ca="1" si="36"/>
        <v>199</v>
      </c>
      <c r="D407">
        <f>COUNTIFS(clean_sales!C:C,RFM_Analysis!A407)</f>
        <v>1</v>
      </c>
      <c r="E407">
        <f>SUMIFS(clean_sales!T:T,clean_sales!C:C,RFM_Analysis!A407)</f>
        <v>144000</v>
      </c>
      <c r="F407">
        <f t="shared" ca="1" si="37"/>
        <v>2</v>
      </c>
      <c r="G407">
        <f t="shared" si="38"/>
        <v>1</v>
      </c>
      <c r="H407">
        <f t="shared" si="39"/>
        <v>3</v>
      </c>
      <c r="I407" t="str">
        <f t="shared" ca="1" si="40"/>
        <v>213</v>
      </c>
      <c r="J407" t="str">
        <f t="shared" ca="1" si="41"/>
        <v>At Risk</v>
      </c>
    </row>
    <row r="408" spans="1:10" x14ac:dyDescent="0.35">
      <c r="A408" t="s">
        <v>2194</v>
      </c>
      <c r="B408" s="2">
        <f>_xlfn.MAXIFS(clean_sales!P:P,clean_sales!C:C,RFM_Analysis!A408)</f>
        <v>45796</v>
      </c>
      <c r="C408">
        <f t="shared" ca="1" si="36"/>
        <v>232</v>
      </c>
      <c r="D408">
        <f>COUNTIFS(clean_sales!C:C,RFM_Analysis!A408)</f>
        <v>2</v>
      </c>
      <c r="E408">
        <f>SUMIFS(clean_sales!T:T,clean_sales!C:C,RFM_Analysis!A408)</f>
        <v>57000</v>
      </c>
      <c r="F408">
        <f t="shared" ca="1" si="37"/>
        <v>2</v>
      </c>
      <c r="G408">
        <f t="shared" si="38"/>
        <v>3</v>
      </c>
      <c r="H408">
        <f t="shared" si="39"/>
        <v>2</v>
      </c>
      <c r="I408" t="str">
        <f t="shared" ca="1" si="40"/>
        <v>232</v>
      </c>
      <c r="J408" t="str">
        <f t="shared" ca="1" si="41"/>
        <v>At Risk</v>
      </c>
    </row>
    <row r="409" spans="1:10" x14ac:dyDescent="0.35">
      <c r="A409" t="s">
        <v>2195</v>
      </c>
      <c r="B409" s="2">
        <f>_xlfn.MAXIFS(clean_sales!P:P,clean_sales!C:C,RFM_Analysis!A409)</f>
        <v>45819</v>
      </c>
      <c r="C409">
        <f t="shared" ca="1" si="36"/>
        <v>209</v>
      </c>
      <c r="D409">
        <f>COUNTIFS(clean_sales!C:C,RFM_Analysis!A409)</f>
        <v>1</v>
      </c>
      <c r="E409">
        <f>SUMIFS(clean_sales!T:T,clean_sales!C:C,RFM_Analysis!A409)</f>
        <v>9000</v>
      </c>
      <c r="F409">
        <f t="shared" ca="1" si="37"/>
        <v>2</v>
      </c>
      <c r="G409">
        <f t="shared" si="38"/>
        <v>1</v>
      </c>
      <c r="H409">
        <f t="shared" si="39"/>
        <v>1</v>
      </c>
      <c r="I409" t="str">
        <f t="shared" ca="1" si="40"/>
        <v>211</v>
      </c>
      <c r="J409" t="str">
        <f t="shared" ca="1" si="41"/>
        <v>At Risk</v>
      </c>
    </row>
    <row r="410" spans="1:10" x14ac:dyDescent="0.35">
      <c r="A410" t="s">
        <v>2196</v>
      </c>
      <c r="B410" s="2">
        <f>_xlfn.MAXIFS(clean_sales!P:P,clean_sales!C:C,RFM_Analysis!A410)</f>
        <v>46014</v>
      </c>
      <c r="C410">
        <f t="shared" ca="1" si="36"/>
        <v>14</v>
      </c>
      <c r="D410">
        <f>COUNTIFS(clean_sales!C:C,RFM_Analysis!A410)</f>
        <v>2</v>
      </c>
      <c r="E410">
        <f>SUMIFS(clean_sales!T:T,clean_sales!C:C,RFM_Analysis!A410)</f>
        <v>60000</v>
      </c>
      <c r="F410">
        <f t="shared" ca="1" si="37"/>
        <v>5</v>
      </c>
      <c r="G410">
        <f t="shared" si="38"/>
        <v>3</v>
      </c>
      <c r="H410">
        <f t="shared" si="39"/>
        <v>3</v>
      </c>
      <c r="I410" t="str">
        <f t="shared" ca="1" si="40"/>
        <v>533</v>
      </c>
      <c r="J410" t="str">
        <f t="shared" ca="1" si="41"/>
        <v>Regular</v>
      </c>
    </row>
    <row r="411" spans="1:10" x14ac:dyDescent="0.35">
      <c r="A411" t="s">
        <v>2197</v>
      </c>
      <c r="B411" s="2">
        <f>_xlfn.MAXIFS(clean_sales!P:P,clean_sales!C:C,RFM_Analysis!A411)</f>
        <v>45773</v>
      </c>
      <c r="C411">
        <f t="shared" ca="1" si="36"/>
        <v>255</v>
      </c>
      <c r="D411">
        <f>COUNTIFS(clean_sales!C:C,RFM_Analysis!A411)</f>
        <v>1</v>
      </c>
      <c r="E411">
        <f>SUMIFS(clean_sales!T:T,clean_sales!C:C,RFM_Analysis!A411)</f>
        <v>9000</v>
      </c>
      <c r="F411">
        <f t="shared" ca="1" si="37"/>
        <v>1</v>
      </c>
      <c r="G411">
        <f t="shared" si="38"/>
        <v>1</v>
      </c>
      <c r="H411">
        <f t="shared" si="39"/>
        <v>1</v>
      </c>
      <c r="I411" t="str">
        <f t="shared" ca="1" si="40"/>
        <v>111</v>
      </c>
      <c r="J411" t="str">
        <f t="shared" ca="1" si="41"/>
        <v>At Risk</v>
      </c>
    </row>
    <row r="412" spans="1:10" x14ac:dyDescent="0.35">
      <c r="A412" t="s">
        <v>2198</v>
      </c>
      <c r="B412" s="2">
        <f>_xlfn.MAXIFS(clean_sales!P:P,clean_sales!C:C,RFM_Analysis!A412)</f>
        <v>45985</v>
      </c>
      <c r="C412">
        <f t="shared" ca="1" si="36"/>
        <v>43</v>
      </c>
      <c r="D412">
        <f>COUNTIFS(clean_sales!C:C,RFM_Analysis!A412)</f>
        <v>3</v>
      </c>
      <c r="E412">
        <f>SUMIFS(clean_sales!T:T,clean_sales!C:C,RFM_Analysis!A412)</f>
        <v>37500</v>
      </c>
      <c r="F412">
        <f t="shared" ca="1" si="37"/>
        <v>5</v>
      </c>
      <c r="G412">
        <f t="shared" si="38"/>
        <v>5</v>
      </c>
      <c r="H412">
        <f t="shared" si="39"/>
        <v>2</v>
      </c>
      <c r="I412" t="str">
        <f t="shared" ca="1" si="40"/>
        <v>552</v>
      </c>
      <c r="J412" t="str">
        <f t="shared" ca="1" si="41"/>
        <v>Loyal</v>
      </c>
    </row>
    <row r="413" spans="1:10" x14ac:dyDescent="0.35">
      <c r="A413" t="s">
        <v>2199</v>
      </c>
      <c r="B413" s="2">
        <f>_xlfn.MAXIFS(clean_sales!P:P,clean_sales!C:C,RFM_Analysis!A413)</f>
        <v>46024</v>
      </c>
      <c r="C413">
        <f t="shared" ca="1" si="36"/>
        <v>4</v>
      </c>
      <c r="D413">
        <f>COUNTIFS(clean_sales!C:C,RFM_Analysis!A413)</f>
        <v>2</v>
      </c>
      <c r="E413">
        <f>SUMIFS(clean_sales!T:T,clean_sales!C:C,RFM_Analysis!A413)</f>
        <v>34500</v>
      </c>
      <c r="F413">
        <f t="shared" ca="1" si="37"/>
        <v>5</v>
      </c>
      <c r="G413">
        <f t="shared" si="38"/>
        <v>3</v>
      </c>
      <c r="H413">
        <f t="shared" si="39"/>
        <v>2</v>
      </c>
      <c r="I413" t="str">
        <f t="shared" ca="1" si="40"/>
        <v>532</v>
      </c>
      <c r="J413" t="str">
        <f t="shared" ca="1" si="41"/>
        <v>Regular</v>
      </c>
    </row>
    <row r="414" spans="1:10" x14ac:dyDescent="0.35">
      <c r="A414" t="s">
        <v>2200</v>
      </c>
      <c r="B414" s="2">
        <f>_xlfn.MAXIFS(clean_sales!P:P,clean_sales!C:C,RFM_Analysis!A414)</f>
        <v>45842</v>
      </c>
      <c r="C414">
        <f t="shared" ca="1" si="36"/>
        <v>186</v>
      </c>
      <c r="D414">
        <f>COUNTIFS(clean_sales!C:C,RFM_Analysis!A414)</f>
        <v>1</v>
      </c>
      <c r="E414">
        <f>SUMIFS(clean_sales!T:T,clean_sales!C:C,RFM_Analysis!A414)</f>
        <v>25000</v>
      </c>
      <c r="F414">
        <f t="shared" ca="1" si="37"/>
        <v>2</v>
      </c>
      <c r="G414">
        <f t="shared" si="38"/>
        <v>1</v>
      </c>
      <c r="H414">
        <f t="shared" si="39"/>
        <v>2</v>
      </c>
      <c r="I414" t="str">
        <f t="shared" ca="1" si="40"/>
        <v>212</v>
      </c>
      <c r="J414" t="str">
        <f t="shared" ca="1" si="41"/>
        <v>At Risk</v>
      </c>
    </row>
    <row r="415" spans="1:10" x14ac:dyDescent="0.35">
      <c r="A415" t="s">
        <v>2201</v>
      </c>
      <c r="B415" s="2">
        <f>_xlfn.MAXIFS(clean_sales!P:P,clean_sales!C:C,RFM_Analysis!A415)</f>
        <v>45935</v>
      </c>
      <c r="C415">
        <f t="shared" ca="1" si="36"/>
        <v>93</v>
      </c>
      <c r="D415">
        <f>COUNTIFS(clean_sales!C:C,RFM_Analysis!A415)</f>
        <v>2</v>
      </c>
      <c r="E415">
        <f>SUMIFS(clean_sales!T:T,clean_sales!C:C,RFM_Analysis!A415)</f>
        <v>308000</v>
      </c>
      <c r="F415">
        <f t="shared" ca="1" si="37"/>
        <v>4</v>
      </c>
      <c r="G415">
        <f t="shared" si="38"/>
        <v>3</v>
      </c>
      <c r="H415">
        <f t="shared" si="39"/>
        <v>4</v>
      </c>
      <c r="I415" t="str">
        <f t="shared" ca="1" si="40"/>
        <v>434</v>
      </c>
      <c r="J415" t="str">
        <f t="shared" ca="1" si="41"/>
        <v>Regular</v>
      </c>
    </row>
    <row r="416" spans="1:10" x14ac:dyDescent="0.35">
      <c r="A416" t="s">
        <v>2202</v>
      </c>
      <c r="B416" s="2">
        <f>_xlfn.MAXIFS(clean_sales!P:P,clean_sales!C:C,RFM_Analysis!A416)</f>
        <v>45839</v>
      </c>
      <c r="C416">
        <f t="shared" ca="1" si="36"/>
        <v>189</v>
      </c>
      <c r="D416">
        <f>COUNTIFS(clean_sales!C:C,RFM_Analysis!A416)</f>
        <v>2</v>
      </c>
      <c r="E416">
        <f>SUMIFS(clean_sales!T:T,clean_sales!C:C,RFM_Analysis!A416)</f>
        <v>64500</v>
      </c>
      <c r="F416">
        <f t="shared" ca="1" si="37"/>
        <v>2</v>
      </c>
      <c r="G416">
        <f t="shared" si="38"/>
        <v>3</v>
      </c>
      <c r="H416">
        <f t="shared" si="39"/>
        <v>3</v>
      </c>
      <c r="I416" t="str">
        <f t="shared" ca="1" si="40"/>
        <v>233</v>
      </c>
      <c r="J416" t="str">
        <f t="shared" ca="1" si="41"/>
        <v>At Risk</v>
      </c>
    </row>
    <row r="417" spans="1:10" x14ac:dyDescent="0.35">
      <c r="A417" t="s">
        <v>2203</v>
      </c>
      <c r="B417" s="2">
        <f>_xlfn.MAXIFS(clean_sales!P:P,clean_sales!C:C,RFM_Analysis!A417)</f>
        <v>45739</v>
      </c>
      <c r="C417">
        <f t="shared" ca="1" si="36"/>
        <v>289</v>
      </c>
      <c r="D417">
        <f>COUNTIFS(clean_sales!C:C,RFM_Analysis!A417)</f>
        <v>1</v>
      </c>
      <c r="E417">
        <f>SUMIFS(clean_sales!T:T,clean_sales!C:C,RFM_Analysis!A417)</f>
        <v>18000</v>
      </c>
      <c r="F417">
        <f t="shared" ca="1" si="37"/>
        <v>1</v>
      </c>
      <c r="G417">
        <f t="shared" si="38"/>
        <v>1</v>
      </c>
      <c r="H417">
        <f t="shared" si="39"/>
        <v>2</v>
      </c>
      <c r="I417" t="str">
        <f t="shared" ca="1" si="40"/>
        <v>112</v>
      </c>
      <c r="J417" t="str">
        <f t="shared" ca="1" si="41"/>
        <v>At Risk</v>
      </c>
    </row>
    <row r="418" spans="1:10" x14ac:dyDescent="0.35">
      <c r="A418" t="s">
        <v>2204</v>
      </c>
      <c r="B418" s="2">
        <f>_xlfn.MAXIFS(clean_sales!P:P,clean_sales!C:C,RFM_Analysis!A418)</f>
        <v>45974</v>
      </c>
      <c r="C418">
        <f t="shared" ca="1" si="36"/>
        <v>54</v>
      </c>
      <c r="D418">
        <f>COUNTIFS(clean_sales!C:C,RFM_Analysis!A418)</f>
        <v>1</v>
      </c>
      <c r="E418">
        <f>SUMIFS(clean_sales!T:T,clean_sales!C:C,RFM_Analysis!A418)</f>
        <v>260000</v>
      </c>
      <c r="F418">
        <f t="shared" ca="1" si="37"/>
        <v>4</v>
      </c>
      <c r="G418">
        <f t="shared" si="38"/>
        <v>1</v>
      </c>
      <c r="H418">
        <f t="shared" si="39"/>
        <v>4</v>
      </c>
      <c r="I418" t="str">
        <f t="shared" ca="1" si="40"/>
        <v>414</v>
      </c>
      <c r="J418" t="str">
        <f t="shared" ca="1" si="41"/>
        <v>Regular</v>
      </c>
    </row>
    <row r="419" spans="1:10" x14ac:dyDescent="0.35">
      <c r="A419" t="s">
        <v>2205</v>
      </c>
      <c r="B419" s="2">
        <f>_xlfn.MAXIFS(clean_sales!P:P,clean_sales!C:C,RFM_Analysis!A419)</f>
        <v>45733</v>
      </c>
      <c r="C419">
        <f t="shared" ca="1" si="36"/>
        <v>295</v>
      </c>
      <c r="D419">
        <f>COUNTIFS(clean_sales!C:C,RFM_Analysis!A419)</f>
        <v>1</v>
      </c>
      <c r="E419">
        <f>SUMIFS(clean_sales!T:T,clean_sales!C:C,RFM_Analysis!A419)</f>
        <v>3600</v>
      </c>
      <c r="F419">
        <f t="shared" ca="1" si="37"/>
        <v>1</v>
      </c>
      <c r="G419">
        <f t="shared" si="38"/>
        <v>1</v>
      </c>
      <c r="H419">
        <f t="shared" si="39"/>
        <v>1</v>
      </c>
      <c r="I419" t="str">
        <f t="shared" ca="1" si="40"/>
        <v>111</v>
      </c>
      <c r="J419" t="str">
        <f t="shared" ca="1" si="41"/>
        <v>At Risk</v>
      </c>
    </row>
    <row r="420" spans="1:10" x14ac:dyDescent="0.35">
      <c r="A420" t="s">
        <v>2206</v>
      </c>
      <c r="B420" s="2">
        <f>_xlfn.MAXIFS(clean_sales!P:P,clean_sales!C:C,RFM_Analysis!A420)</f>
        <v>45964</v>
      </c>
      <c r="C420">
        <f t="shared" ca="1" si="36"/>
        <v>64</v>
      </c>
      <c r="D420">
        <f>COUNTIFS(clean_sales!C:C,RFM_Analysis!A420)</f>
        <v>2</v>
      </c>
      <c r="E420">
        <f>SUMIFS(clean_sales!T:T,clean_sales!C:C,RFM_Analysis!A420)</f>
        <v>30400</v>
      </c>
      <c r="F420">
        <f t="shared" ca="1" si="37"/>
        <v>4</v>
      </c>
      <c r="G420">
        <f t="shared" si="38"/>
        <v>3</v>
      </c>
      <c r="H420">
        <f t="shared" si="39"/>
        <v>2</v>
      </c>
      <c r="I420" t="str">
        <f t="shared" ca="1" si="40"/>
        <v>432</v>
      </c>
      <c r="J420" t="str">
        <f t="shared" ca="1" si="41"/>
        <v>Regular</v>
      </c>
    </row>
    <row r="421" spans="1:10" x14ac:dyDescent="0.35">
      <c r="A421" t="s">
        <v>2207</v>
      </c>
      <c r="B421" s="2">
        <f>_xlfn.MAXIFS(clean_sales!P:P,clean_sales!C:C,RFM_Analysis!A421)</f>
        <v>45853</v>
      </c>
      <c r="C421">
        <f t="shared" ca="1" si="36"/>
        <v>175</v>
      </c>
      <c r="D421">
        <f>COUNTIFS(clean_sales!C:C,RFM_Analysis!A421)</f>
        <v>1</v>
      </c>
      <c r="E421">
        <f>SUMIFS(clean_sales!T:T,clean_sales!C:C,RFM_Analysis!A421)</f>
        <v>22500</v>
      </c>
      <c r="F421">
        <f t="shared" ca="1" si="37"/>
        <v>2</v>
      </c>
      <c r="G421">
        <f t="shared" si="38"/>
        <v>1</v>
      </c>
      <c r="H421">
        <f t="shared" si="39"/>
        <v>2</v>
      </c>
      <c r="I421" t="str">
        <f t="shared" ca="1" si="40"/>
        <v>212</v>
      </c>
      <c r="J421" t="str">
        <f t="shared" ca="1" si="41"/>
        <v>At Risk</v>
      </c>
    </row>
    <row r="422" spans="1:10" x14ac:dyDescent="0.35">
      <c r="A422" t="s">
        <v>2208</v>
      </c>
      <c r="B422" s="2">
        <f>_xlfn.MAXIFS(clean_sales!P:P,clean_sales!C:C,RFM_Analysis!A422)</f>
        <v>45995</v>
      </c>
      <c r="C422">
        <f t="shared" ca="1" si="36"/>
        <v>33</v>
      </c>
      <c r="D422">
        <f>COUNTIFS(clean_sales!C:C,RFM_Analysis!A422)</f>
        <v>2</v>
      </c>
      <c r="E422">
        <f>SUMIFS(clean_sales!T:T,clean_sales!C:C,RFM_Analysis!A422)</f>
        <v>365000</v>
      </c>
      <c r="F422">
        <f t="shared" ca="1" si="37"/>
        <v>5</v>
      </c>
      <c r="G422">
        <f t="shared" si="38"/>
        <v>3</v>
      </c>
      <c r="H422">
        <f t="shared" si="39"/>
        <v>5</v>
      </c>
      <c r="I422" t="str">
        <f t="shared" ca="1" si="40"/>
        <v>535</v>
      </c>
      <c r="J422" t="str">
        <f t="shared" ca="1" si="41"/>
        <v>Regular</v>
      </c>
    </row>
    <row r="423" spans="1:10" x14ac:dyDescent="0.35">
      <c r="A423" t="s">
        <v>2209</v>
      </c>
      <c r="B423" s="2">
        <f>_xlfn.MAXIFS(clean_sales!P:P,clean_sales!C:C,RFM_Analysis!A423)</f>
        <v>45968</v>
      </c>
      <c r="C423">
        <f t="shared" ca="1" si="36"/>
        <v>60</v>
      </c>
      <c r="D423">
        <f>COUNTIFS(clean_sales!C:C,RFM_Analysis!A423)</f>
        <v>1</v>
      </c>
      <c r="E423">
        <f>SUMIFS(clean_sales!T:T,clean_sales!C:C,RFM_Analysis!A423)</f>
        <v>3600</v>
      </c>
      <c r="F423">
        <f t="shared" ca="1" si="37"/>
        <v>4</v>
      </c>
      <c r="G423">
        <f t="shared" si="38"/>
        <v>1</v>
      </c>
      <c r="H423">
        <f t="shared" si="39"/>
        <v>1</v>
      </c>
      <c r="I423" t="str">
        <f t="shared" ca="1" si="40"/>
        <v>411</v>
      </c>
      <c r="J423" t="str">
        <f t="shared" ca="1" si="41"/>
        <v>Regular</v>
      </c>
    </row>
    <row r="424" spans="1:10" x14ac:dyDescent="0.35">
      <c r="A424" t="s">
        <v>2210</v>
      </c>
      <c r="B424" s="2">
        <f>_xlfn.MAXIFS(clean_sales!P:P,clean_sales!C:C,RFM_Analysis!A424)</f>
        <v>45940</v>
      </c>
      <c r="C424">
        <f t="shared" ca="1" si="36"/>
        <v>88</v>
      </c>
      <c r="D424">
        <f>COUNTIFS(clean_sales!C:C,RFM_Analysis!A424)</f>
        <v>4</v>
      </c>
      <c r="E424">
        <f>SUMIFS(clean_sales!T:T,clean_sales!C:C,RFM_Analysis!A424)</f>
        <v>754000</v>
      </c>
      <c r="F424">
        <f t="shared" ca="1" si="37"/>
        <v>4</v>
      </c>
      <c r="G424">
        <f t="shared" si="38"/>
        <v>5</v>
      </c>
      <c r="H424">
        <f t="shared" si="39"/>
        <v>5</v>
      </c>
      <c r="I424" t="str">
        <f t="shared" ca="1" si="40"/>
        <v>455</v>
      </c>
      <c r="J424" t="str">
        <f t="shared" ca="1" si="41"/>
        <v>Loyal</v>
      </c>
    </row>
    <row r="425" spans="1:10" x14ac:dyDescent="0.35">
      <c r="A425" t="s">
        <v>2211</v>
      </c>
      <c r="B425" s="2">
        <f>_xlfn.MAXIFS(clean_sales!P:P,clean_sales!C:C,RFM_Analysis!A425)</f>
        <v>45799</v>
      </c>
      <c r="C425">
        <f t="shared" ca="1" si="36"/>
        <v>229</v>
      </c>
      <c r="D425">
        <f>COUNTIFS(clean_sales!C:C,RFM_Analysis!A425)</f>
        <v>2</v>
      </c>
      <c r="E425">
        <f>SUMIFS(clean_sales!T:T,clean_sales!C:C,RFM_Analysis!A425)</f>
        <v>294500</v>
      </c>
      <c r="F425">
        <f t="shared" ca="1" si="37"/>
        <v>2</v>
      </c>
      <c r="G425">
        <f t="shared" si="38"/>
        <v>3</v>
      </c>
      <c r="H425">
        <f t="shared" si="39"/>
        <v>4</v>
      </c>
      <c r="I425" t="str">
        <f t="shared" ca="1" si="40"/>
        <v>234</v>
      </c>
      <c r="J425" t="str">
        <f t="shared" ca="1" si="41"/>
        <v>At Risk</v>
      </c>
    </row>
    <row r="426" spans="1:10" x14ac:dyDescent="0.35">
      <c r="A426" t="s">
        <v>2212</v>
      </c>
      <c r="B426" s="2">
        <f>_xlfn.MAXIFS(clean_sales!P:P,clean_sales!C:C,RFM_Analysis!A426)</f>
        <v>45911</v>
      </c>
      <c r="C426">
        <f t="shared" ca="1" si="36"/>
        <v>117</v>
      </c>
      <c r="D426">
        <f>COUNTIFS(clean_sales!C:C,RFM_Analysis!A426)</f>
        <v>1</v>
      </c>
      <c r="E426">
        <f>SUMIFS(clean_sales!T:T,clean_sales!C:C,RFM_Analysis!A426)</f>
        <v>195000</v>
      </c>
      <c r="F426">
        <f t="shared" ca="1" si="37"/>
        <v>3</v>
      </c>
      <c r="G426">
        <f t="shared" si="38"/>
        <v>1</v>
      </c>
      <c r="H426">
        <f t="shared" si="39"/>
        <v>4</v>
      </c>
      <c r="I426" t="str">
        <f t="shared" ca="1" si="40"/>
        <v>314</v>
      </c>
      <c r="J426" t="str">
        <f t="shared" ca="1" si="41"/>
        <v>Regular</v>
      </c>
    </row>
    <row r="427" spans="1:10" x14ac:dyDescent="0.35">
      <c r="A427" t="s">
        <v>2213</v>
      </c>
      <c r="B427" s="2">
        <f>_xlfn.MAXIFS(clean_sales!P:P,clean_sales!C:C,RFM_Analysis!A427)</f>
        <v>45961</v>
      </c>
      <c r="C427">
        <f t="shared" ca="1" si="36"/>
        <v>67</v>
      </c>
      <c r="D427">
        <f>COUNTIFS(clean_sales!C:C,RFM_Analysis!A427)</f>
        <v>2</v>
      </c>
      <c r="E427">
        <f>SUMIFS(clean_sales!T:T,clean_sales!C:C,RFM_Analysis!A427)</f>
        <v>15600</v>
      </c>
      <c r="F427">
        <f t="shared" ca="1" si="37"/>
        <v>4</v>
      </c>
      <c r="G427">
        <f t="shared" si="38"/>
        <v>3</v>
      </c>
      <c r="H427">
        <f t="shared" si="39"/>
        <v>2</v>
      </c>
      <c r="I427" t="str">
        <f t="shared" ca="1" si="40"/>
        <v>432</v>
      </c>
      <c r="J427" t="str">
        <f t="shared" ca="1" si="41"/>
        <v>Regular</v>
      </c>
    </row>
    <row r="428" spans="1:10" x14ac:dyDescent="0.35">
      <c r="A428" t="s">
        <v>2214</v>
      </c>
      <c r="B428" s="2">
        <f>_xlfn.MAXIFS(clean_sales!P:P,clean_sales!C:C,RFM_Analysis!A428)</f>
        <v>46026</v>
      </c>
      <c r="C428">
        <f t="shared" ca="1" si="36"/>
        <v>2</v>
      </c>
      <c r="D428">
        <f>COUNTIFS(clean_sales!C:C,RFM_Analysis!A428)</f>
        <v>2</v>
      </c>
      <c r="E428">
        <f>SUMIFS(clean_sales!T:T,clean_sales!C:C,RFM_Analysis!A428)</f>
        <v>9000</v>
      </c>
      <c r="F428">
        <f t="shared" ca="1" si="37"/>
        <v>5</v>
      </c>
      <c r="G428">
        <f t="shared" si="38"/>
        <v>3</v>
      </c>
      <c r="H428">
        <f t="shared" si="39"/>
        <v>1</v>
      </c>
      <c r="I428" t="str">
        <f t="shared" ca="1" si="40"/>
        <v>531</v>
      </c>
      <c r="J428" t="str">
        <f t="shared" ca="1" si="41"/>
        <v>Regular</v>
      </c>
    </row>
    <row r="429" spans="1:10" x14ac:dyDescent="0.35">
      <c r="A429" t="s">
        <v>2215</v>
      </c>
      <c r="B429" s="2">
        <f>_xlfn.MAXIFS(clean_sales!P:P,clean_sales!C:C,RFM_Analysis!A429)</f>
        <v>45994</v>
      </c>
      <c r="C429">
        <f t="shared" ca="1" si="36"/>
        <v>34</v>
      </c>
      <c r="D429">
        <f>COUNTIFS(clean_sales!C:C,RFM_Analysis!A429)</f>
        <v>3</v>
      </c>
      <c r="E429">
        <f>SUMIFS(clean_sales!T:T,clean_sales!C:C,RFM_Analysis!A429)</f>
        <v>745000</v>
      </c>
      <c r="F429">
        <f t="shared" ca="1" si="37"/>
        <v>5</v>
      </c>
      <c r="G429">
        <f t="shared" si="38"/>
        <v>5</v>
      </c>
      <c r="H429">
        <f t="shared" si="39"/>
        <v>5</v>
      </c>
      <c r="I429" t="str">
        <f t="shared" ca="1" si="40"/>
        <v>555</v>
      </c>
      <c r="J429" t="str">
        <f t="shared" ca="1" si="41"/>
        <v>Champions</v>
      </c>
    </row>
    <row r="430" spans="1:10" x14ac:dyDescent="0.35">
      <c r="A430" t="s">
        <v>2216</v>
      </c>
      <c r="B430" s="2">
        <f>_xlfn.MAXIFS(clean_sales!P:P,clean_sales!C:C,RFM_Analysis!A430)</f>
        <v>45701</v>
      </c>
      <c r="C430">
        <f t="shared" ca="1" si="36"/>
        <v>327</v>
      </c>
      <c r="D430">
        <f>COUNTIFS(clean_sales!C:C,RFM_Analysis!A430)</f>
        <v>1</v>
      </c>
      <c r="E430">
        <f>SUMIFS(clean_sales!T:T,clean_sales!C:C,RFM_Analysis!A430)</f>
        <v>195000</v>
      </c>
      <c r="F430">
        <f t="shared" ca="1" si="37"/>
        <v>1</v>
      </c>
      <c r="G430">
        <f t="shared" si="38"/>
        <v>1</v>
      </c>
      <c r="H430">
        <f t="shared" si="39"/>
        <v>4</v>
      </c>
      <c r="I430" t="str">
        <f t="shared" ca="1" si="40"/>
        <v>114</v>
      </c>
      <c r="J430" t="str">
        <f t="shared" ca="1" si="41"/>
        <v>At Risk</v>
      </c>
    </row>
    <row r="431" spans="1:10" x14ac:dyDescent="0.35">
      <c r="A431" t="s">
        <v>2217</v>
      </c>
      <c r="B431" s="2">
        <f>_xlfn.MAXIFS(clean_sales!P:P,clean_sales!C:C,RFM_Analysis!A431)</f>
        <v>46024</v>
      </c>
      <c r="C431">
        <f t="shared" ca="1" si="36"/>
        <v>4</v>
      </c>
      <c r="D431">
        <f>COUNTIFS(clean_sales!C:C,RFM_Analysis!A431)</f>
        <v>2</v>
      </c>
      <c r="E431">
        <f>SUMIFS(clean_sales!T:T,clean_sales!C:C,RFM_Analysis!A431)</f>
        <v>68000</v>
      </c>
      <c r="F431">
        <f t="shared" ca="1" si="37"/>
        <v>5</v>
      </c>
      <c r="G431">
        <f t="shared" si="38"/>
        <v>3</v>
      </c>
      <c r="H431">
        <f t="shared" si="39"/>
        <v>3</v>
      </c>
      <c r="I431" t="str">
        <f t="shared" ca="1" si="40"/>
        <v>533</v>
      </c>
      <c r="J431" t="str">
        <f t="shared" ca="1" si="41"/>
        <v>Regular</v>
      </c>
    </row>
    <row r="432" spans="1:10" x14ac:dyDescent="0.35">
      <c r="A432" t="s">
        <v>2218</v>
      </c>
      <c r="B432" s="2">
        <f>_xlfn.MAXIFS(clean_sales!P:P,clean_sales!C:C,RFM_Analysis!A432)</f>
        <v>45844</v>
      </c>
      <c r="C432">
        <f t="shared" ca="1" si="36"/>
        <v>184</v>
      </c>
      <c r="D432">
        <f>COUNTIFS(clean_sales!C:C,RFM_Analysis!A432)</f>
        <v>3</v>
      </c>
      <c r="E432">
        <f>SUMIFS(clean_sales!T:T,clean_sales!C:C,RFM_Analysis!A432)</f>
        <v>25200</v>
      </c>
      <c r="F432">
        <f t="shared" ca="1" si="37"/>
        <v>2</v>
      </c>
      <c r="G432">
        <f t="shared" si="38"/>
        <v>5</v>
      </c>
      <c r="H432">
        <f t="shared" si="39"/>
        <v>2</v>
      </c>
      <c r="I432" t="str">
        <f t="shared" ca="1" si="40"/>
        <v>252</v>
      </c>
      <c r="J432" t="str">
        <f t="shared" ca="1" si="41"/>
        <v>At Risk</v>
      </c>
    </row>
    <row r="433" spans="1:10" x14ac:dyDescent="0.35">
      <c r="A433" t="s">
        <v>2219</v>
      </c>
      <c r="B433" s="2">
        <f>_xlfn.MAXIFS(clean_sales!P:P,clean_sales!C:C,RFM_Analysis!A433)</f>
        <v>45800</v>
      </c>
      <c r="C433">
        <f t="shared" ca="1" si="36"/>
        <v>228</v>
      </c>
      <c r="D433">
        <f>COUNTIFS(clean_sales!C:C,RFM_Analysis!A433)</f>
        <v>1</v>
      </c>
      <c r="E433">
        <f>SUMIFS(clean_sales!T:T,clean_sales!C:C,RFM_Analysis!A433)</f>
        <v>290000</v>
      </c>
      <c r="F433">
        <f t="shared" ca="1" si="37"/>
        <v>2</v>
      </c>
      <c r="G433">
        <f t="shared" si="38"/>
        <v>1</v>
      </c>
      <c r="H433">
        <f t="shared" si="39"/>
        <v>4</v>
      </c>
      <c r="I433" t="str">
        <f t="shared" ca="1" si="40"/>
        <v>214</v>
      </c>
      <c r="J433" t="str">
        <f t="shared" ca="1" si="41"/>
        <v>At Risk</v>
      </c>
    </row>
    <row r="434" spans="1:10" x14ac:dyDescent="0.35">
      <c r="A434" t="s">
        <v>2220</v>
      </c>
      <c r="B434" s="2">
        <f>_xlfn.MAXIFS(clean_sales!P:P,clean_sales!C:C,RFM_Analysis!A434)</f>
        <v>45947</v>
      </c>
      <c r="C434">
        <f t="shared" ca="1" si="36"/>
        <v>81</v>
      </c>
      <c r="D434">
        <f>COUNTIFS(clean_sales!C:C,RFM_Analysis!A434)</f>
        <v>2</v>
      </c>
      <c r="E434">
        <f>SUMIFS(clean_sales!T:T,clean_sales!C:C,RFM_Analysis!A434)</f>
        <v>66000</v>
      </c>
      <c r="F434">
        <f t="shared" ca="1" si="37"/>
        <v>4</v>
      </c>
      <c r="G434">
        <f t="shared" si="38"/>
        <v>3</v>
      </c>
      <c r="H434">
        <f t="shared" si="39"/>
        <v>3</v>
      </c>
      <c r="I434" t="str">
        <f t="shared" ca="1" si="40"/>
        <v>433</v>
      </c>
      <c r="J434" t="str">
        <f t="shared" ca="1" si="41"/>
        <v>Regular</v>
      </c>
    </row>
    <row r="435" spans="1:10" x14ac:dyDescent="0.35">
      <c r="A435" t="s">
        <v>2221</v>
      </c>
      <c r="B435" s="2">
        <f>_xlfn.MAXIFS(clean_sales!P:P,clean_sales!C:C,RFM_Analysis!A435)</f>
        <v>45979</v>
      </c>
      <c r="C435">
        <f t="shared" ca="1" si="36"/>
        <v>49</v>
      </c>
      <c r="D435">
        <f>COUNTIFS(clean_sales!C:C,RFM_Analysis!A435)</f>
        <v>2</v>
      </c>
      <c r="E435">
        <f>SUMIFS(clean_sales!T:T,clean_sales!C:C,RFM_Analysis!A435)</f>
        <v>16200</v>
      </c>
      <c r="F435">
        <f t="shared" ca="1" si="37"/>
        <v>4</v>
      </c>
      <c r="G435">
        <f t="shared" si="38"/>
        <v>3</v>
      </c>
      <c r="H435">
        <f t="shared" si="39"/>
        <v>2</v>
      </c>
      <c r="I435" t="str">
        <f t="shared" ca="1" si="40"/>
        <v>432</v>
      </c>
      <c r="J435" t="str">
        <f t="shared" ca="1" si="41"/>
        <v>Regular</v>
      </c>
    </row>
    <row r="436" spans="1:10" x14ac:dyDescent="0.35">
      <c r="A436" t="s">
        <v>2222</v>
      </c>
      <c r="B436" s="2">
        <f>_xlfn.MAXIFS(clean_sales!P:P,clean_sales!C:C,RFM_Analysis!A436)</f>
        <v>45912</v>
      </c>
      <c r="C436">
        <f t="shared" ca="1" si="36"/>
        <v>116</v>
      </c>
      <c r="D436">
        <f>COUNTIFS(clean_sales!C:C,RFM_Analysis!A436)</f>
        <v>2</v>
      </c>
      <c r="E436">
        <f>SUMIFS(clean_sales!T:T,clean_sales!C:C,RFM_Analysis!A436)</f>
        <v>96000</v>
      </c>
      <c r="F436">
        <f t="shared" ca="1" si="37"/>
        <v>3</v>
      </c>
      <c r="G436">
        <f t="shared" si="38"/>
        <v>3</v>
      </c>
      <c r="H436">
        <f t="shared" si="39"/>
        <v>3</v>
      </c>
      <c r="I436" t="str">
        <f t="shared" ca="1" si="40"/>
        <v>333</v>
      </c>
      <c r="J436" t="str">
        <f t="shared" ca="1" si="41"/>
        <v>Regular</v>
      </c>
    </row>
    <row r="437" spans="1:10" x14ac:dyDescent="0.35">
      <c r="A437" t="s">
        <v>2223</v>
      </c>
      <c r="B437" s="2">
        <f>_xlfn.MAXIFS(clean_sales!P:P,clean_sales!C:C,RFM_Analysis!A437)</f>
        <v>45989</v>
      </c>
      <c r="C437">
        <f t="shared" ca="1" si="36"/>
        <v>39</v>
      </c>
      <c r="D437">
        <f>COUNTIFS(clean_sales!C:C,RFM_Analysis!A437)</f>
        <v>2</v>
      </c>
      <c r="E437">
        <f>SUMIFS(clean_sales!T:T,clean_sales!C:C,RFM_Analysis!A437)</f>
        <v>22200</v>
      </c>
      <c r="F437">
        <f t="shared" ca="1" si="37"/>
        <v>5</v>
      </c>
      <c r="G437">
        <f t="shared" si="38"/>
        <v>3</v>
      </c>
      <c r="H437">
        <f t="shared" si="39"/>
        <v>2</v>
      </c>
      <c r="I437" t="str">
        <f t="shared" ca="1" si="40"/>
        <v>532</v>
      </c>
      <c r="J437" t="str">
        <f t="shared" ca="1" si="41"/>
        <v>Regular</v>
      </c>
    </row>
    <row r="438" spans="1:10" x14ac:dyDescent="0.35">
      <c r="A438" t="s">
        <v>2224</v>
      </c>
      <c r="B438" s="2">
        <f>_xlfn.MAXIFS(clean_sales!P:P,clean_sales!C:C,RFM_Analysis!A438)</f>
        <v>45857</v>
      </c>
      <c r="C438">
        <f t="shared" ca="1" si="36"/>
        <v>171</v>
      </c>
      <c r="D438">
        <f>COUNTIFS(clean_sales!C:C,RFM_Analysis!A438)</f>
        <v>1</v>
      </c>
      <c r="E438">
        <f>SUMIFS(clean_sales!T:T,clean_sales!C:C,RFM_Analysis!A438)</f>
        <v>9000</v>
      </c>
      <c r="F438">
        <f t="shared" ca="1" si="37"/>
        <v>2</v>
      </c>
      <c r="G438">
        <f t="shared" si="38"/>
        <v>1</v>
      </c>
      <c r="H438">
        <f t="shared" si="39"/>
        <v>1</v>
      </c>
      <c r="I438" t="str">
        <f t="shared" ca="1" si="40"/>
        <v>211</v>
      </c>
      <c r="J438" t="str">
        <f t="shared" ca="1" si="41"/>
        <v>At Risk</v>
      </c>
    </row>
    <row r="439" spans="1:10" x14ac:dyDescent="0.35">
      <c r="A439" t="s">
        <v>2225</v>
      </c>
      <c r="B439" s="2">
        <f>_xlfn.MAXIFS(clean_sales!P:P,clean_sales!C:C,RFM_Analysis!A439)</f>
        <v>45873</v>
      </c>
      <c r="C439">
        <f t="shared" ca="1" si="36"/>
        <v>155</v>
      </c>
      <c r="D439">
        <f>COUNTIFS(clean_sales!C:C,RFM_Analysis!A439)</f>
        <v>2</v>
      </c>
      <c r="E439">
        <f>SUMIFS(clean_sales!T:T,clean_sales!C:C,RFM_Analysis!A439)</f>
        <v>200400</v>
      </c>
      <c r="F439">
        <f t="shared" ca="1" si="37"/>
        <v>3</v>
      </c>
      <c r="G439">
        <f t="shared" si="38"/>
        <v>3</v>
      </c>
      <c r="H439">
        <f t="shared" si="39"/>
        <v>4</v>
      </c>
      <c r="I439" t="str">
        <f t="shared" ca="1" si="40"/>
        <v>334</v>
      </c>
      <c r="J439" t="str">
        <f t="shared" ca="1" si="41"/>
        <v>Regular</v>
      </c>
    </row>
    <row r="440" spans="1:10" x14ac:dyDescent="0.35">
      <c r="A440" t="s">
        <v>2226</v>
      </c>
      <c r="B440" s="2">
        <f>_xlfn.MAXIFS(clean_sales!P:P,clean_sales!C:C,RFM_Analysis!A440)</f>
        <v>45953</v>
      </c>
      <c r="C440">
        <f t="shared" ca="1" si="36"/>
        <v>75</v>
      </c>
      <c r="D440">
        <f>COUNTIFS(clean_sales!C:C,RFM_Analysis!A440)</f>
        <v>1</v>
      </c>
      <c r="E440">
        <f>SUMIFS(clean_sales!T:T,clean_sales!C:C,RFM_Analysis!A440)</f>
        <v>48000</v>
      </c>
      <c r="F440">
        <f t="shared" ca="1" si="37"/>
        <v>4</v>
      </c>
      <c r="G440">
        <f t="shared" si="38"/>
        <v>1</v>
      </c>
      <c r="H440">
        <f t="shared" si="39"/>
        <v>2</v>
      </c>
      <c r="I440" t="str">
        <f t="shared" ca="1" si="40"/>
        <v>412</v>
      </c>
      <c r="J440" t="str">
        <f t="shared" ca="1" si="41"/>
        <v>Regular</v>
      </c>
    </row>
    <row r="441" spans="1:10" x14ac:dyDescent="0.35">
      <c r="A441" t="s">
        <v>2227</v>
      </c>
      <c r="B441" s="2">
        <f>_xlfn.MAXIFS(clean_sales!P:P,clean_sales!C:C,RFM_Analysis!A441)</f>
        <v>45947</v>
      </c>
      <c r="C441">
        <f t="shared" ca="1" si="36"/>
        <v>81</v>
      </c>
      <c r="D441">
        <f>COUNTIFS(clean_sales!C:C,RFM_Analysis!A441)</f>
        <v>1</v>
      </c>
      <c r="E441">
        <f>SUMIFS(clean_sales!T:T,clean_sales!C:C,RFM_Analysis!A441)</f>
        <v>60000</v>
      </c>
      <c r="F441">
        <f t="shared" ca="1" si="37"/>
        <v>4</v>
      </c>
      <c r="G441">
        <f t="shared" si="38"/>
        <v>1</v>
      </c>
      <c r="H441">
        <f t="shared" si="39"/>
        <v>3</v>
      </c>
      <c r="I441" t="str">
        <f t="shared" ca="1" si="40"/>
        <v>413</v>
      </c>
      <c r="J441" t="str">
        <f t="shared" ca="1" si="41"/>
        <v>Regular</v>
      </c>
    </row>
    <row r="442" spans="1:10" x14ac:dyDescent="0.35">
      <c r="A442" t="s">
        <v>2228</v>
      </c>
      <c r="B442" s="2">
        <f>_xlfn.MAXIFS(clean_sales!P:P,clean_sales!C:C,RFM_Analysis!A442)</f>
        <v>45731</v>
      </c>
      <c r="C442">
        <f t="shared" ca="1" si="36"/>
        <v>297</v>
      </c>
      <c r="D442">
        <f>COUNTIFS(clean_sales!C:C,RFM_Analysis!A442)</f>
        <v>2</v>
      </c>
      <c r="E442">
        <f>SUMIFS(clean_sales!T:T,clean_sales!C:C,RFM_Analysis!A442)</f>
        <v>84000</v>
      </c>
      <c r="F442">
        <f t="shared" ca="1" si="37"/>
        <v>1</v>
      </c>
      <c r="G442">
        <f t="shared" si="38"/>
        <v>3</v>
      </c>
      <c r="H442">
        <f t="shared" si="39"/>
        <v>3</v>
      </c>
      <c r="I442" t="str">
        <f t="shared" ca="1" si="40"/>
        <v>133</v>
      </c>
      <c r="J442" t="str">
        <f t="shared" ca="1" si="41"/>
        <v>At Risk</v>
      </c>
    </row>
    <row r="443" spans="1:10" x14ac:dyDescent="0.35">
      <c r="A443" t="s">
        <v>2229</v>
      </c>
      <c r="B443" s="2">
        <f>_xlfn.MAXIFS(clean_sales!P:P,clean_sales!C:C,RFM_Analysis!A443)</f>
        <v>46000</v>
      </c>
      <c r="C443">
        <f t="shared" ca="1" si="36"/>
        <v>28</v>
      </c>
      <c r="D443">
        <f>COUNTIFS(clean_sales!C:C,RFM_Analysis!A443)</f>
        <v>3</v>
      </c>
      <c r="E443">
        <f>SUMIFS(clean_sales!T:T,clean_sales!C:C,RFM_Analysis!A443)</f>
        <v>525400</v>
      </c>
      <c r="F443">
        <f t="shared" ca="1" si="37"/>
        <v>5</v>
      </c>
      <c r="G443">
        <f t="shared" si="38"/>
        <v>5</v>
      </c>
      <c r="H443">
        <f t="shared" si="39"/>
        <v>5</v>
      </c>
      <c r="I443" t="str">
        <f t="shared" ca="1" si="40"/>
        <v>555</v>
      </c>
      <c r="J443" t="str">
        <f t="shared" ca="1" si="41"/>
        <v>Champions</v>
      </c>
    </row>
    <row r="444" spans="1:10" x14ac:dyDescent="0.35">
      <c r="A444" t="s">
        <v>2230</v>
      </c>
      <c r="B444" s="2">
        <f>_xlfn.MAXIFS(clean_sales!P:P,clean_sales!C:C,RFM_Analysis!A444)</f>
        <v>45915</v>
      </c>
      <c r="C444">
        <f t="shared" ca="1" si="36"/>
        <v>113</v>
      </c>
      <c r="D444">
        <f>COUNTIFS(clean_sales!C:C,RFM_Analysis!A444)</f>
        <v>2</v>
      </c>
      <c r="E444">
        <f>SUMIFS(clean_sales!T:T,clean_sales!C:C,RFM_Analysis!A444)</f>
        <v>420000</v>
      </c>
      <c r="F444">
        <f t="shared" ca="1" si="37"/>
        <v>3</v>
      </c>
      <c r="G444">
        <f t="shared" si="38"/>
        <v>3</v>
      </c>
      <c r="H444">
        <f t="shared" si="39"/>
        <v>5</v>
      </c>
      <c r="I444" t="str">
        <f t="shared" ca="1" si="40"/>
        <v>335</v>
      </c>
      <c r="J444" t="str">
        <f t="shared" ca="1" si="41"/>
        <v>Regular</v>
      </c>
    </row>
    <row r="445" spans="1:10" x14ac:dyDescent="0.35">
      <c r="A445" t="s">
        <v>2231</v>
      </c>
      <c r="B445" s="2">
        <f>_xlfn.MAXIFS(clean_sales!P:P,clean_sales!C:C,RFM_Analysis!A445)</f>
        <v>45756</v>
      </c>
      <c r="C445">
        <f t="shared" ca="1" si="36"/>
        <v>272</v>
      </c>
      <c r="D445">
        <f>COUNTIFS(clean_sales!C:C,RFM_Analysis!A445)</f>
        <v>1</v>
      </c>
      <c r="E445">
        <f>SUMIFS(clean_sales!T:T,clean_sales!C:C,RFM_Analysis!A445)</f>
        <v>25000</v>
      </c>
      <c r="F445">
        <f t="shared" ca="1" si="37"/>
        <v>1</v>
      </c>
      <c r="G445">
        <f t="shared" si="38"/>
        <v>1</v>
      </c>
      <c r="H445">
        <f t="shared" si="39"/>
        <v>2</v>
      </c>
      <c r="I445" t="str">
        <f t="shared" ca="1" si="40"/>
        <v>112</v>
      </c>
      <c r="J445" t="str">
        <f t="shared" ca="1" si="41"/>
        <v>At Risk</v>
      </c>
    </row>
    <row r="446" spans="1:10" x14ac:dyDescent="0.35">
      <c r="A446" t="s">
        <v>2232</v>
      </c>
      <c r="B446" s="2">
        <f>_xlfn.MAXIFS(clean_sales!P:P,clean_sales!C:C,RFM_Analysis!A446)</f>
        <v>45832</v>
      </c>
      <c r="C446">
        <f t="shared" ca="1" si="36"/>
        <v>196</v>
      </c>
      <c r="D446">
        <f>COUNTIFS(clean_sales!C:C,RFM_Analysis!A446)</f>
        <v>1</v>
      </c>
      <c r="E446">
        <f>SUMIFS(clean_sales!T:T,clean_sales!C:C,RFM_Analysis!A446)</f>
        <v>13500</v>
      </c>
      <c r="F446">
        <f t="shared" ca="1" si="37"/>
        <v>2</v>
      </c>
      <c r="G446">
        <f t="shared" si="38"/>
        <v>1</v>
      </c>
      <c r="H446">
        <f t="shared" si="39"/>
        <v>1</v>
      </c>
      <c r="I446" t="str">
        <f t="shared" ca="1" si="40"/>
        <v>211</v>
      </c>
      <c r="J446" t="str">
        <f t="shared" ca="1" si="41"/>
        <v>At Risk</v>
      </c>
    </row>
    <row r="447" spans="1:10" x14ac:dyDescent="0.35">
      <c r="A447" t="s">
        <v>2233</v>
      </c>
      <c r="B447" s="2">
        <f>_xlfn.MAXIFS(clean_sales!P:P,clean_sales!C:C,RFM_Analysis!A447)</f>
        <v>45853</v>
      </c>
      <c r="C447">
        <f t="shared" ca="1" si="36"/>
        <v>175</v>
      </c>
      <c r="D447">
        <f>COUNTIFS(clean_sales!C:C,RFM_Analysis!A447)</f>
        <v>1</v>
      </c>
      <c r="E447">
        <f>SUMIFS(clean_sales!T:T,clean_sales!C:C,RFM_Analysis!A447)</f>
        <v>24000</v>
      </c>
      <c r="F447">
        <f t="shared" ca="1" si="37"/>
        <v>2</v>
      </c>
      <c r="G447">
        <f t="shared" si="38"/>
        <v>1</v>
      </c>
      <c r="H447">
        <f t="shared" si="39"/>
        <v>2</v>
      </c>
      <c r="I447" t="str">
        <f t="shared" ca="1" si="40"/>
        <v>212</v>
      </c>
      <c r="J447" t="str">
        <f t="shared" ca="1" si="41"/>
        <v>At Risk</v>
      </c>
    </row>
    <row r="448" spans="1:10" x14ac:dyDescent="0.35">
      <c r="A448" t="s">
        <v>2234</v>
      </c>
      <c r="B448" s="2">
        <f>_xlfn.MAXIFS(clean_sales!P:P,clean_sales!C:C,RFM_Analysis!A448)</f>
        <v>45807</v>
      </c>
      <c r="C448">
        <f t="shared" ca="1" si="36"/>
        <v>221</v>
      </c>
      <c r="D448">
        <f>COUNTIFS(clean_sales!C:C,RFM_Analysis!A448)</f>
        <v>3</v>
      </c>
      <c r="E448">
        <f>SUMIFS(clean_sales!T:T,clean_sales!C:C,RFM_Analysis!A448)</f>
        <v>469000</v>
      </c>
      <c r="F448">
        <f t="shared" ca="1" si="37"/>
        <v>2</v>
      </c>
      <c r="G448">
        <f t="shared" si="38"/>
        <v>5</v>
      </c>
      <c r="H448">
        <f t="shared" si="39"/>
        <v>5</v>
      </c>
      <c r="I448" t="str">
        <f t="shared" ca="1" si="40"/>
        <v>255</v>
      </c>
      <c r="J448" t="str">
        <f t="shared" ca="1" si="41"/>
        <v>At Risk</v>
      </c>
    </row>
    <row r="449" spans="1:10" x14ac:dyDescent="0.35">
      <c r="A449" t="s">
        <v>2235</v>
      </c>
      <c r="B449" s="2">
        <f>_xlfn.MAXIFS(clean_sales!P:P,clean_sales!C:C,RFM_Analysis!A449)</f>
        <v>45771</v>
      </c>
      <c r="C449">
        <f t="shared" ca="1" si="36"/>
        <v>257</v>
      </c>
      <c r="D449">
        <f>COUNTIFS(clean_sales!C:C,RFM_Analysis!A449)</f>
        <v>1</v>
      </c>
      <c r="E449">
        <f>SUMIFS(clean_sales!T:T,clean_sales!C:C,RFM_Analysis!A449)</f>
        <v>195000</v>
      </c>
      <c r="F449">
        <f t="shared" ca="1" si="37"/>
        <v>1</v>
      </c>
      <c r="G449">
        <f t="shared" si="38"/>
        <v>1</v>
      </c>
      <c r="H449">
        <f t="shared" si="39"/>
        <v>4</v>
      </c>
      <c r="I449" t="str">
        <f t="shared" ca="1" si="40"/>
        <v>114</v>
      </c>
      <c r="J449" t="str">
        <f t="shared" ca="1" si="41"/>
        <v>At Risk</v>
      </c>
    </row>
    <row r="450" spans="1:10" x14ac:dyDescent="0.35">
      <c r="A450" t="s">
        <v>2236</v>
      </c>
      <c r="B450" s="2">
        <f>_xlfn.MAXIFS(clean_sales!P:P,clean_sales!C:C,RFM_Analysis!A450)</f>
        <v>45962</v>
      </c>
      <c r="C450">
        <f t="shared" ca="1" si="36"/>
        <v>66</v>
      </c>
      <c r="D450">
        <f>COUNTIFS(clean_sales!C:C,RFM_Analysis!A450)</f>
        <v>1</v>
      </c>
      <c r="E450">
        <f>SUMIFS(clean_sales!T:T,clean_sales!C:C,RFM_Analysis!A450)</f>
        <v>72000</v>
      </c>
      <c r="F450">
        <f t="shared" ca="1" si="37"/>
        <v>4</v>
      </c>
      <c r="G450">
        <f t="shared" si="38"/>
        <v>1</v>
      </c>
      <c r="H450">
        <f t="shared" si="39"/>
        <v>3</v>
      </c>
      <c r="I450" t="str">
        <f t="shared" ca="1" si="40"/>
        <v>413</v>
      </c>
      <c r="J450" t="str">
        <f t="shared" ca="1" si="41"/>
        <v>Regular</v>
      </c>
    </row>
    <row r="451" spans="1:10" x14ac:dyDescent="0.35">
      <c r="A451" t="s">
        <v>2237</v>
      </c>
      <c r="B451" s="2">
        <f>_xlfn.MAXIFS(clean_sales!P:P,clean_sales!C:C,RFM_Analysis!A451)</f>
        <v>45854</v>
      </c>
      <c r="C451">
        <f t="shared" ref="C451:C514" ca="1" si="42">TODAY()-B451</f>
        <v>174</v>
      </c>
      <c r="D451">
        <f>COUNTIFS(clean_sales!C:C,RFM_Analysis!A451)</f>
        <v>2</v>
      </c>
      <c r="E451">
        <f>SUMIFS(clean_sales!T:T,clean_sales!C:C,RFM_Analysis!A451)</f>
        <v>84000</v>
      </c>
      <c r="F451">
        <f t="shared" ref="F451:F514" ca="1" si="43">IF(C451&lt;=PERCENTILE($C:$C,0.2),5,
IF(C451&lt;=PERCENTILE($C:$C,0.4),4,
IF(C451&lt;=PERCENTILE($C:$C,0.6),3,
IF(C451&lt;=PERCENTILE($C:$C,0.8),2,1))))</f>
        <v>2</v>
      </c>
      <c r="G451">
        <f t="shared" ref="G451:G514" si="44">IF(D451&lt;=PERCENTILE($D:$D,0.2),1,
IF(D451&lt;=PERCENTILE($D:$D,0.4),2,
IF(D451&lt;=PERCENTILE($D:$D,0.6),3,
IF(D451&lt;=PERCENTILE($D:$D,0.8),4,5))))</f>
        <v>3</v>
      </c>
      <c r="H451">
        <f t="shared" ref="H451:H514" si="45">IF(E451&lt;=PERCENTILE($E:$E,0.2),1,
IF(E451&lt;=PERCENTILE($E:$E,0.4),2,
IF(E451&lt;=PERCENTILE($E:$E,0.6),3,
IF(E451&lt;=PERCENTILE($E:$E,0.8),4,5))))</f>
        <v>3</v>
      </c>
      <c r="I451" t="str">
        <f t="shared" ref="I451:I514" ca="1" si="46">F451&amp;G451&amp;H451</f>
        <v>233</v>
      </c>
      <c r="J451" t="str">
        <f t="shared" ref="J451:J514" ca="1" si="47">IF(I451="555","Champions",
IF(AND(F451&gt;=4,G451&gt;=4),"Loyal",
IF(F451&lt;=2,"At Risk","Regular")))</f>
        <v>At Risk</v>
      </c>
    </row>
    <row r="452" spans="1:10" x14ac:dyDescent="0.35">
      <c r="A452" t="s">
        <v>2238</v>
      </c>
      <c r="B452" s="2">
        <f>_xlfn.MAXIFS(clean_sales!P:P,clean_sales!C:C,RFM_Analysis!A452)</f>
        <v>45665</v>
      </c>
      <c r="C452">
        <f t="shared" ca="1" si="42"/>
        <v>363</v>
      </c>
      <c r="D452">
        <f>COUNTIFS(clean_sales!C:C,RFM_Analysis!A452)</f>
        <v>1</v>
      </c>
      <c r="E452">
        <f>SUMIFS(clean_sales!T:T,clean_sales!C:C,RFM_Analysis!A452)</f>
        <v>290000</v>
      </c>
      <c r="F452">
        <f t="shared" ca="1" si="43"/>
        <v>1</v>
      </c>
      <c r="G452">
        <f t="shared" si="44"/>
        <v>1</v>
      </c>
      <c r="H452">
        <f t="shared" si="45"/>
        <v>4</v>
      </c>
      <c r="I452" t="str">
        <f t="shared" ca="1" si="46"/>
        <v>114</v>
      </c>
      <c r="J452" t="str">
        <f t="shared" ca="1" si="47"/>
        <v>At Risk</v>
      </c>
    </row>
    <row r="453" spans="1:10" x14ac:dyDescent="0.35">
      <c r="A453" t="s">
        <v>2239</v>
      </c>
      <c r="B453" s="2">
        <f>_xlfn.MAXIFS(clean_sales!P:P,clean_sales!C:C,RFM_Analysis!A453)</f>
        <v>45965</v>
      </c>
      <c r="C453">
        <f t="shared" ca="1" si="42"/>
        <v>63</v>
      </c>
      <c r="D453">
        <f>COUNTIFS(clean_sales!C:C,RFM_Analysis!A453)</f>
        <v>1</v>
      </c>
      <c r="E453">
        <f>SUMIFS(clean_sales!T:T,clean_sales!C:C,RFM_Analysis!A453)</f>
        <v>1800</v>
      </c>
      <c r="F453">
        <f t="shared" ca="1" si="43"/>
        <v>4</v>
      </c>
      <c r="G453">
        <f t="shared" si="44"/>
        <v>1</v>
      </c>
      <c r="H453">
        <f t="shared" si="45"/>
        <v>1</v>
      </c>
      <c r="I453" t="str">
        <f t="shared" ca="1" si="46"/>
        <v>411</v>
      </c>
      <c r="J453" t="str">
        <f t="shared" ca="1" si="47"/>
        <v>Regular</v>
      </c>
    </row>
    <row r="454" spans="1:10" x14ac:dyDescent="0.35">
      <c r="A454" t="s">
        <v>2240</v>
      </c>
      <c r="B454" s="2">
        <f>_xlfn.MAXIFS(clean_sales!P:P,clean_sales!C:C,RFM_Analysis!A454)</f>
        <v>45848</v>
      </c>
      <c r="C454">
        <f t="shared" ca="1" si="42"/>
        <v>180</v>
      </c>
      <c r="D454">
        <f>COUNTIFS(clean_sales!C:C,RFM_Analysis!A454)</f>
        <v>2</v>
      </c>
      <c r="E454">
        <f>SUMIFS(clean_sales!T:T,clean_sales!C:C,RFM_Analysis!A454)</f>
        <v>132000</v>
      </c>
      <c r="F454">
        <f t="shared" ca="1" si="43"/>
        <v>2</v>
      </c>
      <c r="G454">
        <f t="shared" si="44"/>
        <v>3</v>
      </c>
      <c r="H454">
        <f t="shared" si="45"/>
        <v>3</v>
      </c>
      <c r="I454" t="str">
        <f t="shared" ca="1" si="46"/>
        <v>233</v>
      </c>
      <c r="J454" t="str">
        <f t="shared" ca="1" si="47"/>
        <v>At Risk</v>
      </c>
    </row>
    <row r="455" spans="1:10" x14ac:dyDescent="0.35">
      <c r="A455" t="s">
        <v>2241</v>
      </c>
      <c r="B455" s="2">
        <f>_xlfn.MAXIFS(clean_sales!P:P,clean_sales!C:C,RFM_Analysis!A455)</f>
        <v>46004</v>
      </c>
      <c r="C455">
        <f t="shared" ca="1" si="42"/>
        <v>24</v>
      </c>
      <c r="D455">
        <f>COUNTIFS(clean_sales!C:C,RFM_Analysis!A455)</f>
        <v>2</v>
      </c>
      <c r="E455">
        <f>SUMIFS(clean_sales!T:T,clean_sales!C:C,RFM_Analysis!A455)</f>
        <v>188000</v>
      </c>
      <c r="F455">
        <f t="shared" ca="1" si="43"/>
        <v>5</v>
      </c>
      <c r="G455">
        <f t="shared" si="44"/>
        <v>3</v>
      </c>
      <c r="H455">
        <f t="shared" si="45"/>
        <v>4</v>
      </c>
      <c r="I455" t="str">
        <f t="shared" ca="1" si="46"/>
        <v>534</v>
      </c>
      <c r="J455" t="str">
        <f t="shared" ca="1" si="47"/>
        <v>Regular</v>
      </c>
    </row>
    <row r="456" spans="1:10" x14ac:dyDescent="0.35">
      <c r="A456" t="s">
        <v>2242</v>
      </c>
      <c r="B456" s="2">
        <f>_xlfn.MAXIFS(clean_sales!P:P,clean_sales!C:C,RFM_Analysis!A456)</f>
        <v>45965</v>
      </c>
      <c r="C456">
        <f t="shared" ca="1" si="42"/>
        <v>63</v>
      </c>
      <c r="D456">
        <f>COUNTIFS(clean_sales!C:C,RFM_Analysis!A456)</f>
        <v>2</v>
      </c>
      <c r="E456">
        <f>SUMIFS(clean_sales!T:T,clean_sales!C:C,RFM_Analysis!A456)</f>
        <v>45000</v>
      </c>
      <c r="F456">
        <f t="shared" ca="1" si="43"/>
        <v>4</v>
      </c>
      <c r="G456">
        <f t="shared" si="44"/>
        <v>3</v>
      </c>
      <c r="H456">
        <f t="shared" si="45"/>
        <v>2</v>
      </c>
      <c r="I456" t="str">
        <f t="shared" ca="1" si="46"/>
        <v>432</v>
      </c>
      <c r="J456" t="str">
        <f t="shared" ca="1" si="47"/>
        <v>Regular</v>
      </c>
    </row>
    <row r="457" spans="1:10" x14ac:dyDescent="0.35">
      <c r="A457" t="s">
        <v>2243</v>
      </c>
      <c r="B457" s="2">
        <f>_xlfn.MAXIFS(clean_sales!P:P,clean_sales!C:C,RFM_Analysis!A457)</f>
        <v>46008</v>
      </c>
      <c r="C457">
        <f t="shared" ca="1" si="42"/>
        <v>20</v>
      </c>
      <c r="D457">
        <f>COUNTIFS(clean_sales!C:C,RFM_Analysis!A457)</f>
        <v>2</v>
      </c>
      <c r="E457">
        <f>SUMIFS(clean_sales!T:T,clean_sales!C:C,RFM_Analysis!A457)</f>
        <v>49800</v>
      </c>
      <c r="F457">
        <f t="shared" ca="1" si="43"/>
        <v>5</v>
      </c>
      <c r="G457">
        <f t="shared" si="44"/>
        <v>3</v>
      </c>
      <c r="H457">
        <f t="shared" si="45"/>
        <v>2</v>
      </c>
      <c r="I457" t="str">
        <f t="shared" ca="1" si="46"/>
        <v>532</v>
      </c>
      <c r="J457" t="str">
        <f t="shared" ca="1" si="47"/>
        <v>Regular</v>
      </c>
    </row>
    <row r="458" spans="1:10" x14ac:dyDescent="0.35">
      <c r="A458" t="s">
        <v>2244</v>
      </c>
      <c r="B458" s="2">
        <f>_xlfn.MAXIFS(clean_sales!P:P,clean_sales!C:C,RFM_Analysis!A458)</f>
        <v>45899</v>
      </c>
      <c r="C458">
        <f t="shared" ca="1" si="42"/>
        <v>129</v>
      </c>
      <c r="D458">
        <f>COUNTIFS(clean_sales!C:C,RFM_Analysis!A458)</f>
        <v>2</v>
      </c>
      <c r="E458">
        <f>SUMIFS(clean_sales!T:T,clean_sales!C:C,RFM_Analysis!A458)</f>
        <v>334000</v>
      </c>
      <c r="F458">
        <f t="shared" ca="1" si="43"/>
        <v>3</v>
      </c>
      <c r="G458">
        <f t="shared" si="44"/>
        <v>3</v>
      </c>
      <c r="H458">
        <f t="shared" si="45"/>
        <v>5</v>
      </c>
      <c r="I458" t="str">
        <f t="shared" ca="1" si="46"/>
        <v>335</v>
      </c>
      <c r="J458" t="str">
        <f t="shared" ca="1" si="47"/>
        <v>Regular</v>
      </c>
    </row>
    <row r="459" spans="1:10" x14ac:dyDescent="0.35">
      <c r="A459" t="s">
        <v>2245</v>
      </c>
      <c r="B459" s="2">
        <f>_xlfn.MAXIFS(clean_sales!P:P,clean_sales!C:C,RFM_Analysis!A459)</f>
        <v>45976</v>
      </c>
      <c r="C459">
        <f t="shared" ca="1" si="42"/>
        <v>52</v>
      </c>
      <c r="D459">
        <f>COUNTIFS(clean_sales!C:C,RFM_Analysis!A459)</f>
        <v>3</v>
      </c>
      <c r="E459">
        <f>SUMIFS(clean_sales!T:T,clean_sales!C:C,RFM_Analysis!A459)</f>
        <v>72400</v>
      </c>
      <c r="F459">
        <f t="shared" ca="1" si="43"/>
        <v>4</v>
      </c>
      <c r="G459">
        <f t="shared" si="44"/>
        <v>5</v>
      </c>
      <c r="H459">
        <f t="shared" si="45"/>
        <v>3</v>
      </c>
      <c r="I459" t="str">
        <f t="shared" ca="1" si="46"/>
        <v>453</v>
      </c>
      <c r="J459" t="str">
        <f t="shared" ca="1" si="47"/>
        <v>Loyal</v>
      </c>
    </row>
    <row r="460" spans="1:10" x14ac:dyDescent="0.35">
      <c r="A460" t="s">
        <v>2246</v>
      </c>
      <c r="B460" s="2">
        <f>_xlfn.MAXIFS(clean_sales!P:P,clean_sales!C:C,RFM_Analysis!A460)</f>
        <v>45997</v>
      </c>
      <c r="C460">
        <f t="shared" ca="1" si="42"/>
        <v>31</v>
      </c>
      <c r="D460">
        <f>COUNTIFS(clean_sales!C:C,RFM_Analysis!A460)</f>
        <v>2</v>
      </c>
      <c r="E460">
        <f>SUMIFS(clean_sales!T:T,clean_sales!C:C,RFM_Analysis!A460)</f>
        <v>154000</v>
      </c>
      <c r="F460">
        <f t="shared" ca="1" si="43"/>
        <v>5</v>
      </c>
      <c r="G460">
        <f t="shared" si="44"/>
        <v>3</v>
      </c>
      <c r="H460">
        <f t="shared" si="45"/>
        <v>3</v>
      </c>
      <c r="I460" t="str">
        <f t="shared" ca="1" si="46"/>
        <v>533</v>
      </c>
      <c r="J460" t="str">
        <f t="shared" ca="1" si="47"/>
        <v>Regular</v>
      </c>
    </row>
    <row r="461" spans="1:10" x14ac:dyDescent="0.35">
      <c r="A461" t="s">
        <v>2247</v>
      </c>
      <c r="B461" s="2">
        <f>_xlfn.MAXIFS(clean_sales!P:P,clean_sales!C:C,RFM_Analysis!A461)</f>
        <v>45766</v>
      </c>
      <c r="C461">
        <f t="shared" ca="1" si="42"/>
        <v>262</v>
      </c>
      <c r="D461">
        <f>COUNTIFS(clean_sales!C:C,RFM_Analysis!A461)</f>
        <v>1</v>
      </c>
      <c r="E461">
        <f>SUMIFS(clean_sales!T:T,clean_sales!C:C,RFM_Analysis!A461)</f>
        <v>10000</v>
      </c>
      <c r="F461">
        <f t="shared" ca="1" si="43"/>
        <v>1</v>
      </c>
      <c r="G461">
        <f t="shared" si="44"/>
        <v>1</v>
      </c>
      <c r="H461">
        <f t="shared" si="45"/>
        <v>1</v>
      </c>
      <c r="I461" t="str">
        <f t="shared" ca="1" si="46"/>
        <v>111</v>
      </c>
      <c r="J461" t="str">
        <f t="shared" ca="1" si="47"/>
        <v>At Risk</v>
      </c>
    </row>
    <row r="462" spans="1:10" x14ac:dyDescent="0.35">
      <c r="A462" t="s">
        <v>2248</v>
      </c>
      <c r="B462" s="2">
        <f>_xlfn.MAXIFS(clean_sales!P:P,clean_sales!C:C,RFM_Analysis!A462)</f>
        <v>45932</v>
      </c>
      <c r="C462">
        <f t="shared" ca="1" si="42"/>
        <v>96</v>
      </c>
      <c r="D462">
        <f>COUNTIFS(clean_sales!C:C,RFM_Analysis!A462)</f>
        <v>1</v>
      </c>
      <c r="E462">
        <f>SUMIFS(clean_sales!T:T,clean_sales!C:C,RFM_Analysis!A462)</f>
        <v>3600</v>
      </c>
      <c r="F462">
        <f t="shared" ca="1" si="43"/>
        <v>4</v>
      </c>
      <c r="G462">
        <f t="shared" si="44"/>
        <v>1</v>
      </c>
      <c r="H462">
        <f t="shared" si="45"/>
        <v>1</v>
      </c>
      <c r="I462" t="str">
        <f t="shared" ca="1" si="46"/>
        <v>411</v>
      </c>
      <c r="J462" t="str">
        <f t="shared" ca="1" si="47"/>
        <v>Regular</v>
      </c>
    </row>
    <row r="463" spans="1:10" x14ac:dyDescent="0.35">
      <c r="A463" t="s">
        <v>2249</v>
      </c>
      <c r="B463" s="2">
        <f>_xlfn.MAXIFS(clean_sales!P:P,clean_sales!C:C,RFM_Analysis!A463)</f>
        <v>46018</v>
      </c>
      <c r="C463">
        <f t="shared" ca="1" si="42"/>
        <v>10</v>
      </c>
      <c r="D463">
        <f>COUNTIFS(clean_sales!C:C,RFM_Analysis!A463)</f>
        <v>1</v>
      </c>
      <c r="E463">
        <f>SUMIFS(clean_sales!T:T,clean_sales!C:C,RFM_Analysis!A463)</f>
        <v>216000</v>
      </c>
      <c r="F463">
        <f t="shared" ca="1" si="43"/>
        <v>5</v>
      </c>
      <c r="G463">
        <f t="shared" si="44"/>
        <v>1</v>
      </c>
      <c r="H463">
        <f t="shared" si="45"/>
        <v>4</v>
      </c>
      <c r="I463" t="str">
        <f t="shared" ca="1" si="46"/>
        <v>514</v>
      </c>
      <c r="J463" t="str">
        <f t="shared" ca="1" si="47"/>
        <v>Regular</v>
      </c>
    </row>
    <row r="464" spans="1:10" x14ac:dyDescent="0.35">
      <c r="A464" t="s">
        <v>2250</v>
      </c>
      <c r="B464" s="2">
        <f>_xlfn.MAXIFS(clean_sales!P:P,clean_sales!C:C,RFM_Analysis!A464)</f>
        <v>45803</v>
      </c>
      <c r="C464">
        <f t="shared" ca="1" si="42"/>
        <v>225</v>
      </c>
      <c r="D464">
        <f>COUNTIFS(clean_sales!C:C,RFM_Analysis!A464)</f>
        <v>1</v>
      </c>
      <c r="E464">
        <f>SUMIFS(clean_sales!T:T,clean_sales!C:C,RFM_Analysis!A464)</f>
        <v>60000</v>
      </c>
      <c r="F464">
        <f t="shared" ca="1" si="43"/>
        <v>2</v>
      </c>
      <c r="G464">
        <f t="shared" si="44"/>
        <v>1</v>
      </c>
      <c r="H464">
        <f t="shared" si="45"/>
        <v>3</v>
      </c>
      <c r="I464" t="str">
        <f t="shared" ca="1" si="46"/>
        <v>213</v>
      </c>
      <c r="J464" t="str">
        <f t="shared" ca="1" si="47"/>
        <v>At Risk</v>
      </c>
    </row>
    <row r="465" spans="1:10" x14ac:dyDescent="0.35">
      <c r="A465" t="s">
        <v>2251</v>
      </c>
      <c r="B465" s="2">
        <f>_xlfn.MAXIFS(clean_sales!P:P,clean_sales!C:C,RFM_Analysis!A465)</f>
        <v>45985</v>
      </c>
      <c r="C465">
        <f t="shared" ca="1" si="42"/>
        <v>43</v>
      </c>
      <c r="D465">
        <f>COUNTIFS(clean_sales!C:C,RFM_Analysis!A465)</f>
        <v>2</v>
      </c>
      <c r="E465">
        <f>SUMIFS(clean_sales!T:T,clean_sales!C:C,RFM_Analysis!A465)</f>
        <v>179000</v>
      </c>
      <c r="F465">
        <f t="shared" ca="1" si="43"/>
        <v>5</v>
      </c>
      <c r="G465">
        <f t="shared" si="44"/>
        <v>3</v>
      </c>
      <c r="H465">
        <f t="shared" si="45"/>
        <v>4</v>
      </c>
      <c r="I465" t="str">
        <f t="shared" ca="1" si="46"/>
        <v>534</v>
      </c>
      <c r="J465" t="str">
        <f t="shared" ca="1" si="47"/>
        <v>Regular</v>
      </c>
    </row>
    <row r="466" spans="1:10" x14ac:dyDescent="0.35">
      <c r="A466" t="s">
        <v>2252</v>
      </c>
      <c r="B466" s="2">
        <f>_xlfn.MAXIFS(clean_sales!P:P,clean_sales!C:C,RFM_Analysis!A466)</f>
        <v>45960</v>
      </c>
      <c r="C466">
        <f t="shared" ca="1" si="42"/>
        <v>68</v>
      </c>
      <c r="D466">
        <f>COUNTIFS(clean_sales!C:C,RFM_Analysis!A466)</f>
        <v>1</v>
      </c>
      <c r="E466">
        <f>SUMIFS(clean_sales!T:T,clean_sales!C:C,RFM_Analysis!A466)</f>
        <v>216000</v>
      </c>
      <c r="F466">
        <f t="shared" ca="1" si="43"/>
        <v>4</v>
      </c>
      <c r="G466">
        <f t="shared" si="44"/>
        <v>1</v>
      </c>
      <c r="H466">
        <f t="shared" si="45"/>
        <v>4</v>
      </c>
      <c r="I466" t="str">
        <f t="shared" ca="1" si="46"/>
        <v>414</v>
      </c>
      <c r="J466" t="str">
        <f t="shared" ca="1" si="47"/>
        <v>Regular</v>
      </c>
    </row>
    <row r="467" spans="1:10" x14ac:dyDescent="0.35">
      <c r="A467" t="s">
        <v>2253</v>
      </c>
      <c r="B467" s="2">
        <f>_xlfn.MAXIFS(clean_sales!P:P,clean_sales!C:C,RFM_Analysis!A467)</f>
        <v>45983</v>
      </c>
      <c r="C467">
        <f t="shared" ca="1" si="42"/>
        <v>45</v>
      </c>
      <c r="D467">
        <f>COUNTIFS(clean_sales!C:C,RFM_Analysis!A467)</f>
        <v>1</v>
      </c>
      <c r="E467">
        <f>SUMIFS(clean_sales!T:T,clean_sales!C:C,RFM_Analysis!A467)</f>
        <v>174000</v>
      </c>
      <c r="F467">
        <f t="shared" ca="1" si="43"/>
        <v>5</v>
      </c>
      <c r="G467">
        <f t="shared" si="44"/>
        <v>1</v>
      </c>
      <c r="H467">
        <f t="shared" si="45"/>
        <v>4</v>
      </c>
      <c r="I467" t="str">
        <f t="shared" ca="1" si="46"/>
        <v>514</v>
      </c>
      <c r="J467" t="str">
        <f t="shared" ca="1" si="47"/>
        <v>Regular</v>
      </c>
    </row>
    <row r="468" spans="1:10" x14ac:dyDescent="0.35">
      <c r="A468" t="s">
        <v>2254</v>
      </c>
      <c r="B468" s="2">
        <f>_xlfn.MAXIFS(clean_sales!P:P,clean_sales!C:C,RFM_Analysis!A468)</f>
        <v>45678</v>
      </c>
      <c r="C468">
        <f t="shared" ca="1" si="42"/>
        <v>350</v>
      </c>
      <c r="D468">
        <f>COUNTIFS(clean_sales!C:C,RFM_Analysis!A468)</f>
        <v>1</v>
      </c>
      <c r="E468">
        <f>SUMIFS(clean_sales!T:T,clean_sales!C:C,RFM_Analysis!A468)</f>
        <v>360000</v>
      </c>
      <c r="F468">
        <f t="shared" ca="1" si="43"/>
        <v>1</v>
      </c>
      <c r="G468">
        <f t="shared" si="44"/>
        <v>1</v>
      </c>
      <c r="H468">
        <f t="shared" si="45"/>
        <v>5</v>
      </c>
      <c r="I468" t="str">
        <f t="shared" ca="1" si="46"/>
        <v>115</v>
      </c>
      <c r="J468" t="str">
        <f t="shared" ca="1" si="47"/>
        <v>At Risk</v>
      </c>
    </row>
    <row r="469" spans="1:10" x14ac:dyDescent="0.35">
      <c r="A469" t="s">
        <v>2255</v>
      </c>
      <c r="B469" s="2">
        <f>_xlfn.MAXIFS(clean_sales!P:P,clean_sales!C:C,RFM_Analysis!A469)</f>
        <v>45777</v>
      </c>
      <c r="C469">
        <f t="shared" ca="1" si="42"/>
        <v>251</v>
      </c>
      <c r="D469">
        <f>COUNTIFS(clean_sales!C:C,RFM_Analysis!A469)</f>
        <v>1</v>
      </c>
      <c r="E469">
        <f>SUMIFS(clean_sales!T:T,clean_sales!C:C,RFM_Analysis!A469)</f>
        <v>290000</v>
      </c>
      <c r="F469">
        <f t="shared" ca="1" si="43"/>
        <v>1</v>
      </c>
      <c r="G469">
        <f t="shared" si="44"/>
        <v>1</v>
      </c>
      <c r="H469">
        <f t="shared" si="45"/>
        <v>4</v>
      </c>
      <c r="I469" t="str">
        <f t="shared" ca="1" si="46"/>
        <v>114</v>
      </c>
      <c r="J469" t="str">
        <f t="shared" ca="1" si="47"/>
        <v>At Risk</v>
      </c>
    </row>
    <row r="470" spans="1:10" x14ac:dyDescent="0.35">
      <c r="A470" t="s">
        <v>2256</v>
      </c>
      <c r="B470" s="2">
        <f>_xlfn.MAXIFS(clean_sales!P:P,clean_sales!C:C,RFM_Analysis!A470)</f>
        <v>45814</v>
      </c>
      <c r="C470">
        <f t="shared" ca="1" si="42"/>
        <v>214</v>
      </c>
      <c r="D470">
        <f>COUNTIFS(clean_sales!C:C,RFM_Analysis!A470)</f>
        <v>2</v>
      </c>
      <c r="E470">
        <f>SUMIFS(clean_sales!T:T,clean_sales!C:C,RFM_Analysis!A470)</f>
        <v>291600</v>
      </c>
      <c r="F470">
        <f t="shared" ca="1" si="43"/>
        <v>2</v>
      </c>
      <c r="G470">
        <f t="shared" si="44"/>
        <v>3</v>
      </c>
      <c r="H470">
        <f t="shared" si="45"/>
        <v>4</v>
      </c>
      <c r="I470" t="str">
        <f t="shared" ca="1" si="46"/>
        <v>234</v>
      </c>
      <c r="J470" t="str">
        <f t="shared" ca="1" si="47"/>
        <v>At Risk</v>
      </c>
    </row>
    <row r="471" spans="1:10" x14ac:dyDescent="0.35">
      <c r="A471" t="s">
        <v>2257</v>
      </c>
      <c r="B471" s="2">
        <f>_xlfn.MAXIFS(clean_sales!P:P,clean_sales!C:C,RFM_Analysis!A471)</f>
        <v>45837</v>
      </c>
      <c r="C471">
        <f t="shared" ca="1" si="42"/>
        <v>191</v>
      </c>
      <c r="D471">
        <f>COUNTIFS(clean_sales!C:C,RFM_Analysis!A471)</f>
        <v>2</v>
      </c>
      <c r="E471">
        <f>SUMIFS(clean_sales!T:T,clean_sales!C:C,RFM_Analysis!A471)</f>
        <v>31500</v>
      </c>
      <c r="F471">
        <f t="shared" ca="1" si="43"/>
        <v>2</v>
      </c>
      <c r="G471">
        <f t="shared" si="44"/>
        <v>3</v>
      </c>
      <c r="H471">
        <f t="shared" si="45"/>
        <v>2</v>
      </c>
      <c r="I471" t="str">
        <f t="shared" ca="1" si="46"/>
        <v>232</v>
      </c>
      <c r="J471" t="str">
        <f t="shared" ca="1" si="47"/>
        <v>At Risk</v>
      </c>
    </row>
    <row r="472" spans="1:10" x14ac:dyDescent="0.35">
      <c r="A472" t="s">
        <v>2258</v>
      </c>
      <c r="B472" s="2">
        <f>_xlfn.MAXIFS(clean_sales!P:P,clean_sales!C:C,RFM_Analysis!A472)</f>
        <v>45840</v>
      </c>
      <c r="C472">
        <f t="shared" ca="1" si="42"/>
        <v>188</v>
      </c>
      <c r="D472">
        <f>COUNTIFS(clean_sales!C:C,RFM_Analysis!A472)</f>
        <v>2</v>
      </c>
      <c r="E472">
        <f>SUMIFS(clean_sales!T:T,clean_sales!C:C,RFM_Analysis!A472)</f>
        <v>20700</v>
      </c>
      <c r="F472">
        <f t="shared" ca="1" si="43"/>
        <v>2</v>
      </c>
      <c r="G472">
        <f t="shared" si="44"/>
        <v>3</v>
      </c>
      <c r="H472">
        <f t="shared" si="45"/>
        <v>2</v>
      </c>
      <c r="I472" t="str">
        <f t="shared" ca="1" si="46"/>
        <v>232</v>
      </c>
      <c r="J472" t="str">
        <f t="shared" ca="1" si="47"/>
        <v>At Risk</v>
      </c>
    </row>
    <row r="473" spans="1:10" x14ac:dyDescent="0.35">
      <c r="A473" t="s">
        <v>2259</v>
      </c>
      <c r="B473" s="2">
        <f>_xlfn.MAXIFS(clean_sales!P:P,clean_sales!C:C,RFM_Analysis!A473)</f>
        <v>45990</v>
      </c>
      <c r="C473">
        <f t="shared" ca="1" si="42"/>
        <v>38</v>
      </c>
      <c r="D473">
        <f>COUNTIFS(clean_sales!C:C,RFM_Analysis!A473)</f>
        <v>3</v>
      </c>
      <c r="E473">
        <f>SUMIFS(clean_sales!T:T,clean_sales!C:C,RFM_Analysis!A473)</f>
        <v>294000</v>
      </c>
      <c r="F473">
        <f t="shared" ca="1" si="43"/>
        <v>5</v>
      </c>
      <c r="G473">
        <f t="shared" si="44"/>
        <v>5</v>
      </c>
      <c r="H473">
        <f t="shared" si="45"/>
        <v>4</v>
      </c>
      <c r="I473" t="str">
        <f t="shared" ca="1" si="46"/>
        <v>554</v>
      </c>
      <c r="J473" t="str">
        <f t="shared" ca="1" si="47"/>
        <v>Loyal</v>
      </c>
    </row>
    <row r="474" spans="1:10" x14ac:dyDescent="0.35">
      <c r="A474" t="s">
        <v>2260</v>
      </c>
      <c r="B474" s="2">
        <f>_xlfn.MAXIFS(clean_sales!P:P,clean_sales!C:C,RFM_Analysis!A474)</f>
        <v>45819</v>
      </c>
      <c r="C474">
        <f t="shared" ca="1" si="42"/>
        <v>209</v>
      </c>
      <c r="D474">
        <f>COUNTIFS(clean_sales!C:C,RFM_Analysis!A474)</f>
        <v>1</v>
      </c>
      <c r="E474">
        <f>SUMIFS(clean_sales!T:T,clean_sales!C:C,RFM_Analysis!A474)</f>
        <v>65000</v>
      </c>
      <c r="F474">
        <f t="shared" ca="1" si="43"/>
        <v>2</v>
      </c>
      <c r="G474">
        <f t="shared" si="44"/>
        <v>1</v>
      </c>
      <c r="H474">
        <f t="shared" si="45"/>
        <v>3</v>
      </c>
      <c r="I474" t="str">
        <f t="shared" ca="1" si="46"/>
        <v>213</v>
      </c>
      <c r="J474" t="str">
        <f t="shared" ca="1" si="47"/>
        <v>At Risk</v>
      </c>
    </row>
    <row r="475" spans="1:10" x14ac:dyDescent="0.35">
      <c r="A475" t="s">
        <v>2261</v>
      </c>
      <c r="B475" s="2">
        <f>_xlfn.MAXIFS(clean_sales!P:P,clean_sales!C:C,RFM_Analysis!A475)</f>
        <v>45997</v>
      </c>
      <c r="C475">
        <f t="shared" ca="1" si="42"/>
        <v>31</v>
      </c>
      <c r="D475">
        <f>COUNTIFS(clean_sales!C:C,RFM_Analysis!A475)</f>
        <v>2</v>
      </c>
      <c r="E475">
        <f>SUMIFS(clean_sales!T:T,clean_sales!C:C,RFM_Analysis!A475)</f>
        <v>337000</v>
      </c>
      <c r="F475">
        <f t="shared" ca="1" si="43"/>
        <v>5</v>
      </c>
      <c r="G475">
        <f t="shared" si="44"/>
        <v>3</v>
      </c>
      <c r="H475">
        <f t="shared" si="45"/>
        <v>5</v>
      </c>
      <c r="I475" t="str">
        <f t="shared" ca="1" si="46"/>
        <v>535</v>
      </c>
      <c r="J475" t="str">
        <f t="shared" ca="1" si="47"/>
        <v>Regular</v>
      </c>
    </row>
    <row r="476" spans="1:10" x14ac:dyDescent="0.35">
      <c r="A476" t="s">
        <v>2262</v>
      </c>
      <c r="B476" s="2">
        <f>_xlfn.MAXIFS(clean_sales!P:P,clean_sales!C:C,RFM_Analysis!A476)</f>
        <v>45988</v>
      </c>
      <c r="C476">
        <f t="shared" ca="1" si="42"/>
        <v>40</v>
      </c>
      <c r="D476">
        <f>COUNTIFS(clean_sales!C:C,RFM_Analysis!A476)</f>
        <v>1</v>
      </c>
      <c r="E476">
        <f>SUMIFS(clean_sales!T:T,clean_sales!C:C,RFM_Analysis!A476)</f>
        <v>12000</v>
      </c>
      <c r="F476">
        <f t="shared" ca="1" si="43"/>
        <v>5</v>
      </c>
      <c r="G476">
        <f t="shared" si="44"/>
        <v>1</v>
      </c>
      <c r="H476">
        <f t="shared" si="45"/>
        <v>1</v>
      </c>
      <c r="I476" t="str">
        <f t="shared" ca="1" si="46"/>
        <v>511</v>
      </c>
      <c r="J476" t="str">
        <f t="shared" ca="1" si="47"/>
        <v>Regular</v>
      </c>
    </row>
    <row r="477" spans="1:10" x14ac:dyDescent="0.35">
      <c r="A477" t="s">
        <v>2263</v>
      </c>
      <c r="B477" s="2">
        <f>_xlfn.MAXIFS(clean_sales!P:P,clean_sales!C:C,RFM_Analysis!A477)</f>
        <v>45722</v>
      </c>
      <c r="C477">
        <f t="shared" ca="1" si="42"/>
        <v>306</v>
      </c>
      <c r="D477">
        <f>COUNTIFS(clean_sales!C:C,RFM_Analysis!A477)</f>
        <v>1</v>
      </c>
      <c r="E477">
        <f>SUMIFS(clean_sales!T:T,clean_sales!C:C,RFM_Analysis!A477)</f>
        <v>60000</v>
      </c>
      <c r="F477">
        <f t="shared" ca="1" si="43"/>
        <v>1</v>
      </c>
      <c r="G477">
        <f t="shared" si="44"/>
        <v>1</v>
      </c>
      <c r="H477">
        <f t="shared" si="45"/>
        <v>3</v>
      </c>
      <c r="I477" t="str">
        <f t="shared" ca="1" si="46"/>
        <v>113</v>
      </c>
      <c r="J477" t="str">
        <f t="shared" ca="1" si="47"/>
        <v>At Risk</v>
      </c>
    </row>
    <row r="478" spans="1:10" x14ac:dyDescent="0.35">
      <c r="A478" t="s">
        <v>2264</v>
      </c>
      <c r="B478" s="2">
        <f>_xlfn.MAXIFS(clean_sales!P:P,clean_sales!C:C,RFM_Analysis!A478)</f>
        <v>45770</v>
      </c>
      <c r="C478">
        <f t="shared" ca="1" si="42"/>
        <v>258</v>
      </c>
      <c r="D478">
        <f>COUNTIFS(clean_sales!C:C,RFM_Analysis!A478)</f>
        <v>1</v>
      </c>
      <c r="E478">
        <f>SUMIFS(clean_sales!T:T,clean_sales!C:C,RFM_Analysis!A478)</f>
        <v>12000</v>
      </c>
      <c r="F478">
        <f t="shared" ca="1" si="43"/>
        <v>1</v>
      </c>
      <c r="G478">
        <f t="shared" si="44"/>
        <v>1</v>
      </c>
      <c r="H478">
        <f t="shared" si="45"/>
        <v>1</v>
      </c>
      <c r="I478" t="str">
        <f t="shared" ca="1" si="46"/>
        <v>111</v>
      </c>
      <c r="J478" t="str">
        <f t="shared" ca="1" si="47"/>
        <v>At Risk</v>
      </c>
    </row>
    <row r="479" spans="1:10" x14ac:dyDescent="0.35">
      <c r="A479" t="s">
        <v>2265</v>
      </c>
      <c r="B479" s="2">
        <f>_xlfn.MAXIFS(clean_sales!P:P,clean_sales!C:C,RFM_Analysis!A479)</f>
        <v>45961</v>
      </c>
      <c r="C479">
        <f t="shared" ca="1" si="42"/>
        <v>67</v>
      </c>
      <c r="D479">
        <f>COUNTIFS(clean_sales!C:C,RFM_Analysis!A479)</f>
        <v>2</v>
      </c>
      <c r="E479">
        <f>SUMIFS(clean_sales!T:T,clean_sales!C:C,RFM_Analysis!A479)</f>
        <v>220500</v>
      </c>
      <c r="F479">
        <f t="shared" ca="1" si="43"/>
        <v>4</v>
      </c>
      <c r="G479">
        <f t="shared" si="44"/>
        <v>3</v>
      </c>
      <c r="H479">
        <f t="shared" si="45"/>
        <v>4</v>
      </c>
      <c r="I479" t="str">
        <f t="shared" ca="1" si="46"/>
        <v>434</v>
      </c>
      <c r="J479" t="str">
        <f t="shared" ca="1" si="47"/>
        <v>Regular</v>
      </c>
    </row>
    <row r="480" spans="1:10" x14ac:dyDescent="0.35">
      <c r="A480" t="s">
        <v>2266</v>
      </c>
      <c r="B480" s="2">
        <f>_xlfn.MAXIFS(clean_sales!P:P,clean_sales!C:C,RFM_Analysis!A480)</f>
        <v>45897</v>
      </c>
      <c r="C480">
        <f t="shared" ca="1" si="42"/>
        <v>131</v>
      </c>
      <c r="D480">
        <f>COUNTIFS(clean_sales!C:C,RFM_Analysis!A480)</f>
        <v>2</v>
      </c>
      <c r="E480">
        <f>SUMIFS(clean_sales!T:T,clean_sales!C:C,RFM_Analysis!A480)</f>
        <v>384000</v>
      </c>
      <c r="F480">
        <f t="shared" ca="1" si="43"/>
        <v>3</v>
      </c>
      <c r="G480">
        <f t="shared" si="44"/>
        <v>3</v>
      </c>
      <c r="H480">
        <f t="shared" si="45"/>
        <v>5</v>
      </c>
      <c r="I480" t="str">
        <f t="shared" ca="1" si="46"/>
        <v>335</v>
      </c>
      <c r="J480" t="str">
        <f t="shared" ca="1" si="47"/>
        <v>Regular</v>
      </c>
    </row>
    <row r="481" spans="1:10" x14ac:dyDescent="0.35">
      <c r="A481" t="s">
        <v>2267</v>
      </c>
      <c r="B481" s="2">
        <f>_xlfn.MAXIFS(clean_sales!P:P,clean_sales!C:C,RFM_Analysis!A481)</f>
        <v>45780</v>
      </c>
      <c r="C481">
        <f t="shared" ca="1" si="42"/>
        <v>248</v>
      </c>
      <c r="D481">
        <f>COUNTIFS(clean_sales!C:C,RFM_Analysis!A481)</f>
        <v>2</v>
      </c>
      <c r="E481">
        <f>SUMIFS(clean_sales!T:T,clean_sales!C:C,RFM_Analysis!A481)</f>
        <v>375000</v>
      </c>
      <c r="F481">
        <f t="shared" ca="1" si="43"/>
        <v>1</v>
      </c>
      <c r="G481">
        <f t="shared" si="44"/>
        <v>3</v>
      </c>
      <c r="H481">
        <f t="shared" si="45"/>
        <v>5</v>
      </c>
      <c r="I481" t="str">
        <f t="shared" ca="1" si="46"/>
        <v>135</v>
      </c>
      <c r="J481" t="str">
        <f t="shared" ca="1" si="47"/>
        <v>At Risk</v>
      </c>
    </row>
    <row r="482" spans="1:10" x14ac:dyDescent="0.35">
      <c r="A482" t="s">
        <v>2268</v>
      </c>
      <c r="B482" s="2">
        <f>_xlfn.MAXIFS(clean_sales!P:P,clean_sales!C:C,RFM_Analysis!A482)</f>
        <v>45848</v>
      </c>
      <c r="C482">
        <f t="shared" ca="1" si="42"/>
        <v>180</v>
      </c>
      <c r="D482">
        <f>COUNTIFS(clean_sales!C:C,RFM_Analysis!A482)</f>
        <v>1</v>
      </c>
      <c r="E482">
        <f>SUMIFS(clean_sales!T:T,clean_sales!C:C,RFM_Analysis!A482)</f>
        <v>144000</v>
      </c>
      <c r="F482">
        <f t="shared" ca="1" si="43"/>
        <v>2</v>
      </c>
      <c r="G482">
        <f t="shared" si="44"/>
        <v>1</v>
      </c>
      <c r="H482">
        <f t="shared" si="45"/>
        <v>3</v>
      </c>
      <c r="I482" t="str">
        <f t="shared" ca="1" si="46"/>
        <v>213</v>
      </c>
      <c r="J482" t="str">
        <f t="shared" ca="1" si="47"/>
        <v>At Risk</v>
      </c>
    </row>
    <row r="483" spans="1:10" x14ac:dyDescent="0.35">
      <c r="A483" t="s">
        <v>2269</v>
      </c>
      <c r="B483" s="2">
        <f>_xlfn.MAXIFS(clean_sales!P:P,clean_sales!C:C,RFM_Analysis!A483)</f>
        <v>45884</v>
      </c>
      <c r="C483">
        <f t="shared" ca="1" si="42"/>
        <v>144</v>
      </c>
      <c r="D483">
        <f>COUNTIFS(clean_sales!C:C,RFM_Analysis!A483)</f>
        <v>4</v>
      </c>
      <c r="E483">
        <f>SUMIFS(clean_sales!T:T,clean_sales!C:C,RFM_Analysis!A483)</f>
        <v>524000</v>
      </c>
      <c r="F483">
        <f t="shared" ca="1" si="43"/>
        <v>3</v>
      </c>
      <c r="G483">
        <f t="shared" si="44"/>
        <v>5</v>
      </c>
      <c r="H483">
        <f t="shared" si="45"/>
        <v>5</v>
      </c>
      <c r="I483" t="str">
        <f t="shared" ca="1" si="46"/>
        <v>355</v>
      </c>
      <c r="J483" t="str">
        <f t="shared" ca="1" si="47"/>
        <v>Regular</v>
      </c>
    </row>
    <row r="484" spans="1:10" x14ac:dyDescent="0.35">
      <c r="A484" t="s">
        <v>2270</v>
      </c>
      <c r="B484" s="2">
        <f>_xlfn.MAXIFS(clean_sales!P:P,clean_sales!C:C,RFM_Analysis!A484)</f>
        <v>45897</v>
      </c>
      <c r="C484">
        <f t="shared" ca="1" si="42"/>
        <v>131</v>
      </c>
      <c r="D484">
        <f>COUNTIFS(clean_sales!C:C,RFM_Analysis!A484)</f>
        <v>2</v>
      </c>
      <c r="E484">
        <f>SUMIFS(clean_sales!T:T,clean_sales!C:C,RFM_Analysis!A484)</f>
        <v>31500</v>
      </c>
      <c r="F484">
        <f t="shared" ca="1" si="43"/>
        <v>3</v>
      </c>
      <c r="G484">
        <f t="shared" si="44"/>
        <v>3</v>
      </c>
      <c r="H484">
        <f t="shared" si="45"/>
        <v>2</v>
      </c>
      <c r="I484" t="str">
        <f t="shared" ca="1" si="46"/>
        <v>332</v>
      </c>
      <c r="J484" t="str">
        <f t="shared" ca="1" si="47"/>
        <v>Regular</v>
      </c>
    </row>
    <row r="485" spans="1:10" x14ac:dyDescent="0.35">
      <c r="A485" t="s">
        <v>2271</v>
      </c>
      <c r="B485" s="2">
        <f>_xlfn.MAXIFS(clean_sales!P:P,clean_sales!C:C,RFM_Analysis!A485)</f>
        <v>45893</v>
      </c>
      <c r="C485">
        <f t="shared" ca="1" si="42"/>
        <v>135</v>
      </c>
      <c r="D485">
        <f>COUNTIFS(clean_sales!C:C,RFM_Analysis!A485)</f>
        <v>4</v>
      </c>
      <c r="E485">
        <f>SUMIFS(clean_sales!T:T,clean_sales!C:C,RFM_Analysis!A485)</f>
        <v>297000</v>
      </c>
      <c r="F485">
        <f t="shared" ca="1" si="43"/>
        <v>3</v>
      </c>
      <c r="G485">
        <f t="shared" si="44"/>
        <v>5</v>
      </c>
      <c r="H485">
        <f t="shared" si="45"/>
        <v>4</v>
      </c>
      <c r="I485" t="str">
        <f t="shared" ca="1" si="46"/>
        <v>354</v>
      </c>
      <c r="J485" t="str">
        <f t="shared" ca="1" si="47"/>
        <v>Regular</v>
      </c>
    </row>
    <row r="486" spans="1:10" x14ac:dyDescent="0.35">
      <c r="A486" t="s">
        <v>2272</v>
      </c>
      <c r="B486" s="2">
        <f>_xlfn.MAXIFS(clean_sales!P:P,clean_sales!C:C,RFM_Analysis!A486)</f>
        <v>46018</v>
      </c>
      <c r="C486">
        <f t="shared" ca="1" si="42"/>
        <v>10</v>
      </c>
      <c r="D486">
        <f>COUNTIFS(clean_sales!C:C,RFM_Analysis!A486)</f>
        <v>2</v>
      </c>
      <c r="E486">
        <f>SUMIFS(clean_sales!T:T,clean_sales!C:C,RFM_Analysis!A486)</f>
        <v>184000</v>
      </c>
      <c r="F486">
        <f t="shared" ca="1" si="43"/>
        <v>5</v>
      </c>
      <c r="G486">
        <f t="shared" si="44"/>
        <v>3</v>
      </c>
      <c r="H486">
        <f t="shared" si="45"/>
        <v>4</v>
      </c>
      <c r="I486" t="str">
        <f t="shared" ca="1" si="46"/>
        <v>534</v>
      </c>
      <c r="J486" t="str">
        <f t="shared" ca="1" si="47"/>
        <v>Regular</v>
      </c>
    </row>
    <row r="487" spans="1:10" x14ac:dyDescent="0.35">
      <c r="A487" t="s">
        <v>2273</v>
      </c>
      <c r="B487" s="2">
        <f>_xlfn.MAXIFS(clean_sales!P:P,clean_sales!C:C,RFM_Analysis!A487)</f>
        <v>45955</v>
      </c>
      <c r="C487">
        <f t="shared" ca="1" si="42"/>
        <v>73</v>
      </c>
      <c r="D487">
        <f>COUNTIFS(clean_sales!C:C,RFM_Analysis!A487)</f>
        <v>1</v>
      </c>
      <c r="E487">
        <f>SUMIFS(clean_sales!T:T,clean_sales!C:C,RFM_Analysis!A487)</f>
        <v>12000</v>
      </c>
      <c r="F487">
        <f t="shared" ca="1" si="43"/>
        <v>4</v>
      </c>
      <c r="G487">
        <f t="shared" si="44"/>
        <v>1</v>
      </c>
      <c r="H487">
        <f t="shared" si="45"/>
        <v>1</v>
      </c>
      <c r="I487" t="str">
        <f t="shared" ca="1" si="46"/>
        <v>411</v>
      </c>
      <c r="J487" t="str">
        <f t="shared" ca="1" si="47"/>
        <v>Regular</v>
      </c>
    </row>
    <row r="488" spans="1:10" x14ac:dyDescent="0.35">
      <c r="A488" t="s">
        <v>2274</v>
      </c>
      <c r="B488" s="2">
        <f>_xlfn.MAXIFS(clean_sales!P:P,clean_sales!C:C,RFM_Analysis!A488)</f>
        <v>45945</v>
      </c>
      <c r="C488">
        <f t="shared" ca="1" si="42"/>
        <v>83</v>
      </c>
      <c r="D488">
        <f>COUNTIFS(clean_sales!C:C,RFM_Analysis!A488)</f>
        <v>2</v>
      </c>
      <c r="E488">
        <f>SUMIFS(clean_sales!T:T,clean_sales!C:C,RFM_Analysis!A488)</f>
        <v>32000</v>
      </c>
      <c r="F488">
        <f t="shared" ca="1" si="43"/>
        <v>4</v>
      </c>
      <c r="G488">
        <f t="shared" si="44"/>
        <v>3</v>
      </c>
      <c r="H488">
        <f t="shared" si="45"/>
        <v>2</v>
      </c>
      <c r="I488" t="str">
        <f t="shared" ca="1" si="46"/>
        <v>432</v>
      </c>
      <c r="J488" t="str">
        <f t="shared" ca="1" si="47"/>
        <v>Regular</v>
      </c>
    </row>
    <row r="489" spans="1:10" x14ac:dyDescent="0.35">
      <c r="A489" t="s">
        <v>2275</v>
      </c>
      <c r="B489" s="2">
        <f>_xlfn.MAXIFS(clean_sales!P:P,clean_sales!C:C,RFM_Analysis!A489)</f>
        <v>45666</v>
      </c>
      <c r="C489">
        <f t="shared" ca="1" si="42"/>
        <v>362</v>
      </c>
      <c r="D489">
        <f>COUNTIFS(clean_sales!C:C,RFM_Analysis!A489)</f>
        <v>1</v>
      </c>
      <c r="E489">
        <f>SUMIFS(clean_sales!T:T,clean_sales!C:C,RFM_Analysis!A489)</f>
        <v>9000</v>
      </c>
      <c r="F489">
        <f t="shared" ca="1" si="43"/>
        <v>1</v>
      </c>
      <c r="G489">
        <f t="shared" si="44"/>
        <v>1</v>
      </c>
      <c r="H489">
        <f t="shared" si="45"/>
        <v>1</v>
      </c>
      <c r="I489" t="str">
        <f t="shared" ca="1" si="46"/>
        <v>111</v>
      </c>
      <c r="J489" t="str">
        <f t="shared" ca="1" si="47"/>
        <v>At Risk</v>
      </c>
    </row>
    <row r="490" spans="1:10" x14ac:dyDescent="0.35">
      <c r="A490" t="s">
        <v>2276</v>
      </c>
      <c r="B490" s="2">
        <f>_xlfn.MAXIFS(clean_sales!P:P,clean_sales!C:C,RFM_Analysis!A490)</f>
        <v>45860</v>
      </c>
      <c r="C490">
        <f t="shared" ca="1" si="42"/>
        <v>168</v>
      </c>
      <c r="D490">
        <f>COUNTIFS(clean_sales!C:C,RFM_Analysis!A490)</f>
        <v>1</v>
      </c>
      <c r="E490">
        <f>SUMIFS(clean_sales!T:T,clean_sales!C:C,RFM_Analysis!A490)</f>
        <v>4500</v>
      </c>
      <c r="F490">
        <f t="shared" ca="1" si="43"/>
        <v>3</v>
      </c>
      <c r="G490">
        <f t="shared" si="44"/>
        <v>1</v>
      </c>
      <c r="H490">
        <f t="shared" si="45"/>
        <v>1</v>
      </c>
      <c r="I490" t="str">
        <f t="shared" ca="1" si="46"/>
        <v>311</v>
      </c>
      <c r="J490" t="str">
        <f t="shared" ca="1" si="47"/>
        <v>Regular</v>
      </c>
    </row>
    <row r="491" spans="1:10" x14ac:dyDescent="0.35">
      <c r="A491" t="s">
        <v>2277</v>
      </c>
      <c r="B491" s="2">
        <f>_xlfn.MAXIFS(clean_sales!P:P,clean_sales!C:C,RFM_Analysis!A491)</f>
        <v>45821</v>
      </c>
      <c r="C491">
        <f t="shared" ca="1" si="42"/>
        <v>207</v>
      </c>
      <c r="D491">
        <f>COUNTIFS(clean_sales!C:C,RFM_Analysis!A491)</f>
        <v>1</v>
      </c>
      <c r="E491">
        <f>SUMIFS(clean_sales!T:T,clean_sales!C:C,RFM_Analysis!A491)</f>
        <v>12000</v>
      </c>
      <c r="F491">
        <f t="shared" ca="1" si="43"/>
        <v>2</v>
      </c>
      <c r="G491">
        <f t="shared" si="44"/>
        <v>1</v>
      </c>
      <c r="H491">
        <f t="shared" si="45"/>
        <v>1</v>
      </c>
      <c r="I491" t="str">
        <f t="shared" ca="1" si="46"/>
        <v>211</v>
      </c>
      <c r="J491" t="str">
        <f t="shared" ca="1" si="47"/>
        <v>At Risk</v>
      </c>
    </row>
    <row r="492" spans="1:10" x14ac:dyDescent="0.35">
      <c r="A492" t="s">
        <v>2278</v>
      </c>
      <c r="B492" s="2">
        <f>_xlfn.MAXIFS(clean_sales!P:P,clean_sales!C:C,RFM_Analysis!A492)</f>
        <v>45761</v>
      </c>
      <c r="C492">
        <f t="shared" ca="1" si="42"/>
        <v>267</v>
      </c>
      <c r="D492">
        <f>COUNTIFS(clean_sales!C:C,RFM_Analysis!A492)</f>
        <v>1</v>
      </c>
      <c r="E492">
        <f>SUMIFS(clean_sales!T:T,clean_sales!C:C,RFM_Analysis!A492)</f>
        <v>72000</v>
      </c>
      <c r="F492">
        <f t="shared" ca="1" si="43"/>
        <v>1</v>
      </c>
      <c r="G492">
        <f t="shared" si="44"/>
        <v>1</v>
      </c>
      <c r="H492">
        <f t="shared" si="45"/>
        <v>3</v>
      </c>
      <c r="I492" t="str">
        <f t="shared" ca="1" si="46"/>
        <v>113</v>
      </c>
      <c r="J492" t="str">
        <f t="shared" ca="1" si="47"/>
        <v>At Risk</v>
      </c>
    </row>
    <row r="493" spans="1:10" x14ac:dyDescent="0.35">
      <c r="A493" t="s">
        <v>2279</v>
      </c>
      <c r="B493" s="2">
        <f>_xlfn.MAXIFS(clean_sales!P:P,clean_sales!C:C,RFM_Analysis!A493)</f>
        <v>45759</v>
      </c>
      <c r="C493">
        <f t="shared" ca="1" si="42"/>
        <v>269</v>
      </c>
      <c r="D493">
        <f>COUNTIFS(clean_sales!C:C,RFM_Analysis!A493)</f>
        <v>1</v>
      </c>
      <c r="E493">
        <f>SUMIFS(clean_sales!T:T,clean_sales!C:C,RFM_Analysis!A493)</f>
        <v>260000</v>
      </c>
      <c r="F493">
        <f t="shared" ca="1" si="43"/>
        <v>1</v>
      </c>
      <c r="G493">
        <f t="shared" si="44"/>
        <v>1</v>
      </c>
      <c r="H493">
        <f t="shared" si="45"/>
        <v>4</v>
      </c>
      <c r="I493" t="str">
        <f t="shared" ca="1" si="46"/>
        <v>114</v>
      </c>
      <c r="J493" t="str">
        <f t="shared" ca="1" si="47"/>
        <v>At Risk</v>
      </c>
    </row>
    <row r="494" spans="1:10" x14ac:dyDescent="0.35">
      <c r="A494" t="s">
        <v>2280</v>
      </c>
      <c r="B494" s="2">
        <f>_xlfn.MAXIFS(clean_sales!P:P,clean_sales!C:C,RFM_Analysis!A494)</f>
        <v>45761</v>
      </c>
      <c r="C494">
        <f t="shared" ca="1" si="42"/>
        <v>267</v>
      </c>
      <c r="D494">
        <f>COUNTIFS(clean_sales!C:C,RFM_Analysis!A494)</f>
        <v>2</v>
      </c>
      <c r="E494">
        <f>SUMIFS(clean_sales!T:T,clean_sales!C:C,RFM_Analysis!A494)</f>
        <v>25200</v>
      </c>
      <c r="F494">
        <f t="shared" ca="1" si="43"/>
        <v>1</v>
      </c>
      <c r="G494">
        <f t="shared" si="44"/>
        <v>3</v>
      </c>
      <c r="H494">
        <f t="shared" si="45"/>
        <v>2</v>
      </c>
      <c r="I494" t="str">
        <f t="shared" ca="1" si="46"/>
        <v>132</v>
      </c>
      <c r="J494" t="str">
        <f t="shared" ca="1" si="47"/>
        <v>At Risk</v>
      </c>
    </row>
    <row r="495" spans="1:10" x14ac:dyDescent="0.35">
      <c r="A495" t="s">
        <v>2281</v>
      </c>
      <c r="B495" s="2">
        <f>_xlfn.MAXIFS(clean_sales!P:P,clean_sales!C:C,RFM_Analysis!A495)</f>
        <v>46012</v>
      </c>
      <c r="C495">
        <f t="shared" ca="1" si="42"/>
        <v>16</v>
      </c>
      <c r="D495">
        <f>COUNTIFS(clean_sales!C:C,RFM_Analysis!A495)</f>
        <v>3</v>
      </c>
      <c r="E495">
        <f>SUMIFS(clean_sales!T:T,clean_sales!C:C,RFM_Analysis!A495)</f>
        <v>514000</v>
      </c>
      <c r="F495">
        <f t="shared" ca="1" si="43"/>
        <v>5</v>
      </c>
      <c r="G495">
        <f t="shared" si="44"/>
        <v>5</v>
      </c>
      <c r="H495">
        <f t="shared" si="45"/>
        <v>5</v>
      </c>
      <c r="I495" t="str">
        <f t="shared" ca="1" si="46"/>
        <v>555</v>
      </c>
      <c r="J495" t="str">
        <f t="shared" ca="1" si="47"/>
        <v>Champions</v>
      </c>
    </row>
    <row r="496" spans="1:10" x14ac:dyDescent="0.35">
      <c r="A496" t="s">
        <v>2282</v>
      </c>
      <c r="B496" s="2">
        <f>_xlfn.MAXIFS(clean_sales!P:P,clean_sales!C:C,RFM_Analysis!A496)</f>
        <v>45749</v>
      </c>
      <c r="C496">
        <f t="shared" ca="1" si="42"/>
        <v>279</v>
      </c>
      <c r="D496">
        <f>COUNTIFS(clean_sales!C:C,RFM_Analysis!A496)</f>
        <v>1</v>
      </c>
      <c r="E496">
        <f>SUMIFS(clean_sales!T:T,clean_sales!C:C,RFM_Analysis!A496)</f>
        <v>174000</v>
      </c>
      <c r="F496">
        <f t="shared" ca="1" si="43"/>
        <v>1</v>
      </c>
      <c r="G496">
        <f t="shared" si="44"/>
        <v>1</v>
      </c>
      <c r="H496">
        <f t="shared" si="45"/>
        <v>4</v>
      </c>
      <c r="I496" t="str">
        <f t="shared" ca="1" si="46"/>
        <v>114</v>
      </c>
      <c r="J496" t="str">
        <f t="shared" ca="1" si="47"/>
        <v>At Risk</v>
      </c>
    </row>
    <row r="497" spans="1:10" x14ac:dyDescent="0.35">
      <c r="A497" t="s">
        <v>2283</v>
      </c>
      <c r="B497" s="2">
        <f>_xlfn.MAXIFS(clean_sales!P:P,clean_sales!C:C,RFM_Analysis!A497)</f>
        <v>45910</v>
      </c>
      <c r="C497">
        <f t="shared" ca="1" si="42"/>
        <v>118</v>
      </c>
      <c r="D497">
        <f>COUNTIFS(clean_sales!C:C,RFM_Analysis!A497)</f>
        <v>2</v>
      </c>
      <c r="E497">
        <f>SUMIFS(clean_sales!T:T,clean_sales!C:C,RFM_Analysis!A497)</f>
        <v>303500</v>
      </c>
      <c r="F497">
        <f t="shared" ca="1" si="43"/>
        <v>3</v>
      </c>
      <c r="G497">
        <f t="shared" si="44"/>
        <v>3</v>
      </c>
      <c r="H497">
        <f t="shared" si="45"/>
        <v>4</v>
      </c>
      <c r="I497" t="str">
        <f t="shared" ca="1" si="46"/>
        <v>334</v>
      </c>
      <c r="J497" t="str">
        <f t="shared" ca="1" si="47"/>
        <v>Regular</v>
      </c>
    </row>
    <row r="498" spans="1:10" x14ac:dyDescent="0.35">
      <c r="A498" t="s">
        <v>2284</v>
      </c>
      <c r="B498" s="2">
        <f>_xlfn.MAXIFS(clean_sales!P:P,clean_sales!C:C,RFM_Analysis!A498)</f>
        <v>45881</v>
      </c>
      <c r="C498">
        <f t="shared" ca="1" si="42"/>
        <v>147</v>
      </c>
      <c r="D498">
        <f>COUNTIFS(clean_sales!C:C,RFM_Analysis!A498)</f>
        <v>1</v>
      </c>
      <c r="E498">
        <f>SUMIFS(clean_sales!T:T,clean_sales!C:C,RFM_Analysis!A498)</f>
        <v>9000</v>
      </c>
      <c r="F498">
        <f t="shared" ca="1" si="43"/>
        <v>3</v>
      </c>
      <c r="G498">
        <f t="shared" si="44"/>
        <v>1</v>
      </c>
      <c r="H498">
        <f t="shared" si="45"/>
        <v>1</v>
      </c>
      <c r="I498" t="str">
        <f t="shared" ca="1" si="46"/>
        <v>311</v>
      </c>
      <c r="J498" t="str">
        <f t="shared" ca="1" si="47"/>
        <v>Regular</v>
      </c>
    </row>
    <row r="499" spans="1:10" x14ac:dyDescent="0.35">
      <c r="A499" t="s">
        <v>2285</v>
      </c>
      <c r="B499" s="2">
        <f>_xlfn.MAXIFS(clean_sales!P:P,clean_sales!C:C,RFM_Analysis!A499)</f>
        <v>45990</v>
      </c>
      <c r="C499">
        <f t="shared" ca="1" si="42"/>
        <v>38</v>
      </c>
      <c r="D499">
        <f>COUNTIFS(clean_sales!C:C,RFM_Analysis!A499)</f>
        <v>2</v>
      </c>
      <c r="E499">
        <f>SUMIFS(clean_sales!T:T,clean_sales!C:C,RFM_Analysis!A499)</f>
        <v>347500</v>
      </c>
      <c r="F499">
        <f t="shared" ca="1" si="43"/>
        <v>5</v>
      </c>
      <c r="G499">
        <f t="shared" si="44"/>
        <v>3</v>
      </c>
      <c r="H499">
        <f t="shared" si="45"/>
        <v>5</v>
      </c>
      <c r="I499" t="str">
        <f t="shared" ca="1" si="46"/>
        <v>535</v>
      </c>
      <c r="J499" t="str">
        <f t="shared" ca="1" si="47"/>
        <v>Regular</v>
      </c>
    </row>
    <row r="500" spans="1:10" x14ac:dyDescent="0.35">
      <c r="A500" t="s">
        <v>2286</v>
      </c>
      <c r="B500" s="2">
        <f>_xlfn.MAXIFS(clean_sales!P:P,clean_sales!C:C,RFM_Analysis!A500)</f>
        <v>46008</v>
      </c>
      <c r="C500">
        <f t="shared" ca="1" si="42"/>
        <v>20</v>
      </c>
      <c r="D500">
        <f>COUNTIFS(clean_sales!C:C,RFM_Analysis!A500)</f>
        <v>4</v>
      </c>
      <c r="E500">
        <f>SUMIFS(clean_sales!T:T,clean_sales!C:C,RFM_Analysis!A500)</f>
        <v>202800</v>
      </c>
      <c r="F500">
        <f t="shared" ca="1" si="43"/>
        <v>5</v>
      </c>
      <c r="G500">
        <f t="shared" si="44"/>
        <v>5</v>
      </c>
      <c r="H500">
        <f t="shared" si="45"/>
        <v>4</v>
      </c>
      <c r="I500" t="str">
        <f t="shared" ca="1" si="46"/>
        <v>554</v>
      </c>
      <c r="J500" t="str">
        <f t="shared" ca="1" si="47"/>
        <v>Loyal</v>
      </c>
    </row>
    <row r="501" spans="1:10" x14ac:dyDescent="0.35">
      <c r="A501" t="s">
        <v>2287</v>
      </c>
      <c r="B501" s="2">
        <f>_xlfn.MAXIFS(clean_sales!P:P,clean_sales!C:C,RFM_Analysis!A501)</f>
        <v>45789</v>
      </c>
      <c r="C501">
        <f t="shared" ca="1" si="42"/>
        <v>239</v>
      </c>
      <c r="D501">
        <f>COUNTIFS(clean_sales!C:C,RFM_Analysis!A501)</f>
        <v>1</v>
      </c>
      <c r="E501">
        <f>SUMIFS(clean_sales!T:T,clean_sales!C:C,RFM_Analysis!A501)</f>
        <v>216000</v>
      </c>
      <c r="F501">
        <f t="shared" ca="1" si="43"/>
        <v>1</v>
      </c>
      <c r="G501">
        <f t="shared" si="44"/>
        <v>1</v>
      </c>
      <c r="H501">
        <f t="shared" si="45"/>
        <v>4</v>
      </c>
      <c r="I501" t="str">
        <f t="shared" ca="1" si="46"/>
        <v>114</v>
      </c>
      <c r="J501" t="str">
        <f t="shared" ca="1" si="47"/>
        <v>At Risk</v>
      </c>
    </row>
    <row r="502" spans="1:10" x14ac:dyDescent="0.35">
      <c r="A502" t="s">
        <v>2288</v>
      </c>
      <c r="B502" s="2">
        <f>_xlfn.MAXIFS(clean_sales!P:P,clean_sales!C:C,RFM_Analysis!A502)</f>
        <v>45810</v>
      </c>
      <c r="C502">
        <f t="shared" ca="1" si="42"/>
        <v>218</v>
      </c>
      <c r="D502">
        <f>COUNTIFS(clean_sales!C:C,RFM_Analysis!A502)</f>
        <v>2</v>
      </c>
      <c r="E502">
        <f>SUMIFS(clean_sales!T:T,clean_sales!C:C,RFM_Analysis!A502)</f>
        <v>49800</v>
      </c>
      <c r="F502">
        <f t="shared" ca="1" si="43"/>
        <v>2</v>
      </c>
      <c r="G502">
        <f t="shared" si="44"/>
        <v>3</v>
      </c>
      <c r="H502">
        <f t="shared" si="45"/>
        <v>2</v>
      </c>
      <c r="I502" t="str">
        <f t="shared" ca="1" si="46"/>
        <v>232</v>
      </c>
      <c r="J502" t="str">
        <f t="shared" ca="1" si="47"/>
        <v>At Risk</v>
      </c>
    </row>
    <row r="503" spans="1:10" x14ac:dyDescent="0.35">
      <c r="A503" t="s">
        <v>2289</v>
      </c>
      <c r="B503" s="2">
        <f>_xlfn.MAXIFS(clean_sales!P:P,clean_sales!C:C,RFM_Analysis!A503)</f>
        <v>45864</v>
      </c>
      <c r="C503">
        <f t="shared" ca="1" si="42"/>
        <v>164</v>
      </c>
      <c r="D503">
        <f>COUNTIFS(clean_sales!C:C,RFM_Analysis!A503)</f>
        <v>2</v>
      </c>
      <c r="E503">
        <f>SUMIFS(clean_sales!T:T,clean_sales!C:C,RFM_Analysis!A503)</f>
        <v>28500</v>
      </c>
      <c r="F503">
        <f t="shared" ca="1" si="43"/>
        <v>3</v>
      </c>
      <c r="G503">
        <f t="shared" si="44"/>
        <v>3</v>
      </c>
      <c r="H503">
        <f t="shared" si="45"/>
        <v>2</v>
      </c>
      <c r="I503" t="str">
        <f t="shared" ca="1" si="46"/>
        <v>332</v>
      </c>
      <c r="J503" t="str">
        <f t="shared" ca="1" si="47"/>
        <v>Regular</v>
      </c>
    </row>
    <row r="504" spans="1:10" x14ac:dyDescent="0.35">
      <c r="A504" t="s">
        <v>2290</v>
      </c>
      <c r="B504" s="2">
        <f>_xlfn.MAXIFS(clean_sales!P:P,clean_sales!C:C,RFM_Analysis!A504)</f>
        <v>45941</v>
      </c>
      <c r="C504">
        <f t="shared" ca="1" si="42"/>
        <v>87</v>
      </c>
      <c r="D504">
        <f>COUNTIFS(clean_sales!C:C,RFM_Analysis!A504)</f>
        <v>1</v>
      </c>
      <c r="E504">
        <f>SUMIFS(clean_sales!T:T,clean_sales!C:C,RFM_Analysis!A504)</f>
        <v>5400</v>
      </c>
      <c r="F504">
        <f t="shared" ca="1" si="43"/>
        <v>4</v>
      </c>
      <c r="G504">
        <f t="shared" si="44"/>
        <v>1</v>
      </c>
      <c r="H504">
        <f t="shared" si="45"/>
        <v>1</v>
      </c>
      <c r="I504" t="str">
        <f t="shared" ca="1" si="46"/>
        <v>411</v>
      </c>
      <c r="J504" t="str">
        <f t="shared" ca="1" si="47"/>
        <v>Regular</v>
      </c>
    </row>
    <row r="505" spans="1:10" x14ac:dyDescent="0.35">
      <c r="A505" t="s">
        <v>2291</v>
      </c>
      <c r="B505" s="2">
        <f>_xlfn.MAXIFS(clean_sales!P:P,clean_sales!C:C,RFM_Analysis!A505)</f>
        <v>45925</v>
      </c>
      <c r="C505">
        <f t="shared" ca="1" si="42"/>
        <v>103</v>
      </c>
      <c r="D505">
        <f>COUNTIFS(clean_sales!C:C,RFM_Analysis!A505)</f>
        <v>2</v>
      </c>
      <c r="E505">
        <f>SUMIFS(clean_sales!T:T,clean_sales!C:C,RFM_Analysis!A505)</f>
        <v>42500</v>
      </c>
      <c r="F505">
        <f t="shared" ca="1" si="43"/>
        <v>4</v>
      </c>
      <c r="G505">
        <f t="shared" si="44"/>
        <v>3</v>
      </c>
      <c r="H505">
        <f t="shared" si="45"/>
        <v>2</v>
      </c>
      <c r="I505" t="str">
        <f t="shared" ca="1" si="46"/>
        <v>432</v>
      </c>
      <c r="J505" t="str">
        <f t="shared" ca="1" si="47"/>
        <v>Regular</v>
      </c>
    </row>
    <row r="506" spans="1:10" x14ac:dyDescent="0.35">
      <c r="A506" t="s">
        <v>2292</v>
      </c>
      <c r="B506" s="2">
        <f>_xlfn.MAXIFS(clean_sales!P:P,clean_sales!C:C,RFM_Analysis!A506)</f>
        <v>45700</v>
      </c>
      <c r="C506">
        <f t="shared" ca="1" si="42"/>
        <v>328</v>
      </c>
      <c r="D506">
        <f>COUNTIFS(clean_sales!C:C,RFM_Analysis!A506)</f>
        <v>1</v>
      </c>
      <c r="E506">
        <f>SUMIFS(clean_sales!T:T,clean_sales!C:C,RFM_Analysis!A506)</f>
        <v>10000</v>
      </c>
      <c r="F506">
        <f t="shared" ca="1" si="43"/>
        <v>1</v>
      </c>
      <c r="G506">
        <f t="shared" si="44"/>
        <v>1</v>
      </c>
      <c r="H506">
        <f t="shared" si="45"/>
        <v>1</v>
      </c>
      <c r="I506" t="str">
        <f t="shared" ca="1" si="46"/>
        <v>111</v>
      </c>
      <c r="J506" t="str">
        <f t="shared" ca="1" si="47"/>
        <v>At Risk</v>
      </c>
    </row>
    <row r="507" spans="1:10" x14ac:dyDescent="0.35">
      <c r="A507" t="s">
        <v>2293</v>
      </c>
      <c r="B507" s="2">
        <f>_xlfn.MAXIFS(clean_sales!P:P,clean_sales!C:C,RFM_Analysis!A507)</f>
        <v>46021</v>
      </c>
      <c r="C507">
        <f t="shared" ca="1" si="42"/>
        <v>7</v>
      </c>
      <c r="D507">
        <f>COUNTIFS(clean_sales!C:C,RFM_Analysis!A507)</f>
        <v>2</v>
      </c>
      <c r="E507">
        <f>SUMIFS(clean_sales!T:T,clean_sales!C:C,RFM_Analysis!A507)</f>
        <v>217500</v>
      </c>
      <c r="F507">
        <f t="shared" ca="1" si="43"/>
        <v>5</v>
      </c>
      <c r="G507">
        <f t="shared" si="44"/>
        <v>3</v>
      </c>
      <c r="H507">
        <f t="shared" si="45"/>
        <v>4</v>
      </c>
      <c r="I507" t="str">
        <f t="shared" ca="1" si="46"/>
        <v>534</v>
      </c>
      <c r="J507" t="str">
        <f t="shared" ca="1" si="47"/>
        <v>Regular</v>
      </c>
    </row>
    <row r="508" spans="1:10" x14ac:dyDescent="0.35">
      <c r="A508" t="s">
        <v>2294</v>
      </c>
      <c r="B508" s="2">
        <f>_xlfn.MAXIFS(clean_sales!P:P,clean_sales!C:C,RFM_Analysis!A508)</f>
        <v>45828</v>
      </c>
      <c r="C508">
        <f t="shared" ca="1" si="42"/>
        <v>200</v>
      </c>
      <c r="D508">
        <f>COUNTIFS(clean_sales!C:C,RFM_Analysis!A508)</f>
        <v>2</v>
      </c>
      <c r="E508">
        <f>SUMIFS(clean_sales!T:T,clean_sales!C:C,RFM_Analysis!A508)</f>
        <v>17000</v>
      </c>
      <c r="F508">
        <f t="shared" ca="1" si="43"/>
        <v>2</v>
      </c>
      <c r="G508">
        <f t="shared" si="44"/>
        <v>3</v>
      </c>
      <c r="H508">
        <f t="shared" si="45"/>
        <v>2</v>
      </c>
      <c r="I508" t="str">
        <f t="shared" ca="1" si="46"/>
        <v>232</v>
      </c>
      <c r="J508" t="str">
        <f t="shared" ca="1" si="47"/>
        <v>At Risk</v>
      </c>
    </row>
    <row r="509" spans="1:10" x14ac:dyDescent="0.35">
      <c r="A509" t="s">
        <v>2295</v>
      </c>
      <c r="B509" s="2">
        <f>_xlfn.MAXIFS(clean_sales!P:P,clean_sales!C:C,RFM_Analysis!A509)</f>
        <v>45828</v>
      </c>
      <c r="C509">
        <f t="shared" ca="1" si="42"/>
        <v>200</v>
      </c>
      <c r="D509">
        <f>COUNTIFS(clean_sales!C:C,RFM_Analysis!A509)</f>
        <v>2</v>
      </c>
      <c r="E509">
        <f>SUMIFS(clean_sales!T:T,clean_sales!C:C,RFM_Analysis!A509)</f>
        <v>13500</v>
      </c>
      <c r="F509">
        <f t="shared" ca="1" si="43"/>
        <v>2</v>
      </c>
      <c r="G509">
        <f t="shared" si="44"/>
        <v>3</v>
      </c>
      <c r="H509">
        <f t="shared" si="45"/>
        <v>1</v>
      </c>
      <c r="I509" t="str">
        <f t="shared" ca="1" si="46"/>
        <v>231</v>
      </c>
      <c r="J509" t="str">
        <f t="shared" ca="1" si="47"/>
        <v>At Risk</v>
      </c>
    </row>
    <row r="510" spans="1:10" x14ac:dyDescent="0.35">
      <c r="A510" t="s">
        <v>2296</v>
      </c>
      <c r="B510" s="2">
        <f>_xlfn.MAXIFS(clean_sales!P:P,clean_sales!C:C,RFM_Analysis!A510)</f>
        <v>45949</v>
      </c>
      <c r="C510">
        <f t="shared" ca="1" si="42"/>
        <v>79</v>
      </c>
      <c r="D510">
        <f>COUNTIFS(clean_sales!C:C,RFM_Analysis!A510)</f>
        <v>2</v>
      </c>
      <c r="E510">
        <f>SUMIFS(clean_sales!T:T,clean_sales!C:C,RFM_Analysis!A510)</f>
        <v>96000</v>
      </c>
      <c r="F510">
        <f t="shared" ca="1" si="43"/>
        <v>4</v>
      </c>
      <c r="G510">
        <f t="shared" si="44"/>
        <v>3</v>
      </c>
      <c r="H510">
        <f t="shared" si="45"/>
        <v>3</v>
      </c>
      <c r="I510" t="str">
        <f t="shared" ca="1" si="46"/>
        <v>433</v>
      </c>
      <c r="J510" t="str">
        <f t="shared" ca="1" si="47"/>
        <v>Regular</v>
      </c>
    </row>
    <row r="511" spans="1:10" x14ac:dyDescent="0.35">
      <c r="A511" t="s">
        <v>2297</v>
      </c>
      <c r="B511" s="2">
        <f>_xlfn.MAXIFS(clean_sales!P:P,clean_sales!C:C,RFM_Analysis!A511)</f>
        <v>45984</v>
      </c>
      <c r="C511">
        <f t="shared" ca="1" si="42"/>
        <v>44</v>
      </c>
      <c r="D511">
        <f>COUNTIFS(clean_sales!C:C,RFM_Analysis!A511)</f>
        <v>1</v>
      </c>
      <c r="E511">
        <f>SUMIFS(clean_sales!T:T,clean_sales!C:C,RFM_Analysis!A511)</f>
        <v>58000</v>
      </c>
      <c r="F511">
        <f t="shared" ca="1" si="43"/>
        <v>5</v>
      </c>
      <c r="G511">
        <f t="shared" si="44"/>
        <v>1</v>
      </c>
      <c r="H511">
        <f t="shared" si="45"/>
        <v>2</v>
      </c>
      <c r="I511" t="str">
        <f t="shared" ca="1" si="46"/>
        <v>512</v>
      </c>
      <c r="J511" t="str">
        <f t="shared" ca="1" si="47"/>
        <v>Regular</v>
      </c>
    </row>
    <row r="512" spans="1:10" x14ac:dyDescent="0.35">
      <c r="A512" t="s">
        <v>2298</v>
      </c>
      <c r="B512" s="2">
        <f>_xlfn.MAXIFS(clean_sales!P:P,clean_sales!C:C,RFM_Analysis!A512)</f>
        <v>45851</v>
      </c>
      <c r="C512">
        <f t="shared" ca="1" si="42"/>
        <v>177</v>
      </c>
      <c r="D512">
        <f>COUNTIFS(clean_sales!C:C,RFM_Analysis!A512)</f>
        <v>2</v>
      </c>
      <c r="E512">
        <f>SUMIFS(clean_sales!T:T,clean_sales!C:C,RFM_Analysis!A512)</f>
        <v>19200</v>
      </c>
      <c r="F512">
        <f t="shared" ca="1" si="43"/>
        <v>2</v>
      </c>
      <c r="G512">
        <f t="shared" si="44"/>
        <v>3</v>
      </c>
      <c r="H512">
        <f t="shared" si="45"/>
        <v>2</v>
      </c>
      <c r="I512" t="str">
        <f t="shared" ca="1" si="46"/>
        <v>232</v>
      </c>
      <c r="J512" t="str">
        <f t="shared" ca="1" si="47"/>
        <v>At Risk</v>
      </c>
    </row>
    <row r="513" spans="1:10" x14ac:dyDescent="0.35">
      <c r="A513" t="s">
        <v>2299</v>
      </c>
      <c r="B513" s="2">
        <f>_xlfn.MAXIFS(clean_sales!P:P,clean_sales!C:C,RFM_Analysis!A513)</f>
        <v>45691</v>
      </c>
      <c r="C513">
        <f t="shared" ca="1" si="42"/>
        <v>337</v>
      </c>
      <c r="D513">
        <f>COUNTIFS(clean_sales!C:C,RFM_Analysis!A513)</f>
        <v>1</v>
      </c>
      <c r="E513">
        <f>SUMIFS(clean_sales!T:T,clean_sales!C:C,RFM_Analysis!A513)</f>
        <v>325000</v>
      </c>
      <c r="F513">
        <f t="shared" ca="1" si="43"/>
        <v>1</v>
      </c>
      <c r="G513">
        <f t="shared" si="44"/>
        <v>1</v>
      </c>
      <c r="H513">
        <f t="shared" si="45"/>
        <v>5</v>
      </c>
      <c r="I513" t="str">
        <f t="shared" ca="1" si="46"/>
        <v>115</v>
      </c>
      <c r="J513" t="str">
        <f t="shared" ca="1" si="47"/>
        <v>At Risk</v>
      </c>
    </row>
    <row r="514" spans="1:10" x14ac:dyDescent="0.35">
      <c r="A514" t="s">
        <v>2300</v>
      </c>
      <c r="B514" s="2">
        <f>_xlfn.MAXIFS(clean_sales!P:P,clean_sales!C:C,RFM_Analysis!A514)</f>
        <v>45757</v>
      </c>
      <c r="C514">
        <f t="shared" ca="1" si="42"/>
        <v>271</v>
      </c>
      <c r="D514">
        <f>COUNTIFS(clean_sales!C:C,RFM_Analysis!A514)</f>
        <v>1</v>
      </c>
      <c r="E514">
        <f>SUMIFS(clean_sales!T:T,clean_sales!C:C,RFM_Analysis!A514)</f>
        <v>13500</v>
      </c>
      <c r="F514">
        <f t="shared" ca="1" si="43"/>
        <v>1</v>
      </c>
      <c r="G514">
        <f t="shared" si="44"/>
        <v>1</v>
      </c>
      <c r="H514">
        <f t="shared" si="45"/>
        <v>1</v>
      </c>
      <c r="I514" t="str">
        <f t="shared" ca="1" si="46"/>
        <v>111</v>
      </c>
      <c r="J514" t="str">
        <f t="shared" ca="1" si="47"/>
        <v>At Risk</v>
      </c>
    </row>
    <row r="515" spans="1:10" x14ac:dyDescent="0.35">
      <c r="A515" t="s">
        <v>2301</v>
      </c>
      <c r="B515" s="2">
        <f>_xlfn.MAXIFS(clean_sales!P:P,clean_sales!C:C,RFM_Analysis!A515)</f>
        <v>45964</v>
      </c>
      <c r="C515">
        <f t="shared" ref="C515:C578" ca="1" si="48">TODAY()-B515</f>
        <v>64</v>
      </c>
      <c r="D515">
        <f>COUNTIFS(clean_sales!C:C,RFM_Analysis!A515)</f>
        <v>4</v>
      </c>
      <c r="E515">
        <f>SUMIFS(clean_sales!T:T,clean_sales!C:C,RFM_Analysis!A515)</f>
        <v>523500</v>
      </c>
      <c r="F515">
        <f t="shared" ref="F515:F578" ca="1" si="49">IF(C515&lt;=PERCENTILE($C:$C,0.2),5,
IF(C515&lt;=PERCENTILE($C:$C,0.4),4,
IF(C515&lt;=PERCENTILE($C:$C,0.6),3,
IF(C515&lt;=PERCENTILE($C:$C,0.8),2,1))))</f>
        <v>4</v>
      </c>
      <c r="G515">
        <f t="shared" ref="G515:G578" si="50">IF(D515&lt;=PERCENTILE($D:$D,0.2),1,
IF(D515&lt;=PERCENTILE($D:$D,0.4),2,
IF(D515&lt;=PERCENTILE($D:$D,0.6),3,
IF(D515&lt;=PERCENTILE($D:$D,0.8),4,5))))</f>
        <v>5</v>
      </c>
      <c r="H515">
        <f t="shared" ref="H515:H578" si="51">IF(E515&lt;=PERCENTILE($E:$E,0.2),1,
IF(E515&lt;=PERCENTILE($E:$E,0.4),2,
IF(E515&lt;=PERCENTILE($E:$E,0.6),3,
IF(E515&lt;=PERCENTILE($E:$E,0.8),4,5))))</f>
        <v>5</v>
      </c>
      <c r="I515" t="str">
        <f t="shared" ref="I515:I578" ca="1" si="52">F515&amp;G515&amp;H515</f>
        <v>455</v>
      </c>
      <c r="J515" t="str">
        <f t="shared" ref="J515:J578" ca="1" si="53">IF(I515="555","Champions",
IF(AND(F515&gt;=4,G515&gt;=4),"Loyal",
IF(F515&lt;=2,"At Risk","Regular")))</f>
        <v>Loyal</v>
      </c>
    </row>
    <row r="516" spans="1:10" x14ac:dyDescent="0.35">
      <c r="A516" t="s">
        <v>2302</v>
      </c>
      <c r="B516" s="2">
        <f>_xlfn.MAXIFS(clean_sales!P:P,clean_sales!C:C,RFM_Analysis!A516)</f>
        <v>45969</v>
      </c>
      <c r="C516">
        <f t="shared" ca="1" si="48"/>
        <v>59</v>
      </c>
      <c r="D516">
        <f>COUNTIFS(clean_sales!C:C,RFM_Analysis!A516)</f>
        <v>2</v>
      </c>
      <c r="E516">
        <f>SUMIFS(clean_sales!T:T,clean_sales!C:C,RFM_Analysis!A516)</f>
        <v>346000</v>
      </c>
      <c r="F516">
        <f t="shared" ca="1" si="49"/>
        <v>4</v>
      </c>
      <c r="G516">
        <f t="shared" si="50"/>
        <v>3</v>
      </c>
      <c r="H516">
        <f t="shared" si="51"/>
        <v>5</v>
      </c>
      <c r="I516" t="str">
        <f t="shared" ca="1" si="52"/>
        <v>435</v>
      </c>
      <c r="J516" t="str">
        <f t="shared" ca="1" si="53"/>
        <v>Regular</v>
      </c>
    </row>
    <row r="517" spans="1:10" x14ac:dyDescent="0.35">
      <c r="A517" t="s">
        <v>2303</v>
      </c>
      <c r="B517" s="2">
        <f>_xlfn.MAXIFS(clean_sales!P:P,clean_sales!C:C,RFM_Analysis!A517)</f>
        <v>45815</v>
      </c>
      <c r="C517">
        <f t="shared" ca="1" si="48"/>
        <v>213</v>
      </c>
      <c r="D517">
        <f>COUNTIFS(clean_sales!C:C,RFM_Analysis!A517)</f>
        <v>2</v>
      </c>
      <c r="E517">
        <f>SUMIFS(clean_sales!T:T,clean_sales!C:C,RFM_Analysis!A517)</f>
        <v>33000</v>
      </c>
      <c r="F517">
        <f t="shared" ca="1" si="49"/>
        <v>2</v>
      </c>
      <c r="G517">
        <f t="shared" si="50"/>
        <v>3</v>
      </c>
      <c r="H517">
        <f t="shared" si="51"/>
        <v>2</v>
      </c>
      <c r="I517" t="str">
        <f t="shared" ca="1" si="52"/>
        <v>232</v>
      </c>
      <c r="J517" t="str">
        <f t="shared" ca="1" si="53"/>
        <v>At Risk</v>
      </c>
    </row>
    <row r="518" spans="1:10" x14ac:dyDescent="0.35">
      <c r="A518" t="s">
        <v>2304</v>
      </c>
      <c r="B518" s="2">
        <f>_xlfn.MAXIFS(clean_sales!P:P,clean_sales!C:C,RFM_Analysis!A518)</f>
        <v>45733</v>
      </c>
      <c r="C518">
        <f t="shared" ca="1" si="48"/>
        <v>295</v>
      </c>
      <c r="D518">
        <f>COUNTIFS(clean_sales!C:C,RFM_Analysis!A518)</f>
        <v>1</v>
      </c>
      <c r="E518">
        <f>SUMIFS(clean_sales!T:T,clean_sales!C:C,RFM_Analysis!A518)</f>
        <v>9000</v>
      </c>
      <c r="F518">
        <f t="shared" ca="1" si="49"/>
        <v>1</v>
      </c>
      <c r="G518">
        <f t="shared" si="50"/>
        <v>1</v>
      </c>
      <c r="H518">
        <f t="shared" si="51"/>
        <v>1</v>
      </c>
      <c r="I518" t="str">
        <f t="shared" ca="1" si="52"/>
        <v>111</v>
      </c>
      <c r="J518" t="str">
        <f t="shared" ca="1" si="53"/>
        <v>At Risk</v>
      </c>
    </row>
    <row r="519" spans="1:10" x14ac:dyDescent="0.35">
      <c r="A519" t="s">
        <v>2305</v>
      </c>
      <c r="B519" s="2">
        <f>_xlfn.MAXIFS(clean_sales!P:P,clean_sales!C:C,RFM_Analysis!A519)</f>
        <v>45798</v>
      </c>
      <c r="C519">
        <f t="shared" ca="1" si="48"/>
        <v>230</v>
      </c>
      <c r="D519">
        <f>COUNTIFS(clean_sales!C:C,RFM_Analysis!A519)</f>
        <v>2</v>
      </c>
      <c r="E519">
        <f>SUMIFS(clean_sales!T:T,clean_sales!C:C,RFM_Analysis!A519)</f>
        <v>346000</v>
      </c>
      <c r="F519">
        <f t="shared" ca="1" si="49"/>
        <v>2</v>
      </c>
      <c r="G519">
        <f t="shared" si="50"/>
        <v>3</v>
      </c>
      <c r="H519">
        <f t="shared" si="51"/>
        <v>5</v>
      </c>
      <c r="I519" t="str">
        <f t="shared" ca="1" si="52"/>
        <v>235</v>
      </c>
      <c r="J519" t="str">
        <f t="shared" ca="1" si="53"/>
        <v>At Risk</v>
      </c>
    </row>
    <row r="520" spans="1:10" x14ac:dyDescent="0.35">
      <c r="A520" t="s">
        <v>2306</v>
      </c>
      <c r="B520" s="2">
        <f>_xlfn.MAXIFS(clean_sales!P:P,clean_sales!C:C,RFM_Analysis!A520)</f>
        <v>46009</v>
      </c>
      <c r="C520">
        <f t="shared" ca="1" si="48"/>
        <v>19</v>
      </c>
      <c r="D520">
        <f>COUNTIFS(clean_sales!C:C,RFM_Analysis!A520)</f>
        <v>1</v>
      </c>
      <c r="E520">
        <f>SUMIFS(clean_sales!T:T,clean_sales!C:C,RFM_Analysis!A520)</f>
        <v>325000</v>
      </c>
      <c r="F520">
        <f t="shared" ca="1" si="49"/>
        <v>5</v>
      </c>
      <c r="G520">
        <f t="shared" si="50"/>
        <v>1</v>
      </c>
      <c r="H520">
        <f t="shared" si="51"/>
        <v>5</v>
      </c>
      <c r="I520" t="str">
        <f t="shared" ca="1" si="52"/>
        <v>515</v>
      </c>
      <c r="J520" t="str">
        <f t="shared" ca="1" si="53"/>
        <v>Regular</v>
      </c>
    </row>
    <row r="521" spans="1:10" x14ac:dyDescent="0.35">
      <c r="A521" t="s">
        <v>2307</v>
      </c>
      <c r="B521" s="2">
        <f>_xlfn.MAXIFS(clean_sales!P:P,clean_sales!C:C,RFM_Analysis!A521)</f>
        <v>45891</v>
      </c>
      <c r="C521">
        <f t="shared" ca="1" si="48"/>
        <v>137</v>
      </c>
      <c r="D521">
        <f>COUNTIFS(clean_sales!C:C,RFM_Analysis!A521)</f>
        <v>1</v>
      </c>
      <c r="E521">
        <f>SUMIFS(clean_sales!T:T,clean_sales!C:C,RFM_Analysis!A521)</f>
        <v>3600</v>
      </c>
      <c r="F521">
        <f t="shared" ca="1" si="49"/>
        <v>3</v>
      </c>
      <c r="G521">
        <f t="shared" si="50"/>
        <v>1</v>
      </c>
      <c r="H521">
        <f t="shared" si="51"/>
        <v>1</v>
      </c>
      <c r="I521" t="str">
        <f t="shared" ca="1" si="52"/>
        <v>311</v>
      </c>
      <c r="J521" t="str">
        <f t="shared" ca="1" si="53"/>
        <v>Regular</v>
      </c>
    </row>
    <row r="522" spans="1:10" x14ac:dyDescent="0.35">
      <c r="A522" t="s">
        <v>2308</v>
      </c>
      <c r="B522" s="2">
        <f>_xlfn.MAXIFS(clean_sales!P:P,clean_sales!C:C,RFM_Analysis!A522)</f>
        <v>45735</v>
      </c>
      <c r="C522">
        <f t="shared" ca="1" si="48"/>
        <v>293</v>
      </c>
      <c r="D522">
        <f>COUNTIFS(clean_sales!C:C,RFM_Analysis!A522)</f>
        <v>1</v>
      </c>
      <c r="E522">
        <f>SUMIFS(clean_sales!T:T,clean_sales!C:C,RFM_Analysis!A522)</f>
        <v>12000</v>
      </c>
      <c r="F522">
        <f t="shared" ca="1" si="49"/>
        <v>1</v>
      </c>
      <c r="G522">
        <f t="shared" si="50"/>
        <v>1</v>
      </c>
      <c r="H522">
        <f t="shared" si="51"/>
        <v>1</v>
      </c>
      <c r="I522" t="str">
        <f t="shared" ca="1" si="52"/>
        <v>111</v>
      </c>
      <c r="J522" t="str">
        <f t="shared" ca="1" si="53"/>
        <v>At Risk</v>
      </c>
    </row>
    <row r="523" spans="1:10" x14ac:dyDescent="0.35">
      <c r="A523" t="s">
        <v>2309</v>
      </c>
      <c r="B523" s="2">
        <f>_xlfn.MAXIFS(clean_sales!P:P,clean_sales!C:C,RFM_Analysis!A523)</f>
        <v>45941</v>
      </c>
      <c r="C523">
        <f t="shared" ca="1" si="48"/>
        <v>87</v>
      </c>
      <c r="D523">
        <f>COUNTIFS(clean_sales!C:C,RFM_Analysis!A523)</f>
        <v>1</v>
      </c>
      <c r="E523">
        <f>SUMIFS(clean_sales!T:T,clean_sales!C:C,RFM_Analysis!A523)</f>
        <v>18000</v>
      </c>
      <c r="F523">
        <f t="shared" ca="1" si="49"/>
        <v>4</v>
      </c>
      <c r="G523">
        <f t="shared" si="50"/>
        <v>1</v>
      </c>
      <c r="H523">
        <f t="shared" si="51"/>
        <v>2</v>
      </c>
      <c r="I523" t="str">
        <f t="shared" ca="1" si="52"/>
        <v>412</v>
      </c>
      <c r="J523" t="str">
        <f t="shared" ca="1" si="53"/>
        <v>Regular</v>
      </c>
    </row>
    <row r="524" spans="1:10" x14ac:dyDescent="0.35">
      <c r="A524" t="s">
        <v>2310</v>
      </c>
      <c r="B524" s="2">
        <f>_xlfn.MAXIFS(clean_sales!P:P,clean_sales!C:C,RFM_Analysis!A524)</f>
        <v>45736</v>
      </c>
      <c r="C524">
        <f t="shared" ca="1" si="48"/>
        <v>292</v>
      </c>
      <c r="D524">
        <f>COUNTIFS(clean_sales!C:C,RFM_Analysis!A524)</f>
        <v>1</v>
      </c>
      <c r="E524">
        <f>SUMIFS(clean_sales!T:T,clean_sales!C:C,RFM_Analysis!A524)</f>
        <v>10000</v>
      </c>
      <c r="F524">
        <f t="shared" ca="1" si="49"/>
        <v>1</v>
      </c>
      <c r="G524">
        <f t="shared" si="50"/>
        <v>1</v>
      </c>
      <c r="H524">
        <f t="shared" si="51"/>
        <v>1</v>
      </c>
      <c r="I524" t="str">
        <f t="shared" ca="1" si="52"/>
        <v>111</v>
      </c>
      <c r="J524" t="str">
        <f t="shared" ca="1" si="53"/>
        <v>At Risk</v>
      </c>
    </row>
    <row r="525" spans="1:10" x14ac:dyDescent="0.35">
      <c r="A525" t="s">
        <v>2311</v>
      </c>
      <c r="B525" s="2">
        <f>_xlfn.MAXIFS(clean_sales!P:P,clean_sales!C:C,RFM_Analysis!A525)</f>
        <v>45985</v>
      </c>
      <c r="C525">
        <f t="shared" ca="1" si="48"/>
        <v>43</v>
      </c>
      <c r="D525">
        <f>COUNTIFS(clean_sales!C:C,RFM_Analysis!A525)</f>
        <v>1</v>
      </c>
      <c r="E525">
        <f>SUMIFS(clean_sales!T:T,clean_sales!C:C,RFM_Analysis!A525)</f>
        <v>116000</v>
      </c>
      <c r="F525">
        <f t="shared" ca="1" si="49"/>
        <v>5</v>
      </c>
      <c r="G525">
        <f t="shared" si="50"/>
        <v>1</v>
      </c>
      <c r="H525">
        <f t="shared" si="51"/>
        <v>3</v>
      </c>
      <c r="I525" t="str">
        <f t="shared" ca="1" si="52"/>
        <v>513</v>
      </c>
      <c r="J525" t="str">
        <f t="shared" ca="1" si="53"/>
        <v>Regular</v>
      </c>
    </row>
    <row r="526" spans="1:10" x14ac:dyDescent="0.35">
      <c r="A526" t="s">
        <v>2312</v>
      </c>
      <c r="B526" s="2">
        <f>_xlfn.MAXIFS(clean_sales!P:P,clean_sales!C:C,RFM_Analysis!A526)</f>
        <v>45765</v>
      </c>
      <c r="C526">
        <f t="shared" ca="1" si="48"/>
        <v>263</v>
      </c>
      <c r="D526">
        <f>COUNTIFS(clean_sales!C:C,RFM_Analysis!A526)</f>
        <v>2</v>
      </c>
      <c r="E526">
        <f>SUMIFS(clean_sales!T:T,clean_sales!C:C,RFM_Analysis!A526)</f>
        <v>246000</v>
      </c>
      <c r="F526">
        <f t="shared" ca="1" si="49"/>
        <v>1</v>
      </c>
      <c r="G526">
        <f t="shared" si="50"/>
        <v>3</v>
      </c>
      <c r="H526">
        <f t="shared" si="51"/>
        <v>4</v>
      </c>
      <c r="I526" t="str">
        <f t="shared" ca="1" si="52"/>
        <v>134</v>
      </c>
      <c r="J526" t="str">
        <f t="shared" ca="1" si="53"/>
        <v>At Risk</v>
      </c>
    </row>
    <row r="527" spans="1:10" x14ac:dyDescent="0.35">
      <c r="A527" t="s">
        <v>2313</v>
      </c>
      <c r="B527" s="2">
        <f>_xlfn.MAXIFS(clean_sales!P:P,clean_sales!C:C,RFM_Analysis!A527)</f>
        <v>45957</v>
      </c>
      <c r="C527">
        <f t="shared" ca="1" si="48"/>
        <v>71</v>
      </c>
      <c r="D527">
        <f>COUNTIFS(clean_sales!C:C,RFM_Analysis!A527)</f>
        <v>1</v>
      </c>
      <c r="E527">
        <f>SUMIFS(clean_sales!T:T,clean_sales!C:C,RFM_Analysis!A527)</f>
        <v>13500</v>
      </c>
      <c r="F527">
        <f t="shared" ca="1" si="49"/>
        <v>4</v>
      </c>
      <c r="G527">
        <f t="shared" si="50"/>
        <v>1</v>
      </c>
      <c r="H527">
        <f t="shared" si="51"/>
        <v>1</v>
      </c>
      <c r="I527" t="str">
        <f t="shared" ca="1" si="52"/>
        <v>411</v>
      </c>
      <c r="J527" t="str">
        <f t="shared" ca="1" si="53"/>
        <v>Regular</v>
      </c>
    </row>
    <row r="528" spans="1:10" x14ac:dyDescent="0.35">
      <c r="A528" t="s">
        <v>2314</v>
      </c>
      <c r="B528" s="2">
        <f>_xlfn.MAXIFS(clean_sales!P:P,clean_sales!C:C,RFM_Analysis!A528)</f>
        <v>45964</v>
      </c>
      <c r="C528">
        <f t="shared" ca="1" si="48"/>
        <v>64</v>
      </c>
      <c r="D528">
        <f>COUNTIFS(clean_sales!C:C,RFM_Analysis!A528)</f>
        <v>2</v>
      </c>
      <c r="E528">
        <f>SUMIFS(clean_sales!T:T,clean_sales!C:C,RFM_Analysis!A528)</f>
        <v>15000</v>
      </c>
      <c r="F528">
        <f t="shared" ca="1" si="49"/>
        <v>4</v>
      </c>
      <c r="G528">
        <f t="shared" si="50"/>
        <v>3</v>
      </c>
      <c r="H528">
        <f t="shared" si="51"/>
        <v>1</v>
      </c>
      <c r="I528" t="str">
        <f t="shared" ca="1" si="52"/>
        <v>431</v>
      </c>
      <c r="J528" t="str">
        <f t="shared" ca="1" si="53"/>
        <v>Regular</v>
      </c>
    </row>
    <row r="529" spans="1:10" x14ac:dyDescent="0.35">
      <c r="A529" t="s">
        <v>2315</v>
      </c>
      <c r="B529" s="2">
        <f>_xlfn.MAXIFS(clean_sales!P:P,clean_sales!C:C,RFM_Analysis!A529)</f>
        <v>45891</v>
      </c>
      <c r="C529">
        <f t="shared" ca="1" si="48"/>
        <v>137</v>
      </c>
      <c r="D529">
        <f>COUNTIFS(clean_sales!C:C,RFM_Analysis!A529)</f>
        <v>1</v>
      </c>
      <c r="E529">
        <f>SUMIFS(clean_sales!T:T,clean_sales!C:C,RFM_Analysis!A529)</f>
        <v>325000</v>
      </c>
      <c r="F529">
        <f t="shared" ca="1" si="49"/>
        <v>3</v>
      </c>
      <c r="G529">
        <f t="shared" si="50"/>
        <v>1</v>
      </c>
      <c r="H529">
        <f t="shared" si="51"/>
        <v>5</v>
      </c>
      <c r="I529" t="str">
        <f t="shared" ca="1" si="52"/>
        <v>315</v>
      </c>
      <c r="J529" t="str">
        <f t="shared" ca="1" si="53"/>
        <v>Regular</v>
      </c>
    </row>
    <row r="530" spans="1:10" x14ac:dyDescent="0.35">
      <c r="A530" t="s">
        <v>2316</v>
      </c>
      <c r="B530" s="2">
        <f>_xlfn.MAXIFS(clean_sales!P:P,clean_sales!C:C,RFM_Analysis!A530)</f>
        <v>45895</v>
      </c>
      <c r="C530">
        <f t="shared" ca="1" si="48"/>
        <v>133</v>
      </c>
      <c r="D530">
        <f>COUNTIFS(clean_sales!C:C,RFM_Analysis!A530)</f>
        <v>2</v>
      </c>
      <c r="E530">
        <f>SUMIFS(clean_sales!T:T,clean_sales!C:C,RFM_Analysis!A530)</f>
        <v>27000</v>
      </c>
      <c r="F530">
        <f t="shared" ca="1" si="49"/>
        <v>3</v>
      </c>
      <c r="G530">
        <f t="shared" si="50"/>
        <v>3</v>
      </c>
      <c r="H530">
        <f t="shared" si="51"/>
        <v>2</v>
      </c>
      <c r="I530" t="str">
        <f t="shared" ca="1" si="52"/>
        <v>332</v>
      </c>
      <c r="J530" t="str">
        <f t="shared" ca="1" si="53"/>
        <v>Regular</v>
      </c>
    </row>
    <row r="531" spans="1:10" x14ac:dyDescent="0.35">
      <c r="A531" t="s">
        <v>2317</v>
      </c>
      <c r="B531" s="2">
        <f>_xlfn.MAXIFS(clean_sales!P:P,clean_sales!C:C,RFM_Analysis!A531)</f>
        <v>45910</v>
      </c>
      <c r="C531">
        <f t="shared" ca="1" si="48"/>
        <v>118</v>
      </c>
      <c r="D531">
        <f>COUNTIFS(clean_sales!C:C,RFM_Analysis!A531)</f>
        <v>2</v>
      </c>
      <c r="E531">
        <f>SUMIFS(clean_sales!T:T,clean_sales!C:C,RFM_Analysis!A531)</f>
        <v>245500</v>
      </c>
      <c r="F531">
        <f t="shared" ca="1" si="49"/>
        <v>3</v>
      </c>
      <c r="G531">
        <f t="shared" si="50"/>
        <v>3</v>
      </c>
      <c r="H531">
        <f t="shared" si="51"/>
        <v>4</v>
      </c>
      <c r="I531" t="str">
        <f t="shared" ca="1" si="52"/>
        <v>334</v>
      </c>
      <c r="J531" t="str">
        <f t="shared" ca="1" si="53"/>
        <v>Regular</v>
      </c>
    </row>
    <row r="532" spans="1:10" x14ac:dyDescent="0.35">
      <c r="A532" t="s">
        <v>2318</v>
      </c>
      <c r="B532" s="2">
        <f>_xlfn.MAXIFS(clean_sales!P:P,clean_sales!C:C,RFM_Analysis!A532)</f>
        <v>45855</v>
      </c>
      <c r="C532">
        <f t="shared" ca="1" si="48"/>
        <v>173</v>
      </c>
      <c r="D532">
        <f>COUNTIFS(clean_sales!C:C,RFM_Analysis!A532)</f>
        <v>1</v>
      </c>
      <c r="E532">
        <f>SUMIFS(clean_sales!T:T,clean_sales!C:C,RFM_Analysis!A532)</f>
        <v>116000</v>
      </c>
      <c r="F532">
        <f t="shared" ca="1" si="49"/>
        <v>2</v>
      </c>
      <c r="G532">
        <f t="shared" si="50"/>
        <v>1</v>
      </c>
      <c r="H532">
        <f t="shared" si="51"/>
        <v>3</v>
      </c>
      <c r="I532" t="str">
        <f t="shared" ca="1" si="52"/>
        <v>213</v>
      </c>
      <c r="J532" t="str">
        <f t="shared" ca="1" si="53"/>
        <v>At Risk</v>
      </c>
    </row>
    <row r="533" spans="1:10" x14ac:dyDescent="0.35">
      <c r="A533" t="s">
        <v>2319</v>
      </c>
      <c r="B533" s="2">
        <f>_xlfn.MAXIFS(clean_sales!P:P,clean_sales!C:C,RFM_Analysis!A533)</f>
        <v>45673</v>
      </c>
      <c r="C533">
        <f t="shared" ca="1" si="48"/>
        <v>355</v>
      </c>
      <c r="D533">
        <f>COUNTIFS(clean_sales!C:C,RFM_Analysis!A533)</f>
        <v>1</v>
      </c>
      <c r="E533">
        <f>SUMIFS(clean_sales!T:T,clean_sales!C:C,RFM_Analysis!A533)</f>
        <v>216000</v>
      </c>
      <c r="F533">
        <f t="shared" ca="1" si="49"/>
        <v>1</v>
      </c>
      <c r="G533">
        <f t="shared" si="50"/>
        <v>1</v>
      </c>
      <c r="H533">
        <f t="shared" si="51"/>
        <v>4</v>
      </c>
      <c r="I533" t="str">
        <f t="shared" ca="1" si="52"/>
        <v>114</v>
      </c>
      <c r="J533" t="str">
        <f t="shared" ca="1" si="53"/>
        <v>At Risk</v>
      </c>
    </row>
    <row r="534" spans="1:10" x14ac:dyDescent="0.35">
      <c r="A534" t="s">
        <v>2320</v>
      </c>
      <c r="B534" s="2">
        <f>_xlfn.MAXIFS(clean_sales!P:P,clean_sales!C:C,RFM_Analysis!A534)</f>
        <v>45895</v>
      </c>
      <c r="C534">
        <f t="shared" ca="1" si="48"/>
        <v>133</v>
      </c>
      <c r="D534">
        <f>COUNTIFS(clean_sales!C:C,RFM_Analysis!A534)</f>
        <v>2</v>
      </c>
      <c r="E534">
        <f>SUMIFS(clean_sales!T:T,clean_sales!C:C,RFM_Analysis!A534)</f>
        <v>12200</v>
      </c>
      <c r="F534">
        <f t="shared" ca="1" si="49"/>
        <v>3</v>
      </c>
      <c r="G534">
        <f t="shared" si="50"/>
        <v>3</v>
      </c>
      <c r="H534">
        <f t="shared" si="51"/>
        <v>1</v>
      </c>
      <c r="I534" t="str">
        <f t="shared" ca="1" si="52"/>
        <v>331</v>
      </c>
      <c r="J534" t="str">
        <f t="shared" ca="1" si="53"/>
        <v>Regular</v>
      </c>
    </row>
    <row r="535" spans="1:10" x14ac:dyDescent="0.35">
      <c r="A535" t="s">
        <v>2321</v>
      </c>
      <c r="B535" s="2">
        <f>_xlfn.MAXIFS(clean_sales!P:P,clean_sales!C:C,RFM_Analysis!A535)</f>
        <v>45741</v>
      </c>
      <c r="C535">
        <f t="shared" ca="1" si="48"/>
        <v>287</v>
      </c>
      <c r="D535">
        <f>COUNTIFS(clean_sales!C:C,RFM_Analysis!A535)</f>
        <v>1</v>
      </c>
      <c r="E535">
        <f>SUMIFS(clean_sales!T:T,clean_sales!C:C,RFM_Analysis!A535)</f>
        <v>24000</v>
      </c>
      <c r="F535">
        <f t="shared" ca="1" si="49"/>
        <v>1</v>
      </c>
      <c r="G535">
        <f t="shared" si="50"/>
        <v>1</v>
      </c>
      <c r="H535">
        <f t="shared" si="51"/>
        <v>2</v>
      </c>
      <c r="I535" t="str">
        <f t="shared" ca="1" si="52"/>
        <v>112</v>
      </c>
      <c r="J535" t="str">
        <f t="shared" ca="1" si="53"/>
        <v>At Risk</v>
      </c>
    </row>
    <row r="536" spans="1:10" x14ac:dyDescent="0.35">
      <c r="A536" t="s">
        <v>2322</v>
      </c>
      <c r="B536" s="2">
        <f>_xlfn.MAXIFS(clean_sales!P:P,clean_sales!C:C,RFM_Analysis!A536)</f>
        <v>45949</v>
      </c>
      <c r="C536">
        <f t="shared" ca="1" si="48"/>
        <v>79</v>
      </c>
      <c r="D536">
        <f>COUNTIFS(clean_sales!C:C,RFM_Analysis!A536)</f>
        <v>1</v>
      </c>
      <c r="E536">
        <f>SUMIFS(clean_sales!T:T,clean_sales!C:C,RFM_Analysis!A536)</f>
        <v>1800</v>
      </c>
      <c r="F536">
        <f t="shared" ca="1" si="49"/>
        <v>4</v>
      </c>
      <c r="G536">
        <f t="shared" si="50"/>
        <v>1</v>
      </c>
      <c r="H536">
        <f t="shared" si="51"/>
        <v>1</v>
      </c>
      <c r="I536" t="str">
        <f t="shared" ca="1" si="52"/>
        <v>411</v>
      </c>
      <c r="J536" t="str">
        <f t="shared" ca="1" si="53"/>
        <v>Regular</v>
      </c>
    </row>
    <row r="537" spans="1:10" x14ac:dyDescent="0.35">
      <c r="A537" t="s">
        <v>2323</v>
      </c>
      <c r="B537" s="2">
        <f>_xlfn.MAXIFS(clean_sales!P:P,clean_sales!C:C,RFM_Analysis!A537)</f>
        <v>46010</v>
      </c>
      <c r="C537">
        <f t="shared" ca="1" si="48"/>
        <v>18</v>
      </c>
      <c r="D537">
        <f>COUNTIFS(clean_sales!C:C,RFM_Analysis!A537)</f>
        <v>2</v>
      </c>
      <c r="E537">
        <f>SUMIFS(clean_sales!T:T,clean_sales!C:C,RFM_Analysis!A537)</f>
        <v>189000</v>
      </c>
      <c r="F537">
        <f t="shared" ca="1" si="49"/>
        <v>5</v>
      </c>
      <c r="G537">
        <f t="shared" si="50"/>
        <v>3</v>
      </c>
      <c r="H537">
        <f t="shared" si="51"/>
        <v>4</v>
      </c>
      <c r="I537" t="str">
        <f t="shared" ca="1" si="52"/>
        <v>534</v>
      </c>
      <c r="J537" t="str">
        <f t="shared" ca="1" si="53"/>
        <v>Regular</v>
      </c>
    </row>
    <row r="538" spans="1:10" x14ac:dyDescent="0.35">
      <c r="A538" t="s">
        <v>2324</v>
      </c>
      <c r="B538" s="2">
        <f>_xlfn.MAXIFS(clean_sales!P:P,clean_sales!C:C,RFM_Analysis!A538)</f>
        <v>45663</v>
      </c>
      <c r="C538">
        <f t="shared" ca="1" si="48"/>
        <v>365</v>
      </c>
      <c r="D538">
        <f>COUNTIFS(clean_sales!C:C,RFM_Analysis!A538)</f>
        <v>1</v>
      </c>
      <c r="E538">
        <f>SUMIFS(clean_sales!T:T,clean_sales!C:C,RFM_Analysis!A538)</f>
        <v>10000</v>
      </c>
      <c r="F538">
        <f t="shared" ca="1" si="49"/>
        <v>1</v>
      </c>
      <c r="G538">
        <f t="shared" si="50"/>
        <v>1</v>
      </c>
      <c r="H538">
        <f t="shared" si="51"/>
        <v>1</v>
      </c>
      <c r="I538" t="str">
        <f t="shared" ca="1" si="52"/>
        <v>111</v>
      </c>
      <c r="J538" t="str">
        <f t="shared" ca="1" si="53"/>
        <v>At Risk</v>
      </c>
    </row>
    <row r="539" spans="1:10" x14ac:dyDescent="0.35">
      <c r="A539" t="s">
        <v>2325</v>
      </c>
      <c r="B539" s="2">
        <f>_xlfn.MAXIFS(clean_sales!P:P,clean_sales!C:C,RFM_Analysis!A539)</f>
        <v>45915</v>
      </c>
      <c r="C539">
        <f t="shared" ca="1" si="48"/>
        <v>113</v>
      </c>
      <c r="D539">
        <f>COUNTIFS(clean_sales!C:C,RFM_Analysis!A539)</f>
        <v>2</v>
      </c>
      <c r="E539">
        <f>SUMIFS(clean_sales!T:T,clean_sales!C:C,RFM_Analysis!A539)</f>
        <v>18000</v>
      </c>
      <c r="F539">
        <f t="shared" ca="1" si="49"/>
        <v>3</v>
      </c>
      <c r="G539">
        <f t="shared" si="50"/>
        <v>3</v>
      </c>
      <c r="H539">
        <f t="shared" si="51"/>
        <v>2</v>
      </c>
      <c r="I539" t="str">
        <f t="shared" ca="1" si="52"/>
        <v>332</v>
      </c>
      <c r="J539" t="str">
        <f t="shared" ca="1" si="53"/>
        <v>Regular</v>
      </c>
    </row>
    <row r="540" spans="1:10" x14ac:dyDescent="0.35">
      <c r="A540" t="s">
        <v>2326</v>
      </c>
      <c r="B540" s="2">
        <f>_xlfn.MAXIFS(clean_sales!P:P,clean_sales!C:C,RFM_Analysis!A540)</f>
        <v>45824</v>
      </c>
      <c r="C540">
        <f t="shared" ca="1" si="48"/>
        <v>204</v>
      </c>
      <c r="D540">
        <f>COUNTIFS(clean_sales!C:C,RFM_Analysis!A540)</f>
        <v>1</v>
      </c>
      <c r="E540">
        <f>SUMIFS(clean_sales!T:T,clean_sales!C:C,RFM_Analysis!A540)</f>
        <v>325000</v>
      </c>
      <c r="F540">
        <f t="shared" ca="1" si="49"/>
        <v>2</v>
      </c>
      <c r="G540">
        <f t="shared" si="50"/>
        <v>1</v>
      </c>
      <c r="H540">
        <f t="shared" si="51"/>
        <v>5</v>
      </c>
      <c r="I540" t="str">
        <f t="shared" ca="1" si="52"/>
        <v>215</v>
      </c>
      <c r="J540" t="str">
        <f t="shared" ca="1" si="53"/>
        <v>At Risk</v>
      </c>
    </row>
    <row r="541" spans="1:10" x14ac:dyDescent="0.35">
      <c r="A541" t="s">
        <v>2327</v>
      </c>
      <c r="B541" s="2">
        <f>_xlfn.MAXIFS(clean_sales!P:P,clean_sales!C:C,RFM_Analysis!A541)</f>
        <v>45949</v>
      </c>
      <c r="C541">
        <f t="shared" ca="1" si="48"/>
        <v>79</v>
      </c>
      <c r="D541">
        <f>COUNTIFS(clean_sales!C:C,RFM_Analysis!A541)</f>
        <v>1</v>
      </c>
      <c r="E541">
        <f>SUMIFS(clean_sales!T:T,clean_sales!C:C,RFM_Analysis!A541)</f>
        <v>7200</v>
      </c>
      <c r="F541">
        <f t="shared" ca="1" si="49"/>
        <v>4</v>
      </c>
      <c r="G541">
        <f t="shared" si="50"/>
        <v>1</v>
      </c>
      <c r="H541">
        <f t="shared" si="51"/>
        <v>1</v>
      </c>
      <c r="I541" t="str">
        <f t="shared" ca="1" si="52"/>
        <v>411</v>
      </c>
      <c r="J541" t="str">
        <f t="shared" ca="1" si="53"/>
        <v>Regular</v>
      </c>
    </row>
    <row r="542" spans="1:10" x14ac:dyDescent="0.35">
      <c r="A542" t="s">
        <v>2328</v>
      </c>
      <c r="B542" s="2">
        <f>_xlfn.MAXIFS(clean_sales!P:P,clean_sales!C:C,RFM_Analysis!A542)</f>
        <v>45828</v>
      </c>
      <c r="C542">
        <f t="shared" ca="1" si="48"/>
        <v>200</v>
      </c>
      <c r="D542">
        <f>COUNTIFS(clean_sales!C:C,RFM_Analysis!A542)</f>
        <v>2</v>
      </c>
      <c r="E542">
        <f>SUMIFS(clean_sales!T:T,clean_sales!C:C,RFM_Analysis!A542)</f>
        <v>62500</v>
      </c>
      <c r="F542">
        <f t="shared" ca="1" si="49"/>
        <v>2</v>
      </c>
      <c r="G542">
        <f t="shared" si="50"/>
        <v>3</v>
      </c>
      <c r="H542">
        <f t="shared" si="51"/>
        <v>3</v>
      </c>
      <c r="I542" t="str">
        <f t="shared" ca="1" si="52"/>
        <v>233</v>
      </c>
      <c r="J542" t="str">
        <f t="shared" ca="1" si="53"/>
        <v>At Risk</v>
      </c>
    </row>
    <row r="543" spans="1:10" x14ac:dyDescent="0.35">
      <c r="A543" t="s">
        <v>2329</v>
      </c>
      <c r="B543" s="2">
        <f>_xlfn.MAXIFS(clean_sales!P:P,clean_sales!C:C,RFM_Analysis!A543)</f>
        <v>45820</v>
      </c>
      <c r="C543">
        <f t="shared" ca="1" si="48"/>
        <v>208</v>
      </c>
      <c r="D543">
        <f>COUNTIFS(clean_sales!C:C,RFM_Analysis!A543)</f>
        <v>2</v>
      </c>
      <c r="E543">
        <f>SUMIFS(clean_sales!T:T,clean_sales!C:C,RFM_Analysis!A543)</f>
        <v>53400</v>
      </c>
      <c r="F543">
        <f t="shared" ca="1" si="49"/>
        <v>2</v>
      </c>
      <c r="G543">
        <f t="shared" si="50"/>
        <v>3</v>
      </c>
      <c r="H543">
        <f t="shared" si="51"/>
        <v>2</v>
      </c>
      <c r="I543" t="str">
        <f t="shared" ca="1" si="52"/>
        <v>232</v>
      </c>
      <c r="J543" t="str">
        <f t="shared" ca="1" si="53"/>
        <v>At Risk</v>
      </c>
    </row>
    <row r="544" spans="1:10" x14ac:dyDescent="0.35">
      <c r="A544" t="s">
        <v>2330</v>
      </c>
      <c r="B544" s="2">
        <f>_xlfn.MAXIFS(clean_sales!P:P,clean_sales!C:C,RFM_Analysis!A544)</f>
        <v>45674</v>
      </c>
      <c r="C544">
        <f t="shared" ca="1" si="48"/>
        <v>354</v>
      </c>
      <c r="D544">
        <f>COUNTIFS(clean_sales!C:C,RFM_Analysis!A544)</f>
        <v>1</v>
      </c>
      <c r="E544">
        <f>SUMIFS(clean_sales!T:T,clean_sales!C:C,RFM_Analysis!A544)</f>
        <v>4500</v>
      </c>
      <c r="F544">
        <f t="shared" ca="1" si="49"/>
        <v>1</v>
      </c>
      <c r="G544">
        <f t="shared" si="50"/>
        <v>1</v>
      </c>
      <c r="H544">
        <f t="shared" si="51"/>
        <v>1</v>
      </c>
      <c r="I544" t="str">
        <f t="shared" ca="1" si="52"/>
        <v>111</v>
      </c>
      <c r="J544" t="str">
        <f t="shared" ca="1" si="53"/>
        <v>At Risk</v>
      </c>
    </row>
    <row r="545" spans="1:10" x14ac:dyDescent="0.35">
      <c r="A545" t="s">
        <v>2331</v>
      </c>
      <c r="B545" s="2">
        <f>_xlfn.MAXIFS(clean_sales!P:P,clean_sales!C:C,RFM_Analysis!A545)</f>
        <v>45918</v>
      </c>
      <c r="C545">
        <f t="shared" ca="1" si="48"/>
        <v>110</v>
      </c>
      <c r="D545">
        <f>COUNTIFS(clean_sales!C:C,RFM_Analysis!A545)</f>
        <v>1</v>
      </c>
      <c r="E545">
        <f>SUMIFS(clean_sales!T:T,clean_sales!C:C,RFM_Analysis!A545)</f>
        <v>260000</v>
      </c>
      <c r="F545">
        <f t="shared" ca="1" si="49"/>
        <v>3</v>
      </c>
      <c r="G545">
        <f t="shared" si="50"/>
        <v>1</v>
      </c>
      <c r="H545">
        <f t="shared" si="51"/>
        <v>4</v>
      </c>
      <c r="I545" t="str">
        <f t="shared" ca="1" si="52"/>
        <v>314</v>
      </c>
      <c r="J545" t="str">
        <f t="shared" ca="1" si="53"/>
        <v>Regular</v>
      </c>
    </row>
    <row r="546" spans="1:10" x14ac:dyDescent="0.35">
      <c r="A546" t="s">
        <v>2332</v>
      </c>
      <c r="B546" s="2">
        <f>_xlfn.MAXIFS(clean_sales!P:P,clean_sales!C:C,RFM_Analysis!A546)</f>
        <v>45677</v>
      </c>
      <c r="C546">
        <f t="shared" ca="1" si="48"/>
        <v>351</v>
      </c>
      <c r="D546">
        <f>COUNTIFS(clean_sales!C:C,RFM_Analysis!A546)</f>
        <v>1</v>
      </c>
      <c r="E546">
        <f>SUMIFS(clean_sales!T:T,clean_sales!C:C,RFM_Analysis!A546)</f>
        <v>5400</v>
      </c>
      <c r="F546">
        <f t="shared" ca="1" si="49"/>
        <v>1</v>
      </c>
      <c r="G546">
        <f t="shared" si="50"/>
        <v>1</v>
      </c>
      <c r="H546">
        <f t="shared" si="51"/>
        <v>1</v>
      </c>
      <c r="I546" t="str">
        <f t="shared" ca="1" si="52"/>
        <v>111</v>
      </c>
      <c r="J546" t="str">
        <f t="shared" ca="1" si="53"/>
        <v>At Risk</v>
      </c>
    </row>
    <row r="547" spans="1:10" x14ac:dyDescent="0.35">
      <c r="A547" t="s">
        <v>2333</v>
      </c>
      <c r="B547" s="2">
        <f>_xlfn.MAXIFS(clean_sales!P:P,clean_sales!C:C,RFM_Analysis!A547)</f>
        <v>45956</v>
      </c>
      <c r="C547">
        <f t="shared" ca="1" si="48"/>
        <v>72</v>
      </c>
      <c r="D547">
        <f>COUNTIFS(clean_sales!C:C,RFM_Analysis!A547)</f>
        <v>1</v>
      </c>
      <c r="E547">
        <f>SUMIFS(clean_sales!T:T,clean_sales!C:C,RFM_Analysis!A547)</f>
        <v>5400</v>
      </c>
      <c r="F547">
        <f t="shared" ca="1" si="49"/>
        <v>4</v>
      </c>
      <c r="G547">
        <f t="shared" si="50"/>
        <v>1</v>
      </c>
      <c r="H547">
        <f t="shared" si="51"/>
        <v>1</v>
      </c>
      <c r="I547" t="str">
        <f t="shared" ca="1" si="52"/>
        <v>411</v>
      </c>
      <c r="J547" t="str">
        <f t="shared" ca="1" si="53"/>
        <v>Regular</v>
      </c>
    </row>
    <row r="548" spans="1:10" x14ac:dyDescent="0.35">
      <c r="A548" t="s">
        <v>2334</v>
      </c>
      <c r="B548" s="2">
        <f>_xlfn.MAXIFS(clean_sales!P:P,clean_sales!C:C,RFM_Analysis!A548)</f>
        <v>45989</v>
      </c>
      <c r="C548">
        <f t="shared" ca="1" si="48"/>
        <v>39</v>
      </c>
      <c r="D548">
        <f>COUNTIFS(clean_sales!C:C,RFM_Analysis!A548)</f>
        <v>2</v>
      </c>
      <c r="E548">
        <f>SUMIFS(clean_sales!T:T,clean_sales!C:C,RFM_Analysis!A548)</f>
        <v>57000</v>
      </c>
      <c r="F548">
        <f t="shared" ca="1" si="49"/>
        <v>5</v>
      </c>
      <c r="G548">
        <f t="shared" si="50"/>
        <v>3</v>
      </c>
      <c r="H548">
        <f t="shared" si="51"/>
        <v>2</v>
      </c>
      <c r="I548" t="str">
        <f t="shared" ca="1" si="52"/>
        <v>532</v>
      </c>
      <c r="J548" t="str">
        <f t="shared" ca="1" si="53"/>
        <v>Regular</v>
      </c>
    </row>
    <row r="549" spans="1:10" x14ac:dyDescent="0.35">
      <c r="A549" t="s">
        <v>2335</v>
      </c>
      <c r="B549" s="2">
        <f>_xlfn.MAXIFS(clean_sales!P:P,clean_sales!C:C,RFM_Analysis!A549)</f>
        <v>45985</v>
      </c>
      <c r="C549">
        <f t="shared" ca="1" si="48"/>
        <v>43</v>
      </c>
      <c r="D549">
        <f>COUNTIFS(clean_sales!C:C,RFM_Analysis!A549)</f>
        <v>2</v>
      </c>
      <c r="E549">
        <f>SUMIFS(clean_sales!T:T,clean_sales!C:C,RFM_Analysis!A549)</f>
        <v>202000</v>
      </c>
      <c r="F549">
        <f t="shared" ca="1" si="49"/>
        <v>5</v>
      </c>
      <c r="G549">
        <f t="shared" si="50"/>
        <v>3</v>
      </c>
      <c r="H549">
        <f t="shared" si="51"/>
        <v>4</v>
      </c>
      <c r="I549" t="str">
        <f t="shared" ca="1" si="52"/>
        <v>534</v>
      </c>
      <c r="J549" t="str">
        <f t="shared" ca="1" si="53"/>
        <v>Regular</v>
      </c>
    </row>
    <row r="550" spans="1:10" x14ac:dyDescent="0.35">
      <c r="A550" t="s">
        <v>2336</v>
      </c>
      <c r="B550" s="2">
        <f>_xlfn.MAXIFS(clean_sales!P:P,clean_sales!C:C,RFM_Analysis!A550)</f>
        <v>45942</v>
      </c>
      <c r="C550">
        <f t="shared" ca="1" si="48"/>
        <v>86</v>
      </c>
      <c r="D550">
        <f>COUNTIFS(clean_sales!C:C,RFM_Analysis!A550)</f>
        <v>2</v>
      </c>
      <c r="E550">
        <f>SUMIFS(clean_sales!T:T,clean_sales!C:C,RFM_Analysis!A550)</f>
        <v>16200</v>
      </c>
      <c r="F550">
        <f t="shared" ca="1" si="49"/>
        <v>4</v>
      </c>
      <c r="G550">
        <f t="shared" si="50"/>
        <v>3</v>
      </c>
      <c r="H550">
        <f t="shared" si="51"/>
        <v>2</v>
      </c>
      <c r="I550" t="str">
        <f t="shared" ca="1" si="52"/>
        <v>432</v>
      </c>
      <c r="J550" t="str">
        <f t="shared" ca="1" si="53"/>
        <v>Regular</v>
      </c>
    </row>
    <row r="551" spans="1:10" x14ac:dyDescent="0.35">
      <c r="A551" t="s">
        <v>2337</v>
      </c>
      <c r="B551" s="2">
        <f>_xlfn.MAXIFS(clean_sales!P:P,clean_sales!C:C,RFM_Analysis!A551)</f>
        <v>46020</v>
      </c>
      <c r="C551">
        <f t="shared" ca="1" si="48"/>
        <v>8</v>
      </c>
      <c r="D551">
        <f>COUNTIFS(clean_sales!C:C,RFM_Analysis!A551)</f>
        <v>2</v>
      </c>
      <c r="E551">
        <f>SUMIFS(clean_sales!T:T,clean_sales!C:C,RFM_Analysis!A551)</f>
        <v>242000</v>
      </c>
      <c r="F551">
        <f t="shared" ca="1" si="49"/>
        <v>5</v>
      </c>
      <c r="G551">
        <f t="shared" si="50"/>
        <v>3</v>
      </c>
      <c r="H551">
        <f t="shared" si="51"/>
        <v>4</v>
      </c>
      <c r="I551" t="str">
        <f t="shared" ca="1" si="52"/>
        <v>534</v>
      </c>
      <c r="J551" t="str">
        <f t="shared" ca="1" si="53"/>
        <v>Regular</v>
      </c>
    </row>
    <row r="552" spans="1:10" x14ac:dyDescent="0.35">
      <c r="A552" t="s">
        <v>2338</v>
      </c>
      <c r="B552" s="2">
        <f>_xlfn.MAXIFS(clean_sales!P:P,clean_sales!C:C,RFM_Analysis!A552)</f>
        <v>45665</v>
      </c>
      <c r="C552">
        <f t="shared" ca="1" si="48"/>
        <v>363</v>
      </c>
      <c r="D552">
        <f>COUNTIFS(clean_sales!C:C,RFM_Analysis!A552)</f>
        <v>1</v>
      </c>
      <c r="E552">
        <f>SUMIFS(clean_sales!T:T,clean_sales!C:C,RFM_Analysis!A552)</f>
        <v>4500</v>
      </c>
      <c r="F552">
        <f t="shared" ca="1" si="49"/>
        <v>1</v>
      </c>
      <c r="G552">
        <f t="shared" si="50"/>
        <v>1</v>
      </c>
      <c r="H552">
        <f t="shared" si="51"/>
        <v>1</v>
      </c>
      <c r="I552" t="str">
        <f t="shared" ca="1" si="52"/>
        <v>111</v>
      </c>
      <c r="J552" t="str">
        <f t="shared" ca="1" si="53"/>
        <v>At Risk</v>
      </c>
    </row>
    <row r="553" spans="1:10" x14ac:dyDescent="0.35">
      <c r="A553" t="s">
        <v>2339</v>
      </c>
      <c r="B553" s="2">
        <f>_xlfn.MAXIFS(clean_sales!P:P,clean_sales!C:C,RFM_Analysis!A553)</f>
        <v>45920</v>
      </c>
      <c r="C553">
        <f t="shared" ca="1" si="48"/>
        <v>108</v>
      </c>
      <c r="D553">
        <f>COUNTIFS(clean_sales!C:C,RFM_Analysis!A553)</f>
        <v>2</v>
      </c>
      <c r="E553">
        <f>SUMIFS(clean_sales!T:T,clean_sales!C:C,RFM_Analysis!A553)</f>
        <v>550000</v>
      </c>
      <c r="F553">
        <f t="shared" ca="1" si="49"/>
        <v>4</v>
      </c>
      <c r="G553">
        <f t="shared" si="50"/>
        <v>3</v>
      </c>
      <c r="H553">
        <f t="shared" si="51"/>
        <v>5</v>
      </c>
      <c r="I553" t="str">
        <f t="shared" ca="1" si="52"/>
        <v>435</v>
      </c>
      <c r="J553" t="str">
        <f t="shared" ca="1" si="53"/>
        <v>Regular</v>
      </c>
    </row>
    <row r="554" spans="1:10" x14ac:dyDescent="0.35">
      <c r="A554" t="s">
        <v>2340</v>
      </c>
      <c r="B554" s="2">
        <f>_xlfn.MAXIFS(clean_sales!P:P,clean_sales!C:C,RFM_Analysis!A554)</f>
        <v>45923</v>
      </c>
      <c r="C554">
        <f t="shared" ca="1" si="48"/>
        <v>105</v>
      </c>
      <c r="D554">
        <f>COUNTIFS(clean_sales!C:C,RFM_Analysis!A554)</f>
        <v>1</v>
      </c>
      <c r="E554">
        <f>SUMIFS(clean_sales!T:T,clean_sales!C:C,RFM_Analysis!A554)</f>
        <v>9000</v>
      </c>
      <c r="F554">
        <f t="shared" ca="1" si="49"/>
        <v>4</v>
      </c>
      <c r="G554">
        <f t="shared" si="50"/>
        <v>1</v>
      </c>
      <c r="H554">
        <f t="shared" si="51"/>
        <v>1</v>
      </c>
      <c r="I554" t="str">
        <f t="shared" ca="1" si="52"/>
        <v>411</v>
      </c>
      <c r="J554" t="str">
        <f t="shared" ca="1" si="53"/>
        <v>Regular</v>
      </c>
    </row>
    <row r="555" spans="1:10" x14ac:dyDescent="0.35">
      <c r="A555" t="s">
        <v>2341</v>
      </c>
      <c r="B555" s="2">
        <f>_xlfn.MAXIFS(clean_sales!P:P,clean_sales!C:C,RFM_Analysis!A555)</f>
        <v>45827</v>
      </c>
      <c r="C555">
        <f t="shared" ca="1" si="48"/>
        <v>201</v>
      </c>
      <c r="D555">
        <f>COUNTIFS(clean_sales!C:C,RFM_Analysis!A555)</f>
        <v>2</v>
      </c>
      <c r="E555">
        <f>SUMIFS(clean_sales!T:T,clean_sales!C:C,RFM_Analysis!A555)</f>
        <v>308000</v>
      </c>
      <c r="F555">
        <f t="shared" ca="1" si="49"/>
        <v>2</v>
      </c>
      <c r="G555">
        <f t="shared" si="50"/>
        <v>3</v>
      </c>
      <c r="H555">
        <f t="shared" si="51"/>
        <v>4</v>
      </c>
      <c r="I555" t="str">
        <f t="shared" ca="1" si="52"/>
        <v>234</v>
      </c>
      <c r="J555" t="str">
        <f t="shared" ca="1" si="53"/>
        <v>At Risk</v>
      </c>
    </row>
    <row r="556" spans="1:10" x14ac:dyDescent="0.35">
      <c r="A556" t="s">
        <v>2342</v>
      </c>
      <c r="B556" s="2">
        <f>_xlfn.MAXIFS(clean_sales!P:P,clean_sales!C:C,RFM_Analysis!A556)</f>
        <v>45798</v>
      </c>
      <c r="C556">
        <f t="shared" ca="1" si="48"/>
        <v>230</v>
      </c>
      <c r="D556">
        <f>COUNTIFS(clean_sales!C:C,RFM_Analysis!A556)</f>
        <v>1</v>
      </c>
      <c r="E556">
        <f>SUMIFS(clean_sales!T:T,clean_sales!C:C,RFM_Analysis!A556)</f>
        <v>5000</v>
      </c>
      <c r="F556">
        <f t="shared" ca="1" si="49"/>
        <v>2</v>
      </c>
      <c r="G556">
        <f t="shared" si="50"/>
        <v>1</v>
      </c>
      <c r="H556">
        <f t="shared" si="51"/>
        <v>1</v>
      </c>
      <c r="I556" t="str">
        <f t="shared" ca="1" si="52"/>
        <v>211</v>
      </c>
      <c r="J556" t="str">
        <f t="shared" ca="1" si="53"/>
        <v>At Risk</v>
      </c>
    </row>
    <row r="557" spans="1:10" x14ac:dyDescent="0.35">
      <c r="A557" t="s">
        <v>2343</v>
      </c>
      <c r="B557" s="2">
        <f>_xlfn.MAXIFS(clean_sales!P:P,clean_sales!C:C,RFM_Analysis!A557)</f>
        <v>45911</v>
      </c>
      <c r="C557">
        <f t="shared" ca="1" si="48"/>
        <v>117</v>
      </c>
      <c r="D557">
        <f>COUNTIFS(clean_sales!C:C,RFM_Analysis!A557)</f>
        <v>1</v>
      </c>
      <c r="E557">
        <f>SUMIFS(clean_sales!T:T,clean_sales!C:C,RFM_Analysis!A557)</f>
        <v>260000</v>
      </c>
      <c r="F557">
        <f t="shared" ca="1" si="49"/>
        <v>3</v>
      </c>
      <c r="G557">
        <f t="shared" si="50"/>
        <v>1</v>
      </c>
      <c r="H557">
        <f t="shared" si="51"/>
        <v>4</v>
      </c>
      <c r="I557" t="str">
        <f t="shared" ca="1" si="52"/>
        <v>314</v>
      </c>
      <c r="J557" t="str">
        <f t="shared" ca="1" si="53"/>
        <v>Regular</v>
      </c>
    </row>
    <row r="558" spans="1:10" x14ac:dyDescent="0.35">
      <c r="A558" t="s">
        <v>2344</v>
      </c>
      <c r="B558" s="2">
        <f>_xlfn.MAXIFS(clean_sales!P:P,clean_sales!C:C,RFM_Analysis!A558)</f>
        <v>45863</v>
      </c>
      <c r="C558">
        <f t="shared" ca="1" si="48"/>
        <v>165</v>
      </c>
      <c r="D558">
        <f>COUNTIFS(clean_sales!C:C,RFM_Analysis!A558)</f>
        <v>2</v>
      </c>
      <c r="E558">
        <f>SUMIFS(clean_sales!T:T,clean_sales!C:C,RFM_Analysis!A558)</f>
        <v>361000</v>
      </c>
      <c r="F558">
        <f t="shared" ca="1" si="49"/>
        <v>3</v>
      </c>
      <c r="G558">
        <f t="shared" si="50"/>
        <v>3</v>
      </c>
      <c r="H558">
        <f t="shared" si="51"/>
        <v>5</v>
      </c>
      <c r="I558" t="str">
        <f t="shared" ca="1" si="52"/>
        <v>335</v>
      </c>
      <c r="J558" t="str">
        <f t="shared" ca="1" si="53"/>
        <v>Regular</v>
      </c>
    </row>
    <row r="559" spans="1:10" x14ac:dyDescent="0.35">
      <c r="A559" t="s">
        <v>2345</v>
      </c>
      <c r="B559" s="2">
        <f>_xlfn.MAXIFS(clean_sales!P:P,clean_sales!C:C,RFM_Analysis!A559)</f>
        <v>45922</v>
      </c>
      <c r="C559">
        <f t="shared" ca="1" si="48"/>
        <v>106</v>
      </c>
      <c r="D559">
        <f>COUNTIFS(clean_sales!C:C,RFM_Analysis!A559)</f>
        <v>3</v>
      </c>
      <c r="E559">
        <f>SUMIFS(clean_sales!T:T,clean_sales!C:C,RFM_Analysis!A559)</f>
        <v>341200</v>
      </c>
      <c r="F559">
        <f t="shared" ca="1" si="49"/>
        <v>4</v>
      </c>
      <c r="G559">
        <f t="shared" si="50"/>
        <v>5</v>
      </c>
      <c r="H559">
        <f t="shared" si="51"/>
        <v>5</v>
      </c>
      <c r="I559" t="str">
        <f t="shared" ca="1" si="52"/>
        <v>455</v>
      </c>
      <c r="J559" t="str">
        <f t="shared" ca="1" si="53"/>
        <v>Loyal</v>
      </c>
    </row>
    <row r="560" spans="1:10" x14ac:dyDescent="0.35">
      <c r="A560" t="s">
        <v>2346</v>
      </c>
      <c r="B560" s="2">
        <f>_xlfn.MAXIFS(clean_sales!P:P,clean_sales!C:C,RFM_Analysis!A560)</f>
        <v>45900</v>
      </c>
      <c r="C560">
        <f t="shared" ca="1" si="48"/>
        <v>128</v>
      </c>
      <c r="D560">
        <f>COUNTIFS(clean_sales!C:C,RFM_Analysis!A560)</f>
        <v>2</v>
      </c>
      <c r="E560">
        <f>SUMIFS(clean_sales!T:T,clean_sales!C:C,RFM_Analysis!A560)</f>
        <v>355000</v>
      </c>
      <c r="F560">
        <f t="shared" ca="1" si="49"/>
        <v>3</v>
      </c>
      <c r="G560">
        <f t="shared" si="50"/>
        <v>3</v>
      </c>
      <c r="H560">
        <f t="shared" si="51"/>
        <v>5</v>
      </c>
      <c r="I560" t="str">
        <f t="shared" ca="1" si="52"/>
        <v>335</v>
      </c>
      <c r="J560" t="str">
        <f t="shared" ca="1" si="53"/>
        <v>Regular</v>
      </c>
    </row>
    <row r="561" spans="1:10" x14ac:dyDescent="0.35">
      <c r="A561" t="s">
        <v>2347</v>
      </c>
      <c r="B561" s="2">
        <f>_xlfn.MAXIFS(clean_sales!P:P,clean_sales!C:C,RFM_Analysis!A561)</f>
        <v>45844</v>
      </c>
      <c r="C561">
        <f t="shared" ca="1" si="48"/>
        <v>184</v>
      </c>
      <c r="D561">
        <f>COUNTIFS(clean_sales!C:C,RFM_Analysis!A561)</f>
        <v>1</v>
      </c>
      <c r="E561">
        <f>SUMIFS(clean_sales!T:T,clean_sales!C:C,RFM_Analysis!A561)</f>
        <v>10000</v>
      </c>
      <c r="F561">
        <f t="shared" ca="1" si="49"/>
        <v>2</v>
      </c>
      <c r="G561">
        <f t="shared" si="50"/>
        <v>1</v>
      </c>
      <c r="H561">
        <f t="shared" si="51"/>
        <v>1</v>
      </c>
      <c r="I561" t="str">
        <f t="shared" ca="1" si="52"/>
        <v>211</v>
      </c>
      <c r="J561" t="str">
        <f t="shared" ca="1" si="53"/>
        <v>At Risk</v>
      </c>
    </row>
    <row r="562" spans="1:10" x14ac:dyDescent="0.35">
      <c r="A562" t="s">
        <v>2348</v>
      </c>
      <c r="B562" s="2">
        <f>_xlfn.MAXIFS(clean_sales!P:P,clean_sales!C:C,RFM_Analysis!A562)</f>
        <v>45884</v>
      </c>
      <c r="C562">
        <f t="shared" ca="1" si="48"/>
        <v>144</v>
      </c>
      <c r="D562">
        <f>COUNTIFS(clean_sales!C:C,RFM_Analysis!A562)</f>
        <v>1</v>
      </c>
      <c r="E562">
        <f>SUMIFS(clean_sales!T:T,clean_sales!C:C,RFM_Analysis!A562)</f>
        <v>130000</v>
      </c>
      <c r="F562">
        <f t="shared" ca="1" si="49"/>
        <v>3</v>
      </c>
      <c r="G562">
        <f t="shared" si="50"/>
        <v>1</v>
      </c>
      <c r="H562">
        <f t="shared" si="51"/>
        <v>3</v>
      </c>
      <c r="I562" t="str">
        <f t="shared" ca="1" si="52"/>
        <v>313</v>
      </c>
      <c r="J562" t="str">
        <f t="shared" ca="1" si="53"/>
        <v>Regular</v>
      </c>
    </row>
    <row r="563" spans="1:10" x14ac:dyDescent="0.35">
      <c r="A563" t="s">
        <v>2349</v>
      </c>
      <c r="B563" s="2">
        <f>_xlfn.MAXIFS(clean_sales!P:P,clean_sales!C:C,RFM_Analysis!A563)</f>
        <v>45972</v>
      </c>
      <c r="C563">
        <f t="shared" ca="1" si="48"/>
        <v>56</v>
      </c>
      <c r="D563">
        <f>COUNTIFS(clean_sales!C:C,RFM_Analysis!A563)</f>
        <v>2</v>
      </c>
      <c r="E563">
        <f>SUMIFS(clean_sales!T:T,clean_sales!C:C,RFM_Analysis!A563)</f>
        <v>11700</v>
      </c>
      <c r="F563">
        <f t="shared" ca="1" si="49"/>
        <v>4</v>
      </c>
      <c r="G563">
        <f t="shared" si="50"/>
        <v>3</v>
      </c>
      <c r="H563">
        <f t="shared" si="51"/>
        <v>1</v>
      </c>
      <c r="I563" t="str">
        <f t="shared" ca="1" si="52"/>
        <v>431</v>
      </c>
      <c r="J563" t="str">
        <f t="shared" ca="1" si="53"/>
        <v>Regular</v>
      </c>
    </row>
    <row r="564" spans="1:10" x14ac:dyDescent="0.35">
      <c r="A564" t="s">
        <v>2350</v>
      </c>
      <c r="B564" s="2">
        <f>_xlfn.MAXIFS(clean_sales!P:P,clean_sales!C:C,RFM_Analysis!A564)</f>
        <v>46021</v>
      </c>
      <c r="C564">
        <f t="shared" ca="1" si="48"/>
        <v>7</v>
      </c>
      <c r="D564">
        <f>COUNTIFS(clean_sales!C:C,RFM_Analysis!A564)</f>
        <v>2</v>
      </c>
      <c r="E564">
        <f>SUMIFS(clean_sales!T:T,clean_sales!C:C,RFM_Analysis!A564)</f>
        <v>255000</v>
      </c>
      <c r="F564">
        <f t="shared" ca="1" si="49"/>
        <v>5</v>
      </c>
      <c r="G564">
        <f t="shared" si="50"/>
        <v>3</v>
      </c>
      <c r="H564">
        <f t="shared" si="51"/>
        <v>4</v>
      </c>
      <c r="I564" t="str">
        <f t="shared" ca="1" si="52"/>
        <v>534</v>
      </c>
      <c r="J564" t="str">
        <f t="shared" ca="1" si="53"/>
        <v>Regular</v>
      </c>
    </row>
    <row r="565" spans="1:10" x14ac:dyDescent="0.35">
      <c r="A565" t="s">
        <v>2351</v>
      </c>
      <c r="B565" s="2">
        <f>_xlfn.MAXIFS(clean_sales!P:P,clean_sales!C:C,RFM_Analysis!A565)</f>
        <v>45980</v>
      </c>
      <c r="C565">
        <f t="shared" ca="1" si="48"/>
        <v>48</v>
      </c>
      <c r="D565">
        <f>COUNTIFS(clean_sales!C:C,RFM_Analysis!A565)</f>
        <v>3</v>
      </c>
      <c r="E565">
        <f>SUMIFS(clean_sales!T:T,clean_sales!C:C,RFM_Analysis!A565)</f>
        <v>471000</v>
      </c>
      <c r="F565">
        <f t="shared" ca="1" si="49"/>
        <v>5</v>
      </c>
      <c r="G565">
        <f t="shared" si="50"/>
        <v>5</v>
      </c>
      <c r="H565">
        <f t="shared" si="51"/>
        <v>5</v>
      </c>
      <c r="I565" t="str">
        <f t="shared" ca="1" si="52"/>
        <v>555</v>
      </c>
      <c r="J565" t="str">
        <f t="shared" ca="1" si="53"/>
        <v>Champions</v>
      </c>
    </row>
    <row r="566" spans="1:10" x14ac:dyDescent="0.35">
      <c r="A566" t="s">
        <v>2352</v>
      </c>
      <c r="B566" s="2">
        <f>_xlfn.MAXIFS(clean_sales!P:P,clean_sales!C:C,RFM_Analysis!A566)</f>
        <v>45997</v>
      </c>
      <c r="C566">
        <f t="shared" ca="1" si="48"/>
        <v>31</v>
      </c>
      <c r="D566">
        <f>COUNTIFS(clean_sales!C:C,RFM_Analysis!A566)</f>
        <v>1</v>
      </c>
      <c r="E566">
        <f>SUMIFS(clean_sales!T:T,clean_sales!C:C,RFM_Analysis!A566)</f>
        <v>195000</v>
      </c>
      <c r="F566">
        <f t="shared" ca="1" si="49"/>
        <v>5</v>
      </c>
      <c r="G566">
        <f t="shared" si="50"/>
        <v>1</v>
      </c>
      <c r="H566">
        <f t="shared" si="51"/>
        <v>4</v>
      </c>
      <c r="I566" t="str">
        <f t="shared" ca="1" si="52"/>
        <v>514</v>
      </c>
      <c r="J566" t="str">
        <f t="shared" ca="1" si="53"/>
        <v>Regular</v>
      </c>
    </row>
    <row r="567" spans="1:10" x14ac:dyDescent="0.35">
      <c r="A567" t="s">
        <v>2353</v>
      </c>
      <c r="B567" s="2">
        <f>_xlfn.MAXIFS(clean_sales!P:P,clean_sales!C:C,RFM_Analysis!A567)</f>
        <v>45841</v>
      </c>
      <c r="C567">
        <f t="shared" ca="1" si="48"/>
        <v>187</v>
      </c>
      <c r="D567">
        <f>COUNTIFS(clean_sales!C:C,RFM_Analysis!A567)</f>
        <v>2</v>
      </c>
      <c r="E567">
        <f>SUMIFS(clean_sales!T:T,clean_sales!C:C,RFM_Analysis!A567)</f>
        <v>27500</v>
      </c>
      <c r="F567">
        <f t="shared" ca="1" si="49"/>
        <v>2</v>
      </c>
      <c r="G567">
        <f t="shared" si="50"/>
        <v>3</v>
      </c>
      <c r="H567">
        <f t="shared" si="51"/>
        <v>2</v>
      </c>
      <c r="I567" t="str">
        <f t="shared" ca="1" si="52"/>
        <v>232</v>
      </c>
      <c r="J567" t="str">
        <f t="shared" ca="1" si="53"/>
        <v>At Risk</v>
      </c>
    </row>
    <row r="568" spans="1:10" x14ac:dyDescent="0.35">
      <c r="A568" t="s">
        <v>2354</v>
      </c>
      <c r="B568" s="2">
        <f>_xlfn.MAXIFS(clean_sales!P:P,clean_sales!C:C,RFM_Analysis!A568)</f>
        <v>45788</v>
      </c>
      <c r="C568">
        <f t="shared" ca="1" si="48"/>
        <v>240</v>
      </c>
      <c r="D568">
        <f>COUNTIFS(clean_sales!C:C,RFM_Analysis!A568)</f>
        <v>1</v>
      </c>
      <c r="E568">
        <f>SUMIFS(clean_sales!T:T,clean_sales!C:C,RFM_Analysis!A568)</f>
        <v>144000</v>
      </c>
      <c r="F568">
        <f t="shared" ca="1" si="49"/>
        <v>1</v>
      </c>
      <c r="G568">
        <f t="shared" si="50"/>
        <v>1</v>
      </c>
      <c r="H568">
        <f t="shared" si="51"/>
        <v>3</v>
      </c>
      <c r="I568" t="str">
        <f t="shared" ca="1" si="52"/>
        <v>113</v>
      </c>
      <c r="J568" t="str">
        <f t="shared" ca="1" si="53"/>
        <v>At Risk</v>
      </c>
    </row>
    <row r="569" spans="1:10" x14ac:dyDescent="0.35">
      <c r="A569" t="s">
        <v>2355</v>
      </c>
      <c r="B569" s="2">
        <f>_xlfn.MAXIFS(clean_sales!P:P,clean_sales!C:C,RFM_Analysis!A569)</f>
        <v>45874</v>
      </c>
      <c r="C569">
        <f t="shared" ca="1" si="48"/>
        <v>154</v>
      </c>
      <c r="D569">
        <f>COUNTIFS(clean_sales!C:C,RFM_Analysis!A569)</f>
        <v>2</v>
      </c>
      <c r="E569">
        <f>SUMIFS(clean_sales!T:T,clean_sales!C:C,RFM_Analysis!A569)</f>
        <v>61800</v>
      </c>
      <c r="F569">
        <f t="shared" ca="1" si="49"/>
        <v>3</v>
      </c>
      <c r="G569">
        <f t="shared" si="50"/>
        <v>3</v>
      </c>
      <c r="H569">
        <f t="shared" si="51"/>
        <v>3</v>
      </c>
      <c r="I569" t="str">
        <f t="shared" ca="1" si="52"/>
        <v>333</v>
      </c>
      <c r="J569" t="str">
        <f t="shared" ca="1" si="53"/>
        <v>Regular</v>
      </c>
    </row>
    <row r="570" spans="1:10" x14ac:dyDescent="0.35">
      <c r="A570" t="s">
        <v>2356</v>
      </c>
      <c r="B570" s="2">
        <f>_xlfn.MAXIFS(clean_sales!P:P,clean_sales!C:C,RFM_Analysis!A570)</f>
        <v>45871</v>
      </c>
      <c r="C570">
        <f t="shared" ca="1" si="48"/>
        <v>157</v>
      </c>
      <c r="D570">
        <f>COUNTIFS(clean_sales!C:C,RFM_Analysis!A570)</f>
        <v>1</v>
      </c>
      <c r="E570">
        <f>SUMIFS(clean_sales!T:T,clean_sales!C:C,RFM_Analysis!A570)</f>
        <v>9000</v>
      </c>
      <c r="F570">
        <f t="shared" ca="1" si="49"/>
        <v>3</v>
      </c>
      <c r="G570">
        <f t="shared" si="50"/>
        <v>1</v>
      </c>
      <c r="H570">
        <f t="shared" si="51"/>
        <v>1</v>
      </c>
      <c r="I570" t="str">
        <f t="shared" ca="1" si="52"/>
        <v>311</v>
      </c>
      <c r="J570" t="str">
        <f t="shared" ca="1" si="53"/>
        <v>Regular</v>
      </c>
    </row>
    <row r="571" spans="1:10" x14ac:dyDescent="0.35">
      <c r="A571" t="s">
        <v>2357</v>
      </c>
      <c r="B571" s="2">
        <f>_xlfn.MAXIFS(clean_sales!P:P,clean_sales!C:C,RFM_Analysis!A571)</f>
        <v>45803</v>
      </c>
      <c r="C571">
        <f t="shared" ca="1" si="48"/>
        <v>225</v>
      </c>
      <c r="D571">
        <f>COUNTIFS(clean_sales!C:C,RFM_Analysis!A571)</f>
        <v>1</v>
      </c>
      <c r="E571">
        <f>SUMIFS(clean_sales!T:T,clean_sales!C:C,RFM_Analysis!A571)</f>
        <v>4500</v>
      </c>
      <c r="F571">
        <f t="shared" ca="1" si="49"/>
        <v>2</v>
      </c>
      <c r="G571">
        <f t="shared" si="50"/>
        <v>1</v>
      </c>
      <c r="H571">
        <f t="shared" si="51"/>
        <v>1</v>
      </c>
      <c r="I571" t="str">
        <f t="shared" ca="1" si="52"/>
        <v>211</v>
      </c>
      <c r="J571" t="str">
        <f t="shared" ca="1" si="53"/>
        <v>At Risk</v>
      </c>
    </row>
    <row r="572" spans="1:10" x14ac:dyDescent="0.35">
      <c r="A572" t="s">
        <v>2358</v>
      </c>
      <c r="B572" s="2">
        <f>_xlfn.MAXIFS(clean_sales!P:P,clean_sales!C:C,RFM_Analysis!A572)</f>
        <v>45998</v>
      </c>
      <c r="C572">
        <f t="shared" ca="1" si="48"/>
        <v>30</v>
      </c>
      <c r="D572">
        <f>COUNTIFS(clean_sales!C:C,RFM_Analysis!A572)</f>
        <v>1</v>
      </c>
      <c r="E572">
        <f>SUMIFS(clean_sales!T:T,clean_sales!C:C,RFM_Analysis!A572)</f>
        <v>116000</v>
      </c>
      <c r="F572">
        <f t="shared" ca="1" si="49"/>
        <v>5</v>
      </c>
      <c r="G572">
        <f t="shared" si="50"/>
        <v>1</v>
      </c>
      <c r="H572">
        <f t="shared" si="51"/>
        <v>3</v>
      </c>
      <c r="I572" t="str">
        <f t="shared" ca="1" si="52"/>
        <v>513</v>
      </c>
      <c r="J572" t="str">
        <f t="shared" ca="1" si="53"/>
        <v>Regular</v>
      </c>
    </row>
    <row r="573" spans="1:10" x14ac:dyDescent="0.35">
      <c r="A573" t="s">
        <v>2359</v>
      </c>
      <c r="B573" s="2">
        <f>_xlfn.MAXIFS(clean_sales!P:P,clean_sales!C:C,RFM_Analysis!A573)</f>
        <v>45676</v>
      </c>
      <c r="C573">
        <f t="shared" ca="1" si="48"/>
        <v>352</v>
      </c>
      <c r="D573">
        <f>COUNTIFS(clean_sales!C:C,RFM_Analysis!A573)</f>
        <v>1</v>
      </c>
      <c r="E573">
        <f>SUMIFS(clean_sales!T:T,clean_sales!C:C,RFM_Analysis!A573)</f>
        <v>72000</v>
      </c>
      <c r="F573">
        <f t="shared" ca="1" si="49"/>
        <v>1</v>
      </c>
      <c r="G573">
        <f t="shared" si="50"/>
        <v>1</v>
      </c>
      <c r="H573">
        <f t="shared" si="51"/>
        <v>3</v>
      </c>
      <c r="I573" t="str">
        <f t="shared" ca="1" si="52"/>
        <v>113</v>
      </c>
      <c r="J573" t="str">
        <f t="shared" ca="1" si="53"/>
        <v>At Risk</v>
      </c>
    </row>
    <row r="574" spans="1:10" x14ac:dyDescent="0.35">
      <c r="A574" t="s">
        <v>2360</v>
      </c>
      <c r="B574" s="2">
        <f>_xlfn.MAXIFS(clean_sales!P:P,clean_sales!C:C,RFM_Analysis!A574)</f>
        <v>45666</v>
      </c>
      <c r="C574">
        <f t="shared" ca="1" si="48"/>
        <v>362</v>
      </c>
      <c r="D574">
        <f>COUNTIFS(clean_sales!C:C,RFM_Analysis!A574)</f>
        <v>1</v>
      </c>
      <c r="E574">
        <f>SUMIFS(clean_sales!T:T,clean_sales!C:C,RFM_Analysis!A574)</f>
        <v>216000</v>
      </c>
      <c r="F574">
        <f t="shared" ca="1" si="49"/>
        <v>1</v>
      </c>
      <c r="G574">
        <f t="shared" si="50"/>
        <v>1</v>
      </c>
      <c r="H574">
        <f t="shared" si="51"/>
        <v>4</v>
      </c>
      <c r="I574" t="str">
        <f t="shared" ca="1" si="52"/>
        <v>114</v>
      </c>
      <c r="J574" t="str">
        <f t="shared" ca="1" si="53"/>
        <v>At Risk</v>
      </c>
    </row>
    <row r="575" spans="1:10" x14ac:dyDescent="0.35">
      <c r="A575" t="s">
        <v>2361</v>
      </c>
      <c r="B575" s="2">
        <f>_xlfn.MAXIFS(clean_sales!P:P,clean_sales!C:C,RFM_Analysis!A575)</f>
        <v>45667</v>
      </c>
      <c r="C575">
        <f t="shared" ca="1" si="48"/>
        <v>361</v>
      </c>
      <c r="D575">
        <f>COUNTIFS(clean_sales!C:C,RFM_Analysis!A575)</f>
        <v>1</v>
      </c>
      <c r="E575">
        <f>SUMIFS(clean_sales!T:T,clean_sales!C:C,RFM_Analysis!A575)</f>
        <v>65000</v>
      </c>
      <c r="F575">
        <f t="shared" ca="1" si="49"/>
        <v>1</v>
      </c>
      <c r="G575">
        <f t="shared" si="50"/>
        <v>1</v>
      </c>
      <c r="H575">
        <f t="shared" si="51"/>
        <v>3</v>
      </c>
      <c r="I575" t="str">
        <f t="shared" ca="1" si="52"/>
        <v>113</v>
      </c>
      <c r="J575" t="str">
        <f t="shared" ca="1" si="53"/>
        <v>At Risk</v>
      </c>
    </row>
    <row r="576" spans="1:10" x14ac:dyDescent="0.35">
      <c r="A576" t="s">
        <v>2362</v>
      </c>
      <c r="B576" s="2">
        <f>_xlfn.MAXIFS(clean_sales!P:P,clean_sales!C:C,RFM_Analysis!A576)</f>
        <v>45802</v>
      </c>
      <c r="C576">
        <f t="shared" ca="1" si="48"/>
        <v>226</v>
      </c>
      <c r="D576">
        <f>COUNTIFS(clean_sales!C:C,RFM_Analysis!A576)</f>
        <v>2</v>
      </c>
      <c r="E576">
        <f>SUMIFS(clean_sales!T:T,clean_sales!C:C,RFM_Analysis!A576)</f>
        <v>63000</v>
      </c>
      <c r="F576">
        <f t="shared" ca="1" si="49"/>
        <v>2</v>
      </c>
      <c r="G576">
        <f t="shared" si="50"/>
        <v>3</v>
      </c>
      <c r="H576">
        <f t="shared" si="51"/>
        <v>3</v>
      </c>
      <c r="I576" t="str">
        <f t="shared" ca="1" si="52"/>
        <v>233</v>
      </c>
      <c r="J576" t="str">
        <f t="shared" ca="1" si="53"/>
        <v>At Risk</v>
      </c>
    </row>
    <row r="577" spans="1:10" x14ac:dyDescent="0.35">
      <c r="A577" t="s">
        <v>2363</v>
      </c>
      <c r="B577" s="2">
        <f>_xlfn.MAXIFS(clean_sales!P:P,clean_sales!C:C,RFM_Analysis!A577)</f>
        <v>45779</v>
      </c>
      <c r="C577">
        <f t="shared" ca="1" si="48"/>
        <v>249</v>
      </c>
      <c r="D577">
        <f>COUNTIFS(clean_sales!C:C,RFM_Analysis!A577)</f>
        <v>1</v>
      </c>
      <c r="E577">
        <f>SUMIFS(clean_sales!T:T,clean_sales!C:C,RFM_Analysis!A577)</f>
        <v>288000</v>
      </c>
      <c r="F577">
        <f t="shared" ca="1" si="49"/>
        <v>1</v>
      </c>
      <c r="G577">
        <f t="shared" si="50"/>
        <v>1</v>
      </c>
      <c r="H577">
        <f t="shared" si="51"/>
        <v>4</v>
      </c>
      <c r="I577" t="str">
        <f t="shared" ca="1" si="52"/>
        <v>114</v>
      </c>
      <c r="J577" t="str">
        <f t="shared" ca="1" si="53"/>
        <v>At Risk</v>
      </c>
    </row>
    <row r="578" spans="1:10" x14ac:dyDescent="0.35">
      <c r="A578" t="s">
        <v>2364</v>
      </c>
      <c r="B578" s="2">
        <f>_xlfn.MAXIFS(clean_sales!P:P,clean_sales!C:C,RFM_Analysis!A578)</f>
        <v>45785</v>
      </c>
      <c r="C578">
        <f t="shared" ca="1" si="48"/>
        <v>243</v>
      </c>
      <c r="D578">
        <f>COUNTIFS(clean_sales!C:C,RFM_Analysis!A578)</f>
        <v>1</v>
      </c>
      <c r="E578">
        <f>SUMIFS(clean_sales!T:T,clean_sales!C:C,RFM_Analysis!A578)</f>
        <v>4500</v>
      </c>
      <c r="F578">
        <f t="shared" ca="1" si="49"/>
        <v>1</v>
      </c>
      <c r="G578">
        <f t="shared" si="50"/>
        <v>1</v>
      </c>
      <c r="H578">
        <f t="shared" si="51"/>
        <v>1</v>
      </c>
      <c r="I578" t="str">
        <f t="shared" ca="1" si="52"/>
        <v>111</v>
      </c>
      <c r="J578" t="str">
        <f t="shared" ca="1" si="53"/>
        <v>At Risk</v>
      </c>
    </row>
    <row r="579" spans="1:10" x14ac:dyDescent="0.35">
      <c r="A579" t="s">
        <v>2365</v>
      </c>
      <c r="B579" s="2">
        <f>_xlfn.MAXIFS(clean_sales!P:P,clean_sales!C:C,RFM_Analysis!A579)</f>
        <v>45870</v>
      </c>
      <c r="C579">
        <f t="shared" ref="C579:C642" ca="1" si="54">TODAY()-B579</f>
        <v>158</v>
      </c>
      <c r="D579">
        <f>COUNTIFS(clean_sales!C:C,RFM_Analysis!A579)</f>
        <v>1</v>
      </c>
      <c r="E579">
        <f>SUMIFS(clean_sales!T:T,clean_sales!C:C,RFM_Analysis!A579)</f>
        <v>174000</v>
      </c>
      <c r="F579">
        <f t="shared" ref="F579:F642" ca="1" si="55">IF(C579&lt;=PERCENTILE($C:$C,0.2),5,
IF(C579&lt;=PERCENTILE($C:$C,0.4),4,
IF(C579&lt;=PERCENTILE($C:$C,0.6),3,
IF(C579&lt;=PERCENTILE($C:$C,0.8),2,1))))</f>
        <v>3</v>
      </c>
      <c r="G579">
        <f t="shared" ref="G579:G642" si="56">IF(D579&lt;=PERCENTILE($D:$D,0.2),1,
IF(D579&lt;=PERCENTILE($D:$D,0.4),2,
IF(D579&lt;=PERCENTILE($D:$D,0.6),3,
IF(D579&lt;=PERCENTILE($D:$D,0.8),4,5))))</f>
        <v>1</v>
      </c>
      <c r="H579">
        <f t="shared" ref="H579:H642" si="57">IF(E579&lt;=PERCENTILE($E:$E,0.2),1,
IF(E579&lt;=PERCENTILE($E:$E,0.4),2,
IF(E579&lt;=PERCENTILE($E:$E,0.6),3,
IF(E579&lt;=PERCENTILE($E:$E,0.8),4,5))))</f>
        <v>4</v>
      </c>
      <c r="I579" t="str">
        <f t="shared" ref="I579:I642" ca="1" si="58">F579&amp;G579&amp;H579</f>
        <v>314</v>
      </c>
      <c r="J579" t="str">
        <f t="shared" ref="J579:J642" ca="1" si="59">IF(I579="555","Champions",
IF(AND(F579&gt;=4,G579&gt;=4),"Loyal",
IF(F579&lt;=2,"At Risk","Regular")))</f>
        <v>Regular</v>
      </c>
    </row>
    <row r="580" spans="1:10" x14ac:dyDescent="0.35">
      <c r="A580" t="s">
        <v>2366</v>
      </c>
      <c r="B580" s="2">
        <f>_xlfn.MAXIFS(clean_sales!P:P,clean_sales!C:C,RFM_Analysis!A580)</f>
        <v>45987</v>
      </c>
      <c r="C580">
        <f t="shared" ca="1" si="54"/>
        <v>41</v>
      </c>
      <c r="D580">
        <f>COUNTIFS(clean_sales!C:C,RFM_Analysis!A580)</f>
        <v>2</v>
      </c>
      <c r="E580">
        <f>SUMIFS(clean_sales!T:T,clean_sales!C:C,RFM_Analysis!A580)</f>
        <v>38000</v>
      </c>
      <c r="F580">
        <f t="shared" ca="1" si="55"/>
        <v>5</v>
      </c>
      <c r="G580">
        <f t="shared" si="56"/>
        <v>3</v>
      </c>
      <c r="H580">
        <f t="shared" si="57"/>
        <v>2</v>
      </c>
      <c r="I580" t="str">
        <f t="shared" ca="1" si="58"/>
        <v>532</v>
      </c>
      <c r="J580" t="str">
        <f t="shared" ca="1" si="59"/>
        <v>Regular</v>
      </c>
    </row>
    <row r="581" spans="1:10" x14ac:dyDescent="0.35">
      <c r="A581" t="s">
        <v>2367</v>
      </c>
      <c r="B581" s="2">
        <f>_xlfn.MAXIFS(clean_sales!P:P,clean_sales!C:C,RFM_Analysis!A581)</f>
        <v>45897</v>
      </c>
      <c r="C581">
        <f t="shared" ca="1" si="54"/>
        <v>131</v>
      </c>
      <c r="D581">
        <f>COUNTIFS(clean_sales!C:C,RFM_Analysis!A581)</f>
        <v>1</v>
      </c>
      <c r="E581">
        <f>SUMIFS(clean_sales!T:T,clean_sales!C:C,RFM_Analysis!A581)</f>
        <v>18000</v>
      </c>
      <c r="F581">
        <f t="shared" ca="1" si="55"/>
        <v>3</v>
      </c>
      <c r="G581">
        <f t="shared" si="56"/>
        <v>1</v>
      </c>
      <c r="H581">
        <f t="shared" si="57"/>
        <v>2</v>
      </c>
      <c r="I581" t="str">
        <f t="shared" ca="1" si="58"/>
        <v>312</v>
      </c>
      <c r="J581" t="str">
        <f t="shared" ca="1" si="59"/>
        <v>Regular</v>
      </c>
    </row>
    <row r="582" spans="1:10" x14ac:dyDescent="0.35">
      <c r="A582" t="s">
        <v>2368</v>
      </c>
      <c r="B582" s="2">
        <f>_xlfn.MAXIFS(clean_sales!P:P,clean_sales!C:C,RFM_Analysis!A582)</f>
        <v>45733</v>
      </c>
      <c r="C582">
        <f t="shared" ca="1" si="54"/>
        <v>295</v>
      </c>
      <c r="D582">
        <f>COUNTIFS(clean_sales!C:C,RFM_Analysis!A582)</f>
        <v>1</v>
      </c>
      <c r="E582">
        <f>SUMIFS(clean_sales!T:T,clean_sales!C:C,RFM_Analysis!A582)</f>
        <v>65000</v>
      </c>
      <c r="F582">
        <f t="shared" ca="1" si="55"/>
        <v>1</v>
      </c>
      <c r="G582">
        <f t="shared" si="56"/>
        <v>1</v>
      </c>
      <c r="H582">
        <f t="shared" si="57"/>
        <v>3</v>
      </c>
      <c r="I582" t="str">
        <f t="shared" ca="1" si="58"/>
        <v>113</v>
      </c>
      <c r="J582" t="str">
        <f t="shared" ca="1" si="59"/>
        <v>At Risk</v>
      </c>
    </row>
    <row r="583" spans="1:10" x14ac:dyDescent="0.35">
      <c r="A583" t="s">
        <v>2369</v>
      </c>
      <c r="B583" s="2">
        <f>_xlfn.MAXIFS(clean_sales!P:P,clean_sales!C:C,RFM_Analysis!A583)</f>
        <v>45808</v>
      </c>
      <c r="C583">
        <f t="shared" ca="1" si="54"/>
        <v>220</v>
      </c>
      <c r="D583">
        <f>COUNTIFS(clean_sales!C:C,RFM_Analysis!A583)</f>
        <v>1</v>
      </c>
      <c r="E583">
        <f>SUMIFS(clean_sales!T:T,clean_sales!C:C,RFM_Analysis!A583)</f>
        <v>260000</v>
      </c>
      <c r="F583">
        <f t="shared" ca="1" si="55"/>
        <v>2</v>
      </c>
      <c r="G583">
        <f t="shared" si="56"/>
        <v>1</v>
      </c>
      <c r="H583">
        <f t="shared" si="57"/>
        <v>4</v>
      </c>
      <c r="I583" t="str">
        <f t="shared" ca="1" si="58"/>
        <v>214</v>
      </c>
      <c r="J583" t="str">
        <f t="shared" ca="1" si="59"/>
        <v>At Risk</v>
      </c>
    </row>
    <row r="584" spans="1:10" x14ac:dyDescent="0.35">
      <c r="A584" t="s">
        <v>2370</v>
      </c>
      <c r="B584" s="2">
        <f>_xlfn.MAXIFS(clean_sales!P:P,clean_sales!C:C,RFM_Analysis!A584)</f>
        <v>45718</v>
      </c>
      <c r="C584">
        <f t="shared" ca="1" si="54"/>
        <v>310</v>
      </c>
      <c r="D584">
        <f>COUNTIFS(clean_sales!C:C,RFM_Analysis!A584)</f>
        <v>2</v>
      </c>
      <c r="E584">
        <f>SUMIFS(clean_sales!T:T,clean_sales!C:C,RFM_Analysis!A584)</f>
        <v>234000</v>
      </c>
      <c r="F584">
        <f t="shared" ca="1" si="55"/>
        <v>1</v>
      </c>
      <c r="G584">
        <f t="shared" si="56"/>
        <v>3</v>
      </c>
      <c r="H584">
        <f t="shared" si="57"/>
        <v>4</v>
      </c>
      <c r="I584" t="str">
        <f t="shared" ca="1" si="58"/>
        <v>134</v>
      </c>
      <c r="J584" t="str">
        <f t="shared" ca="1" si="59"/>
        <v>At Risk</v>
      </c>
    </row>
    <row r="585" spans="1:10" x14ac:dyDescent="0.35">
      <c r="A585" t="s">
        <v>2371</v>
      </c>
      <c r="B585" s="2">
        <f>_xlfn.MAXIFS(clean_sales!P:P,clean_sales!C:C,RFM_Analysis!A585)</f>
        <v>45887</v>
      </c>
      <c r="C585">
        <f t="shared" ca="1" si="54"/>
        <v>141</v>
      </c>
      <c r="D585">
        <f>COUNTIFS(clean_sales!C:C,RFM_Analysis!A585)</f>
        <v>1</v>
      </c>
      <c r="E585">
        <f>SUMIFS(clean_sales!T:T,clean_sales!C:C,RFM_Analysis!A585)</f>
        <v>195000</v>
      </c>
      <c r="F585">
        <f t="shared" ca="1" si="55"/>
        <v>3</v>
      </c>
      <c r="G585">
        <f t="shared" si="56"/>
        <v>1</v>
      </c>
      <c r="H585">
        <f t="shared" si="57"/>
        <v>4</v>
      </c>
      <c r="I585" t="str">
        <f t="shared" ca="1" si="58"/>
        <v>314</v>
      </c>
      <c r="J585" t="str">
        <f t="shared" ca="1" si="59"/>
        <v>Regular</v>
      </c>
    </row>
    <row r="586" spans="1:10" x14ac:dyDescent="0.35">
      <c r="A586" t="s">
        <v>2372</v>
      </c>
      <c r="B586" s="2">
        <f>_xlfn.MAXIFS(clean_sales!P:P,clean_sales!C:C,RFM_Analysis!A586)</f>
        <v>45965</v>
      </c>
      <c r="C586">
        <f t="shared" ca="1" si="54"/>
        <v>63</v>
      </c>
      <c r="D586">
        <f>COUNTIFS(clean_sales!C:C,RFM_Analysis!A586)</f>
        <v>1</v>
      </c>
      <c r="E586">
        <f>SUMIFS(clean_sales!T:T,clean_sales!C:C,RFM_Analysis!A586)</f>
        <v>15000</v>
      </c>
      <c r="F586">
        <f t="shared" ca="1" si="55"/>
        <v>4</v>
      </c>
      <c r="G586">
        <f t="shared" si="56"/>
        <v>1</v>
      </c>
      <c r="H586">
        <f t="shared" si="57"/>
        <v>1</v>
      </c>
      <c r="I586" t="str">
        <f t="shared" ca="1" si="58"/>
        <v>411</v>
      </c>
      <c r="J586" t="str">
        <f t="shared" ca="1" si="59"/>
        <v>Regular</v>
      </c>
    </row>
    <row r="587" spans="1:10" x14ac:dyDescent="0.35">
      <c r="A587" t="s">
        <v>2373</v>
      </c>
      <c r="B587" s="2">
        <f>_xlfn.MAXIFS(clean_sales!P:P,clean_sales!C:C,RFM_Analysis!A587)</f>
        <v>45834</v>
      </c>
      <c r="C587">
        <f t="shared" ca="1" si="54"/>
        <v>194</v>
      </c>
      <c r="D587">
        <f>COUNTIFS(clean_sales!C:C,RFM_Analysis!A587)</f>
        <v>1</v>
      </c>
      <c r="E587">
        <f>SUMIFS(clean_sales!T:T,clean_sales!C:C,RFM_Analysis!A587)</f>
        <v>288000</v>
      </c>
      <c r="F587">
        <f t="shared" ca="1" si="55"/>
        <v>2</v>
      </c>
      <c r="G587">
        <f t="shared" si="56"/>
        <v>1</v>
      </c>
      <c r="H587">
        <f t="shared" si="57"/>
        <v>4</v>
      </c>
      <c r="I587" t="str">
        <f t="shared" ca="1" si="58"/>
        <v>214</v>
      </c>
      <c r="J587" t="str">
        <f t="shared" ca="1" si="59"/>
        <v>At Risk</v>
      </c>
    </row>
    <row r="588" spans="1:10" x14ac:dyDescent="0.35">
      <c r="A588" t="s">
        <v>2374</v>
      </c>
      <c r="B588" s="2">
        <f>_xlfn.MAXIFS(clean_sales!P:P,clean_sales!C:C,RFM_Analysis!A588)</f>
        <v>45937</v>
      </c>
      <c r="C588">
        <f t="shared" ca="1" si="54"/>
        <v>91</v>
      </c>
      <c r="D588">
        <f>COUNTIFS(clean_sales!C:C,RFM_Analysis!A588)</f>
        <v>3</v>
      </c>
      <c r="E588">
        <f>SUMIFS(clean_sales!T:T,clean_sales!C:C,RFM_Analysis!A588)</f>
        <v>173200</v>
      </c>
      <c r="F588">
        <f t="shared" ca="1" si="55"/>
        <v>4</v>
      </c>
      <c r="G588">
        <f t="shared" si="56"/>
        <v>5</v>
      </c>
      <c r="H588">
        <f t="shared" si="57"/>
        <v>4</v>
      </c>
      <c r="I588" t="str">
        <f t="shared" ca="1" si="58"/>
        <v>454</v>
      </c>
      <c r="J588" t="str">
        <f t="shared" ca="1" si="59"/>
        <v>Loyal</v>
      </c>
    </row>
    <row r="589" spans="1:10" x14ac:dyDescent="0.35">
      <c r="A589" t="s">
        <v>2375</v>
      </c>
      <c r="B589" s="2">
        <f>_xlfn.MAXIFS(clean_sales!P:P,clean_sales!C:C,RFM_Analysis!A589)</f>
        <v>45742</v>
      </c>
      <c r="C589">
        <f t="shared" ca="1" si="54"/>
        <v>286</v>
      </c>
      <c r="D589">
        <f>COUNTIFS(clean_sales!C:C,RFM_Analysis!A589)</f>
        <v>1</v>
      </c>
      <c r="E589">
        <f>SUMIFS(clean_sales!T:T,clean_sales!C:C,RFM_Analysis!A589)</f>
        <v>174000</v>
      </c>
      <c r="F589">
        <f t="shared" ca="1" si="55"/>
        <v>1</v>
      </c>
      <c r="G589">
        <f t="shared" si="56"/>
        <v>1</v>
      </c>
      <c r="H589">
        <f t="shared" si="57"/>
        <v>4</v>
      </c>
      <c r="I589" t="str">
        <f t="shared" ca="1" si="58"/>
        <v>114</v>
      </c>
      <c r="J589" t="str">
        <f t="shared" ca="1" si="59"/>
        <v>At Risk</v>
      </c>
    </row>
    <row r="590" spans="1:10" x14ac:dyDescent="0.35">
      <c r="A590" t="s">
        <v>2376</v>
      </c>
      <c r="B590" s="2">
        <f>_xlfn.MAXIFS(clean_sales!P:P,clean_sales!C:C,RFM_Analysis!A590)</f>
        <v>46014</v>
      </c>
      <c r="C590">
        <f t="shared" ca="1" si="54"/>
        <v>14</v>
      </c>
      <c r="D590">
        <f>COUNTIFS(clean_sales!C:C,RFM_Analysis!A590)</f>
        <v>2</v>
      </c>
      <c r="E590">
        <f>SUMIFS(clean_sales!T:T,clean_sales!C:C,RFM_Analysis!A590)</f>
        <v>147600</v>
      </c>
      <c r="F590">
        <f t="shared" ca="1" si="55"/>
        <v>5</v>
      </c>
      <c r="G590">
        <f t="shared" si="56"/>
        <v>3</v>
      </c>
      <c r="H590">
        <f t="shared" si="57"/>
        <v>3</v>
      </c>
      <c r="I590" t="str">
        <f t="shared" ca="1" si="58"/>
        <v>533</v>
      </c>
      <c r="J590" t="str">
        <f t="shared" ca="1" si="59"/>
        <v>Regular</v>
      </c>
    </row>
    <row r="591" spans="1:10" x14ac:dyDescent="0.35">
      <c r="A591" t="s">
        <v>2377</v>
      </c>
      <c r="B591" s="2">
        <f>_xlfn.MAXIFS(clean_sales!P:P,clean_sales!C:C,RFM_Analysis!A591)</f>
        <v>45914</v>
      </c>
      <c r="C591">
        <f t="shared" ca="1" si="54"/>
        <v>114</v>
      </c>
      <c r="D591">
        <f>COUNTIFS(clean_sales!C:C,RFM_Analysis!A591)</f>
        <v>1</v>
      </c>
      <c r="E591">
        <f>SUMIFS(clean_sales!T:T,clean_sales!C:C,RFM_Analysis!A591)</f>
        <v>24000</v>
      </c>
      <c r="F591">
        <f t="shared" ca="1" si="55"/>
        <v>3</v>
      </c>
      <c r="G591">
        <f t="shared" si="56"/>
        <v>1</v>
      </c>
      <c r="H591">
        <f t="shared" si="57"/>
        <v>2</v>
      </c>
      <c r="I591" t="str">
        <f t="shared" ca="1" si="58"/>
        <v>312</v>
      </c>
      <c r="J591" t="str">
        <f t="shared" ca="1" si="59"/>
        <v>Regular</v>
      </c>
    </row>
    <row r="592" spans="1:10" x14ac:dyDescent="0.35">
      <c r="A592" t="s">
        <v>2378</v>
      </c>
      <c r="B592" s="2">
        <f>_xlfn.MAXIFS(clean_sales!P:P,clean_sales!C:C,RFM_Analysis!A592)</f>
        <v>45836</v>
      </c>
      <c r="C592">
        <f t="shared" ca="1" si="54"/>
        <v>192</v>
      </c>
      <c r="D592">
        <f>COUNTIFS(clean_sales!C:C,RFM_Analysis!A592)</f>
        <v>1</v>
      </c>
      <c r="E592">
        <f>SUMIFS(clean_sales!T:T,clean_sales!C:C,RFM_Analysis!A592)</f>
        <v>12000</v>
      </c>
      <c r="F592">
        <f t="shared" ca="1" si="55"/>
        <v>2</v>
      </c>
      <c r="G592">
        <f t="shared" si="56"/>
        <v>1</v>
      </c>
      <c r="H592">
        <f t="shared" si="57"/>
        <v>1</v>
      </c>
      <c r="I592" t="str">
        <f t="shared" ca="1" si="58"/>
        <v>211</v>
      </c>
      <c r="J592" t="str">
        <f t="shared" ca="1" si="59"/>
        <v>At Risk</v>
      </c>
    </row>
    <row r="593" spans="1:10" x14ac:dyDescent="0.35">
      <c r="A593" t="s">
        <v>2379</v>
      </c>
      <c r="B593" s="2">
        <f>_xlfn.MAXIFS(clean_sales!P:P,clean_sales!C:C,RFM_Analysis!A593)</f>
        <v>45955</v>
      </c>
      <c r="C593">
        <f t="shared" ca="1" si="54"/>
        <v>73</v>
      </c>
      <c r="D593">
        <f>COUNTIFS(clean_sales!C:C,RFM_Analysis!A593)</f>
        <v>1</v>
      </c>
      <c r="E593">
        <f>SUMIFS(clean_sales!T:T,clean_sales!C:C,RFM_Analysis!A593)</f>
        <v>4500</v>
      </c>
      <c r="F593">
        <f t="shared" ca="1" si="55"/>
        <v>4</v>
      </c>
      <c r="G593">
        <f t="shared" si="56"/>
        <v>1</v>
      </c>
      <c r="H593">
        <f t="shared" si="57"/>
        <v>1</v>
      </c>
      <c r="I593" t="str">
        <f t="shared" ca="1" si="58"/>
        <v>411</v>
      </c>
      <c r="J593" t="str">
        <f t="shared" ca="1" si="59"/>
        <v>Regular</v>
      </c>
    </row>
    <row r="594" spans="1:10" x14ac:dyDescent="0.35">
      <c r="A594" t="s">
        <v>2380</v>
      </c>
      <c r="B594" s="2">
        <f>_xlfn.MAXIFS(clean_sales!P:P,clean_sales!C:C,RFM_Analysis!A594)</f>
        <v>45743</v>
      </c>
      <c r="C594">
        <f t="shared" ca="1" si="54"/>
        <v>285</v>
      </c>
      <c r="D594">
        <f>COUNTIFS(clean_sales!C:C,RFM_Analysis!A594)</f>
        <v>1</v>
      </c>
      <c r="E594">
        <f>SUMIFS(clean_sales!T:T,clean_sales!C:C,RFM_Analysis!A594)</f>
        <v>144000</v>
      </c>
      <c r="F594">
        <f t="shared" ca="1" si="55"/>
        <v>1</v>
      </c>
      <c r="G594">
        <f t="shared" si="56"/>
        <v>1</v>
      </c>
      <c r="H594">
        <f t="shared" si="57"/>
        <v>3</v>
      </c>
      <c r="I594" t="str">
        <f t="shared" ca="1" si="58"/>
        <v>113</v>
      </c>
      <c r="J594" t="str">
        <f t="shared" ca="1" si="59"/>
        <v>At Risk</v>
      </c>
    </row>
    <row r="595" spans="1:10" x14ac:dyDescent="0.35">
      <c r="A595" t="s">
        <v>2381</v>
      </c>
      <c r="B595" s="2">
        <f>_xlfn.MAXIFS(clean_sales!P:P,clean_sales!C:C,RFM_Analysis!A595)</f>
        <v>45781</v>
      </c>
      <c r="C595">
        <f t="shared" ca="1" si="54"/>
        <v>247</v>
      </c>
      <c r="D595">
        <f>COUNTIFS(clean_sales!C:C,RFM_Analysis!A595)</f>
        <v>1</v>
      </c>
      <c r="E595">
        <f>SUMIFS(clean_sales!T:T,clean_sales!C:C,RFM_Analysis!A595)</f>
        <v>20000</v>
      </c>
      <c r="F595">
        <f t="shared" ca="1" si="55"/>
        <v>1</v>
      </c>
      <c r="G595">
        <f t="shared" si="56"/>
        <v>1</v>
      </c>
      <c r="H595">
        <f t="shared" si="57"/>
        <v>2</v>
      </c>
      <c r="I595" t="str">
        <f t="shared" ca="1" si="58"/>
        <v>112</v>
      </c>
      <c r="J595" t="str">
        <f t="shared" ca="1" si="59"/>
        <v>At Risk</v>
      </c>
    </row>
    <row r="596" spans="1:10" x14ac:dyDescent="0.35">
      <c r="A596" t="s">
        <v>2382</v>
      </c>
      <c r="B596" s="2">
        <f>_xlfn.MAXIFS(clean_sales!P:P,clean_sales!C:C,RFM_Analysis!A596)</f>
        <v>45966</v>
      </c>
      <c r="C596">
        <f t="shared" ca="1" si="54"/>
        <v>62</v>
      </c>
      <c r="D596">
        <f>COUNTIFS(clean_sales!C:C,RFM_Analysis!A596)</f>
        <v>1</v>
      </c>
      <c r="E596">
        <f>SUMIFS(clean_sales!T:T,clean_sales!C:C,RFM_Analysis!A596)</f>
        <v>3600</v>
      </c>
      <c r="F596">
        <f t="shared" ca="1" si="55"/>
        <v>4</v>
      </c>
      <c r="G596">
        <f t="shared" si="56"/>
        <v>1</v>
      </c>
      <c r="H596">
        <f t="shared" si="57"/>
        <v>1</v>
      </c>
      <c r="I596" t="str">
        <f t="shared" ca="1" si="58"/>
        <v>411</v>
      </c>
      <c r="J596" t="str">
        <f t="shared" ca="1" si="59"/>
        <v>Regular</v>
      </c>
    </row>
    <row r="597" spans="1:10" x14ac:dyDescent="0.35">
      <c r="A597" t="s">
        <v>2383</v>
      </c>
      <c r="B597" s="2">
        <f>_xlfn.MAXIFS(clean_sales!P:P,clean_sales!C:C,RFM_Analysis!A597)</f>
        <v>45991</v>
      </c>
      <c r="C597">
        <f t="shared" ca="1" si="54"/>
        <v>37</v>
      </c>
      <c r="D597">
        <f>COUNTIFS(clean_sales!C:C,RFM_Analysis!A597)</f>
        <v>1</v>
      </c>
      <c r="E597">
        <f>SUMIFS(clean_sales!T:T,clean_sales!C:C,RFM_Analysis!A597)</f>
        <v>12000</v>
      </c>
      <c r="F597">
        <f t="shared" ca="1" si="55"/>
        <v>5</v>
      </c>
      <c r="G597">
        <f t="shared" si="56"/>
        <v>1</v>
      </c>
      <c r="H597">
        <f t="shared" si="57"/>
        <v>1</v>
      </c>
      <c r="I597" t="str">
        <f t="shared" ca="1" si="58"/>
        <v>511</v>
      </c>
      <c r="J597" t="str">
        <f t="shared" ca="1" si="59"/>
        <v>Regular</v>
      </c>
    </row>
    <row r="598" spans="1:10" x14ac:dyDescent="0.35">
      <c r="A598" t="s">
        <v>2384</v>
      </c>
      <c r="B598" s="2">
        <f>_xlfn.MAXIFS(clean_sales!P:P,clean_sales!C:C,RFM_Analysis!A598)</f>
        <v>45802</v>
      </c>
      <c r="C598">
        <f t="shared" ca="1" si="54"/>
        <v>226</v>
      </c>
      <c r="D598">
        <f>COUNTIFS(clean_sales!C:C,RFM_Analysis!A598)</f>
        <v>2</v>
      </c>
      <c r="E598">
        <f>SUMIFS(clean_sales!T:T,clean_sales!C:C,RFM_Analysis!A598)</f>
        <v>15300</v>
      </c>
      <c r="F598">
        <f t="shared" ca="1" si="55"/>
        <v>2</v>
      </c>
      <c r="G598">
        <f t="shared" si="56"/>
        <v>3</v>
      </c>
      <c r="H598">
        <f t="shared" si="57"/>
        <v>2</v>
      </c>
      <c r="I598" t="str">
        <f t="shared" ca="1" si="58"/>
        <v>232</v>
      </c>
      <c r="J598" t="str">
        <f t="shared" ca="1" si="59"/>
        <v>At Risk</v>
      </c>
    </row>
    <row r="599" spans="1:10" x14ac:dyDescent="0.35">
      <c r="A599" t="s">
        <v>2385</v>
      </c>
      <c r="B599" s="2">
        <f>_xlfn.MAXIFS(clean_sales!P:P,clean_sales!C:C,RFM_Analysis!A599)</f>
        <v>45869</v>
      </c>
      <c r="C599">
        <f t="shared" ca="1" si="54"/>
        <v>159</v>
      </c>
      <c r="D599">
        <f>COUNTIFS(clean_sales!C:C,RFM_Analysis!A599)</f>
        <v>1</v>
      </c>
      <c r="E599">
        <f>SUMIFS(clean_sales!T:T,clean_sales!C:C,RFM_Analysis!A599)</f>
        <v>13500</v>
      </c>
      <c r="F599">
        <f t="shared" ca="1" si="55"/>
        <v>3</v>
      </c>
      <c r="G599">
        <f t="shared" si="56"/>
        <v>1</v>
      </c>
      <c r="H599">
        <f t="shared" si="57"/>
        <v>1</v>
      </c>
      <c r="I599" t="str">
        <f t="shared" ca="1" si="58"/>
        <v>311</v>
      </c>
      <c r="J599" t="str">
        <f t="shared" ca="1" si="59"/>
        <v>Regular</v>
      </c>
    </row>
    <row r="600" spans="1:10" x14ac:dyDescent="0.35">
      <c r="A600" t="s">
        <v>2386</v>
      </c>
      <c r="B600" s="2">
        <f>_xlfn.MAXIFS(clean_sales!P:P,clean_sales!C:C,RFM_Analysis!A600)</f>
        <v>45813</v>
      </c>
      <c r="C600">
        <f t="shared" ca="1" si="54"/>
        <v>215</v>
      </c>
      <c r="D600">
        <f>COUNTIFS(clean_sales!C:C,RFM_Analysis!A600)</f>
        <v>1</v>
      </c>
      <c r="E600">
        <f>SUMIFS(clean_sales!T:T,clean_sales!C:C,RFM_Analysis!A600)</f>
        <v>13500</v>
      </c>
      <c r="F600">
        <f t="shared" ca="1" si="55"/>
        <v>2</v>
      </c>
      <c r="G600">
        <f t="shared" si="56"/>
        <v>1</v>
      </c>
      <c r="H600">
        <f t="shared" si="57"/>
        <v>1</v>
      </c>
      <c r="I600" t="str">
        <f t="shared" ca="1" si="58"/>
        <v>211</v>
      </c>
      <c r="J600" t="str">
        <f t="shared" ca="1" si="59"/>
        <v>At Risk</v>
      </c>
    </row>
    <row r="601" spans="1:10" x14ac:dyDescent="0.35">
      <c r="A601" t="s">
        <v>2387</v>
      </c>
      <c r="B601" s="2">
        <f>_xlfn.MAXIFS(clean_sales!P:P,clean_sales!C:C,RFM_Analysis!A601)</f>
        <v>45819</v>
      </c>
      <c r="C601">
        <f t="shared" ca="1" si="54"/>
        <v>209</v>
      </c>
      <c r="D601">
        <f>COUNTIFS(clean_sales!C:C,RFM_Analysis!A601)</f>
        <v>1</v>
      </c>
      <c r="E601">
        <f>SUMIFS(clean_sales!T:T,clean_sales!C:C,RFM_Analysis!A601)</f>
        <v>9000</v>
      </c>
      <c r="F601">
        <f t="shared" ca="1" si="55"/>
        <v>2</v>
      </c>
      <c r="G601">
        <f t="shared" si="56"/>
        <v>1</v>
      </c>
      <c r="H601">
        <f t="shared" si="57"/>
        <v>1</v>
      </c>
      <c r="I601" t="str">
        <f t="shared" ca="1" si="58"/>
        <v>211</v>
      </c>
      <c r="J601" t="str">
        <f t="shared" ca="1" si="59"/>
        <v>At Risk</v>
      </c>
    </row>
    <row r="602" spans="1:10" x14ac:dyDescent="0.35">
      <c r="A602" t="s">
        <v>2388</v>
      </c>
      <c r="B602" s="2">
        <f>_xlfn.MAXIFS(clean_sales!P:P,clean_sales!C:C,RFM_Analysis!A602)</f>
        <v>45678</v>
      </c>
      <c r="C602">
        <f t="shared" ca="1" si="54"/>
        <v>350</v>
      </c>
      <c r="D602">
        <f>COUNTIFS(clean_sales!C:C,RFM_Analysis!A602)</f>
        <v>1</v>
      </c>
      <c r="E602">
        <f>SUMIFS(clean_sales!T:T,clean_sales!C:C,RFM_Analysis!A602)</f>
        <v>7200</v>
      </c>
      <c r="F602">
        <f t="shared" ca="1" si="55"/>
        <v>1</v>
      </c>
      <c r="G602">
        <f t="shared" si="56"/>
        <v>1</v>
      </c>
      <c r="H602">
        <f t="shared" si="57"/>
        <v>1</v>
      </c>
      <c r="I602" t="str">
        <f t="shared" ca="1" si="58"/>
        <v>111</v>
      </c>
      <c r="J602" t="str">
        <f t="shared" ca="1" si="59"/>
        <v>At Risk</v>
      </c>
    </row>
    <row r="603" spans="1:10" x14ac:dyDescent="0.35">
      <c r="A603" t="s">
        <v>2389</v>
      </c>
      <c r="B603" s="2">
        <f>_xlfn.MAXIFS(clean_sales!P:P,clean_sales!C:C,RFM_Analysis!A603)</f>
        <v>45824</v>
      </c>
      <c r="C603">
        <f t="shared" ca="1" si="54"/>
        <v>204</v>
      </c>
      <c r="D603">
        <f>COUNTIFS(clean_sales!C:C,RFM_Analysis!A603)</f>
        <v>1</v>
      </c>
      <c r="E603">
        <f>SUMIFS(clean_sales!T:T,clean_sales!C:C,RFM_Analysis!A603)</f>
        <v>60000</v>
      </c>
      <c r="F603">
        <f t="shared" ca="1" si="55"/>
        <v>2</v>
      </c>
      <c r="G603">
        <f t="shared" si="56"/>
        <v>1</v>
      </c>
      <c r="H603">
        <f t="shared" si="57"/>
        <v>3</v>
      </c>
      <c r="I603" t="str">
        <f t="shared" ca="1" si="58"/>
        <v>213</v>
      </c>
      <c r="J603" t="str">
        <f t="shared" ca="1" si="59"/>
        <v>At Risk</v>
      </c>
    </row>
    <row r="604" spans="1:10" x14ac:dyDescent="0.35">
      <c r="A604" t="s">
        <v>2390</v>
      </c>
      <c r="B604" s="2">
        <f>_xlfn.MAXIFS(clean_sales!P:P,clean_sales!C:C,RFM_Analysis!A604)</f>
        <v>45906</v>
      </c>
      <c r="C604">
        <f t="shared" ca="1" si="54"/>
        <v>122</v>
      </c>
      <c r="D604">
        <f>COUNTIFS(clean_sales!C:C,RFM_Analysis!A604)</f>
        <v>2</v>
      </c>
      <c r="E604">
        <f>SUMIFS(clean_sales!T:T,clean_sales!C:C,RFM_Analysis!A604)</f>
        <v>140000</v>
      </c>
      <c r="F604">
        <f t="shared" ca="1" si="55"/>
        <v>3</v>
      </c>
      <c r="G604">
        <f t="shared" si="56"/>
        <v>3</v>
      </c>
      <c r="H604">
        <f t="shared" si="57"/>
        <v>3</v>
      </c>
      <c r="I604" t="str">
        <f t="shared" ca="1" si="58"/>
        <v>333</v>
      </c>
      <c r="J604" t="str">
        <f t="shared" ca="1" si="59"/>
        <v>Regular</v>
      </c>
    </row>
    <row r="605" spans="1:10" x14ac:dyDescent="0.35">
      <c r="A605" t="s">
        <v>2391</v>
      </c>
      <c r="B605" s="2">
        <f>_xlfn.MAXIFS(clean_sales!P:P,clean_sales!C:C,RFM_Analysis!A605)</f>
        <v>45939</v>
      </c>
      <c r="C605">
        <f t="shared" ca="1" si="54"/>
        <v>89</v>
      </c>
      <c r="D605">
        <f>COUNTIFS(clean_sales!C:C,RFM_Analysis!A605)</f>
        <v>1</v>
      </c>
      <c r="E605">
        <f>SUMIFS(clean_sales!T:T,clean_sales!C:C,RFM_Analysis!A605)</f>
        <v>48000</v>
      </c>
      <c r="F605">
        <f t="shared" ca="1" si="55"/>
        <v>4</v>
      </c>
      <c r="G605">
        <f t="shared" si="56"/>
        <v>1</v>
      </c>
      <c r="H605">
        <f t="shared" si="57"/>
        <v>2</v>
      </c>
      <c r="I605" t="str">
        <f t="shared" ca="1" si="58"/>
        <v>412</v>
      </c>
      <c r="J605" t="str">
        <f t="shared" ca="1" si="59"/>
        <v>Regular</v>
      </c>
    </row>
    <row r="606" spans="1:10" x14ac:dyDescent="0.35">
      <c r="A606" t="s">
        <v>2392</v>
      </c>
      <c r="B606" s="2">
        <f>_xlfn.MAXIFS(clean_sales!P:P,clean_sales!C:C,RFM_Analysis!A606)</f>
        <v>45833</v>
      </c>
      <c r="C606">
        <f t="shared" ca="1" si="54"/>
        <v>195</v>
      </c>
      <c r="D606">
        <f>COUNTIFS(clean_sales!C:C,RFM_Analysis!A606)</f>
        <v>1</v>
      </c>
      <c r="E606">
        <f>SUMIFS(clean_sales!T:T,clean_sales!C:C,RFM_Analysis!A606)</f>
        <v>290000</v>
      </c>
      <c r="F606">
        <f t="shared" ca="1" si="55"/>
        <v>2</v>
      </c>
      <c r="G606">
        <f t="shared" si="56"/>
        <v>1</v>
      </c>
      <c r="H606">
        <f t="shared" si="57"/>
        <v>4</v>
      </c>
      <c r="I606" t="str">
        <f t="shared" ca="1" si="58"/>
        <v>214</v>
      </c>
      <c r="J606" t="str">
        <f t="shared" ca="1" si="59"/>
        <v>At Risk</v>
      </c>
    </row>
    <row r="607" spans="1:10" x14ac:dyDescent="0.35">
      <c r="A607" t="s">
        <v>2393</v>
      </c>
      <c r="B607" s="2">
        <f>_xlfn.MAXIFS(clean_sales!P:P,clean_sales!C:C,RFM_Analysis!A607)</f>
        <v>45718</v>
      </c>
      <c r="C607">
        <f t="shared" ca="1" si="54"/>
        <v>310</v>
      </c>
      <c r="D607">
        <f>COUNTIFS(clean_sales!C:C,RFM_Analysis!A607)</f>
        <v>1</v>
      </c>
      <c r="E607">
        <f>SUMIFS(clean_sales!T:T,clean_sales!C:C,RFM_Analysis!A607)</f>
        <v>144000</v>
      </c>
      <c r="F607">
        <f t="shared" ca="1" si="55"/>
        <v>1</v>
      </c>
      <c r="G607">
        <f t="shared" si="56"/>
        <v>1</v>
      </c>
      <c r="H607">
        <f t="shared" si="57"/>
        <v>3</v>
      </c>
      <c r="I607" t="str">
        <f t="shared" ca="1" si="58"/>
        <v>113</v>
      </c>
      <c r="J607" t="str">
        <f t="shared" ca="1" si="59"/>
        <v>At Risk</v>
      </c>
    </row>
    <row r="608" spans="1:10" x14ac:dyDescent="0.35">
      <c r="A608" t="s">
        <v>2394</v>
      </c>
      <c r="B608" s="2">
        <f>_xlfn.MAXIFS(clean_sales!P:P,clean_sales!C:C,RFM_Analysis!A608)</f>
        <v>45664</v>
      </c>
      <c r="C608">
        <f t="shared" ca="1" si="54"/>
        <v>364</v>
      </c>
      <c r="D608">
        <f>COUNTIFS(clean_sales!C:C,RFM_Analysis!A608)</f>
        <v>1</v>
      </c>
      <c r="E608">
        <f>SUMIFS(clean_sales!T:T,clean_sales!C:C,RFM_Analysis!A608)</f>
        <v>144000</v>
      </c>
      <c r="F608">
        <f t="shared" ca="1" si="55"/>
        <v>1</v>
      </c>
      <c r="G608">
        <f t="shared" si="56"/>
        <v>1</v>
      </c>
      <c r="H608">
        <f t="shared" si="57"/>
        <v>3</v>
      </c>
      <c r="I608" t="str">
        <f t="shared" ca="1" si="58"/>
        <v>113</v>
      </c>
      <c r="J608" t="str">
        <f t="shared" ca="1" si="59"/>
        <v>At Risk</v>
      </c>
    </row>
    <row r="609" spans="1:10" x14ac:dyDescent="0.35">
      <c r="A609" t="s">
        <v>2395</v>
      </c>
      <c r="B609" s="2">
        <f>_xlfn.MAXIFS(clean_sales!P:P,clean_sales!C:C,RFM_Analysis!A609)</f>
        <v>45685</v>
      </c>
      <c r="C609">
        <f t="shared" ca="1" si="54"/>
        <v>343</v>
      </c>
      <c r="D609">
        <f>COUNTIFS(clean_sales!C:C,RFM_Analysis!A609)</f>
        <v>1</v>
      </c>
      <c r="E609">
        <f>SUMIFS(clean_sales!T:T,clean_sales!C:C,RFM_Analysis!A609)</f>
        <v>20000</v>
      </c>
      <c r="F609">
        <f t="shared" ca="1" si="55"/>
        <v>1</v>
      </c>
      <c r="G609">
        <f t="shared" si="56"/>
        <v>1</v>
      </c>
      <c r="H609">
        <f t="shared" si="57"/>
        <v>2</v>
      </c>
      <c r="I609" t="str">
        <f t="shared" ca="1" si="58"/>
        <v>112</v>
      </c>
      <c r="J609" t="str">
        <f t="shared" ca="1" si="59"/>
        <v>At Risk</v>
      </c>
    </row>
    <row r="610" spans="1:10" x14ac:dyDescent="0.35">
      <c r="A610" t="s">
        <v>2396</v>
      </c>
      <c r="B610" s="2">
        <f>_xlfn.MAXIFS(clean_sales!P:P,clean_sales!C:C,RFM_Analysis!A610)</f>
        <v>46005</v>
      </c>
      <c r="C610">
        <f t="shared" ca="1" si="54"/>
        <v>23</v>
      </c>
      <c r="D610">
        <f>COUNTIFS(clean_sales!C:C,RFM_Analysis!A610)</f>
        <v>1</v>
      </c>
      <c r="E610">
        <f>SUMIFS(clean_sales!T:T,clean_sales!C:C,RFM_Analysis!A610)</f>
        <v>5000</v>
      </c>
      <c r="F610">
        <f t="shared" ca="1" si="55"/>
        <v>5</v>
      </c>
      <c r="G610">
        <f t="shared" si="56"/>
        <v>1</v>
      </c>
      <c r="H610">
        <f t="shared" si="57"/>
        <v>1</v>
      </c>
      <c r="I610" t="str">
        <f t="shared" ca="1" si="58"/>
        <v>511</v>
      </c>
      <c r="J610" t="str">
        <f t="shared" ca="1" si="59"/>
        <v>Regular</v>
      </c>
    </row>
    <row r="611" spans="1:10" x14ac:dyDescent="0.35">
      <c r="A611" t="s">
        <v>2397</v>
      </c>
      <c r="B611" s="2">
        <f>_xlfn.MAXIFS(clean_sales!P:P,clean_sales!C:C,RFM_Analysis!A611)</f>
        <v>45988</v>
      </c>
      <c r="C611">
        <f t="shared" ca="1" si="54"/>
        <v>40</v>
      </c>
      <c r="D611">
        <f>COUNTIFS(clean_sales!C:C,RFM_Analysis!A611)</f>
        <v>1</v>
      </c>
      <c r="E611">
        <f>SUMIFS(clean_sales!T:T,clean_sales!C:C,RFM_Analysis!A611)</f>
        <v>195000</v>
      </c>
      <c r="F611">
        <f t="shared" ca="1" si="55"/>
        <v>5</v>
      </c>
      <c r="G611">
        <f t="shared" si="56"/>
        <v>1</v>
      </c>
      <c r="H611">
        <f t="shared" si="57"/>
        <v>4</v>
      </c>
      <c r="I611" t="str">
        <f t="shared" ca="1" si="58"/>
        <v>514</v>
      </c>
      <c r="J611" t="str">
        <f t="shared" ca="1" si="59"/>
        <v>Regular</v>
      </c>
    </row>
    <row r="612" spans="1:10" x14ac:dyDescent="0.35">
      <c r="A612" t="s">
        <v>2398</v>
      </c>
      <c r="B612" s="2">
        <f>_xlfn.MAXIFS(clean_sales!P:P,clean_sales!C:C,RFM_Analysis!A612)</f>
        <v>45806</v>
      </c>
      <c r="C612">
        <f t="shared" ca="1" si="54"/>
        <v>222</v>
      </c>
      <c r="D612">
        <f>COUNTIFS(clean_sales!C:C,RFM_Analysis!A612)</f>
        <v>1</v>
      </c>
      <c r="E612">
        <f>SUMIFS(clean_sales!T:T,clean_sales!C:C,RFM_Analysis!A612)</f>
        <v>232000</v>
      </c>
      <c r="F612">
        <f t="shared" ca="1" si="55"/>
        <v>2</v>
      </c>
      <c r="G612">
        <f t="shared" si="56"/>
        <v>1</v>
      </c>
      <c r="H612">
        <f t="shared" si="57"/>
        <v>4</v>
      </c>
      <c r="I612" t="str">
        <f t="shared" ca="1" si="58"/>
        <v>214</v>
      </c>
      <c r="J612" t="str">
        <f t="shared" ca="1" si="59"/>
        <v>At Risk</v>
      </c>
    </row>
    <row r="613" spans="1:10" x14ac:dyDescent="0.35">
      <c r="A613" t="s">
        <v>2399</v>
      </c>
      <c r="B613" s="2">
        <f>_xlfn.MAXIFS(clean_sales!P:P,clean_sales!C:C,RFM_Analysis!A613)</f>
        <v>45853</v>
      </c>
      <c r="C613">
        <f t="shared" ca="1" si="54"/>
        <v>175</v>
      </c>
      <c r="D613">
        <f>COUNTIFS(clean_sales!C:C,RFM_Analysis!A613)</f>
        <v>1</v>
      </c>
      <c r="E613">
        <f>SUMIFS(clean_sales!T:T,clean_sales!C:C,RFM_Analysis!A613)</f>
        <v>290000</v>
      </c>
      <c r="F613">
        <f t="shared" ca="1" si="55"/>
        <v>2</v>
      </c>
      <c r="G613">
        <f t="shared" si="56"/>
        <v>1</v>
      </c>
      <c r="H613">
        <f t="shared" si="57"/>
        <v>4</v>
      </c>
      <c r="I613" t="str">
        <f t="shared" ca="1" si="58"/>
        <v>214</v>
      </c>
      <c r="J613" t="str">
        <f t="shared" ca="1" si="59"/>
        <v>At Risk</v>
      </c>
    </row>
    <row r="614" spans="1:10" x14ac:dyDescent="0.35">
      <c r="A614" t="s">
        <v>2400</v>
      </c>
      <c r="B614" s="2">
        <f>_xlfn.MAXIFS(clean_sales!P:P,clean_sales!C:C,RFM_Analysis!A614)</f>
        <v>45799</v>
      </c>
      <c r="C614">
        <f t="shared" ca="1" si="54"/>
        <v>229</v>
      </c>
      <c r="D614">
        <f>COUNTIFS(clean_sales!C:C,RFM_Analysis!A614)</f>
        <v>1</v>
      </c>
      <c r="E614">
        <f>SUMIFS(clean_sales!T:T,clean_sales!C:C,RFM_Analysis!A614)</f>
        <v>48000</v>
      </c>
      <c r="F614">
        <f t="shared" ca="1" si="55"/>
        <v>2</v>
      </c>
      <c r="G614">
        <f t="shared" si="56"/>
        <v>1</v>
      </c>
      <c r="H614">
        <f t="shared" si="57"/>
        <v>2</v>
      </c>
      <c r="I614" t="str">
        <f t="shared" ca="1" si="58"/>
        <v>212</v>
      </c>
      <c r="J614" t="str">
        <f t="shared" ca="1" si="59"/>
        <v>At Risk</v>
      </c>
    </row>
    <row r="615" spans="1:10" x14ac:dyDescent="0.35">
      <c r="A615" t="s">
        <v>2401</v>
      </c>
      <c r="B615" s="2">
        <f>_xlfn.MAXIFS(clean_sales!P:P,clean_sales!C:C,RFM_Analysis!A615)</f>
        <v>45763</v>
      </c>
      <c r="C615">
        <f t="shared" ca="1" si="54"/>
        <v>265</v>
      </c>
      <c r="D615">
        <f>COUNTIFS(clean_sales!C:C,RFM_Analysis!A615)</f>
        <v>1</v>
      </c>
      <c r="E615">
        <f>SUMIFS(clean_sales!T:T,clean_sales!C:C,RFM_Analysis!A615)</f>
        <v>36000</v>
      </c>
      <c r="F615">
        <f t="shared" ca="1" si="55"/>
        <v>1</v>
      </c>
      <c r="G615">
        <f t="shared" si="56"/>
        <v>1</v>
      </c>
      <c r="H615">
        <f t="shared" si="57"/>
        <v>2</v>
      </c>
      <c r="I615" t="str">
        <f t="shared" ca="1" si="58"/>
        <v>112</v>
      </c>
      <c r="J615" t="str">
        <f t="shared" ca="1" si="59"/>
        <v>At Risk</v>
      </c>
    </row>
    <row r="616" spans="1:10" x14ac:dyDescent="0.35">
      <c r="A616" t="s">
        <v>2402</v>
      </c>
      <c r="B616" s="2">
        <f>_xlfn.MAXIFS(clean_sales!P:P,clean_sales!C:C,RFM_Analysis!A616)</f>
        <v>45780</v>
      </c>
      <c r="C616">
        <f t="shared" ca="1" si="54"/>
        <v>248</v>
      </c>
      <c r="D616">
        <f>COUNTIFS(clean_sales!C:C,RFM_Analysis!A616)</f>
        <v>1</v>
      </c>
      <c r="E616">
        <f>SUMIFS(clean_sales!T:T,clean_sales!C:C,RFM_Analysis!A616)</f>
        <v>72000</v>
      </c>
      <c r="F616">
        <f t="shared" ca="1" si="55"/>
        <v>1</v>
      </c>
      <c r="G616">
        <f t="shared" si="56"/>
        <v>1</v>
      </c>
      <c r="H616">
        <f t="shared" si="57"/>
        <v>3</v>
      </c>
      <c r="I616" t="str">
        <f t="shared" ca="1" si="58"/>
        <v>113</v>
      </c>
      <c r="J616" t="str">
        <f t="shared" ca="1" si="59"/>
        <v>At Risk</v>
      </c>
    </row>
    <row r="617" spans="1:10" x14ac:dyDescent="0.35">
      <c r="A617" t="s">
        <v>2403</v>
      </c>
      <c r="B617" s="2">
        <f>_xlfn.MAXIFS(clean_sales!P:P,clean_sales!C:C,RFM_Analysis!A617)</f>
        <v>45730</v>
      </c>
      <c r="C617">
        <f t="shared" ca="1" si="54"/>
        <v>298</v>
      </c>
      <c r="D617">
        <f>COUNTIFS(clean_sales!C:C,RFM_Analysis!A617)</f>
        <v>1</v>
      </c>
      <c r="E617">
        <f>SUMIFS(clean_sales!T:T,clean_sales!C:C,RFM_Analysis!A617)</f>
        <v>20000</v>
      </c>
      <c r="F617">
        <f t="shared" ca="1" si="55"/>
        <v>1</v>
      </c>
      <c r="G617">
        <f t="shared" si="56"/>
        <v>1</v>
      </c>
      <c r="H617">
        <f t="shared" si="57"/>
        <v>2</v>
      </c>
      <c r="I617" t="str">
        <f t="shared" ca="1" si="58"/>
        <v>112</v>
      </c>
      <c r="J617" t="str">
        <f t="shared" ca="1" si="59"/>
        <v>At Risk</v>
      </c>
    </row>
    <row r="618" spans="1:10" x14ac:dyDescent="0.35">
      <c r="A618" t="s">
        <v>2404</v>
      </c>
      <c r="B618" s="2">
        <f>_xlfn.MAXIFS(clean_sales!P:P,clean_sales!C:C,RFM_Analysis!A618)</f>
        <v>45759</v>
      </c>
      <c r="C618">
        <f t="shared" ca="1" si="54"/>
        <v>269</v>
      </c>
      <c r="D618">
        <f>COUNTIFS(clean_sales!C:C,RFM_Analysis!A618)</f>
        <v>1</v>
      </c>
      <c r="E618">
        <f>SUMIFS(clean_sales!T:T,clean_sales!C:C,RFM_Analysis!A618)</f>
        <v>116000</v>
      </c>
      <c r="F618">
        <f t="shared" ca="1" si="55"/>
        <v>1</v>
      </c>
      <c r="G618">
        <f t="shared" si="56"/>
        <v>1</v>
      </c>
      <c r="H618">
        <f t="shared" si="57"/>
        <v>3</v>
      </c>
      <c r="I618" t="str">
        <f t="shared" ca="1" si="58"/>
        <v>113</v>
      </c>
      <c r="J618" t="str">
        <f t="shared" ca="1" si="59"/>
        <v>At Risk</v>
      </c>
    </row>
    <row r="619" spans="1:10" x14ac:dyDescent="0.35">
      <c r="A619" t="s">
        <v>2405</v>
      </c>
      <c r="B619" s="2">
        <f>_xlfn.MAXIFS(clean_sales!P:P,clean_sales!C:C,RFM_Analysis!A619)</f>
        <v>45918</v>
      </c>
      <c r="C619">
        <f t="shared" ca="1" si="54"/>
        <v>110</v>
      </c>
      <c r="D619">
        <f>COUNTIFS(clean_sales!C:C,RFM_Analysis!A619)</f>
        <v>1</v>
      </c>
      <c r="E619">
        <f>SUMIFS(clean_sales!T:T,clean_sales!C:C,RFM_Analysis!A619)</f>
        <v>5000</v>
      </c>
      <c r="F619">
        <f t="shared" ca="1" si="55"/>
        <v>3</v>
      </c>
      <c r="G619">
        <f t="shared" si="56"/>
        <v>1</v>
      </c>
      <c r="H619">
        <f t="shared" si="57"/>
        <v>1</v>
      </c>
      <c r="I619" t="str">
        <f t="shared" ca="1" si="58"/>
        <v>311</v>
      </c>
      <c r="J619" t="str">
        <f t="shared" ca="1" si="59"/>
        <v>Regular</v>
      </c>
    </row>
    <row r="620" spans="1:10" x14ac:dyDescent="0.35">
      <c r="A620" t="s">
        <v>2406</v>
      </c>
      <c r="B620" s="2">
        <f>_xlfn.MAXIFS(clean_sales!P:P,clean_sales!C:C,RFM_Analysis!A620)</f>
        <v>45861</v>
      </c>
      <c r="C620">
        <f t="shared" ca="1" si="54"/>
        <v>167</v>
      </c>
      <c r="D620">
        <f>COUNTIFS(clean_sales!C:C,RFM_Analysis!A620)</f>
        <v>1</v>
      </c>
      <c r="E620">
        <f>SUMIFS(clean_sales!T:T,clean_sales!C:C,RFM_Analysis!A620)</f>
        <v>360000</v>
      </c>
      <c r="F620">
        <f t="shared" ca="1" si="55"/>
        <v>3</v>
      </c>
      <c r="G620">
        <f t="shared" si="56"/>
        <v>1</v>
      </c>
      <c r="H620">
        <f t="shared" si="57"/>
        <v>5</v>
      </c>
      <c r="I620" t="str">
        <f t="shared" ca="1" si="58"/>
        <v>315</v>
      </c>
      <c r="J620" t="str">
        <f t="shared" ca="1" si="59"/>
        <v>Regular</v>
      </c>
    </row>
    <row r="621" spans="1:10" x14ac:dyDescent="0.35">
      <c r="A621" t="s">
        <v>2407</v>
      </c>
      <c r="B621" s="2">
        <f>_xlfn.MAXIFS(clean_sales!P:P,clean_sales!C:C,RFM_Analysis!A621)</f>
        <v>46024</v>
      </c>
      <c r="C621">
        <f t="shared" ca="1" si="54"/>
        <v>4</v>
      </c>
      <c r="D621">
        <f>COUNTIFS(clean_sales!C:C,RFM_Analysis!A621)</f>
        <v>2</v>
      </c>
      <c r="E621">
        <f>SUMIFS(clean_sales!T:T,clean_sales!C:C,RFM_Analysis!A621)</f>
        <v>256000</v>
      </c>
      <c r="F621">
        <f t="shared" ca="1" si="55"/>
        <v>5</v>
      </c>
      <c r="G621">
        <f t="shared" si="56"/>
        <v>3</v>
      </c>
      <c r="H621">
        <f t="shared" si="57"/>
        <v>4</v>
      </c>
      <c r="I621" t="str">
        <f t="shared" ca="1" si="58"/>
        <v>534</v>
      </c>
      <c r="J621" t="str">
        <f t="shared" ca="1" si="59"/>
        <v>Regular</v>
      </c>
    </row>
    <row r="622" spans="1:10" x14ac:dyDescent="0.35">
      <c r="A622" t="s">
        <v>2408</v>
      </c>
      <c r="B622" s="2">
        <f>_xlfn.MAXIFS(clean_sales!P:P,clean_sales!C:C,RFM_Analysis!A622)</f>
        <v>45829</v>
      </c>
      <c r="C622">
        <f t="shared" ca="1" si="54"/>
        <v>199</v>
      </c>
      <c r="D622">
        <f>COUNTIFS(clean_sales!C:C,RFM_Analysis!A622)</f>
        <v>1</v>
      </c>
      <c r="E622">
        <f>SUMIFS(clean_sales!T:T,clean_sales!C:C,RFM_Analysis!A622)</f>
        <v>9000</v>
      </c>
      <c r="F622">
        <f t="shared" ca="1" si="55"/>
        <v>2</v>
      </c>
      <c r="G622">
        <f t="shared" si="56"/>
        <v>1</v>
      </c>
      <c r="H622">
        <f t="shared" si="57"/>
        <v>1</v>
      </c>
      <c r="I622" t="str">
        <f t="shared" ca="1" si="58"/>
        <v>211</v>
      </c>
      <c r="J622" t="str">
        <f t="shared" ca="1" si="59"/>
        <v>At Risk</v>
      </c>
    </row>
    <row r="623" spans="1:10" x14ac:dyDescent="0.35">
      <c r="A623" t="s">
        <v>2409</v>
      </c>
      <c r="B623" s="2">
        <f>_xlfn.MAXIFS(clean_sales!P:P,clean_sales!C:C,RFM_Analysis!A623)</f>
        <v>45962</v>
      </c>
      <c r="C623">
        <f t="shared" ca="1" si="54"/>
        <v>66</v>
      </c>
      <c r="D623">
        <f>COUNTIFS(clean_sales!C:C,RFM_Analysis!A623)</f>
        <v>1</v>
      </c>
      <c r="E623">
        <f>SUMIFS(clean_sales!T:T,clean_sales!C:C,RFM_Analysis!A623)</f>
        <v>12000</v>
      </c>
      <c r="F623">
        <f t="shared" ca="1" si="55"/>
        <v>4</v>
      </c>
      <c r="G623">
        <f t="shared" si="56"/>
        <v>1</v>
      </c>
      <c r="H623">
        <f t="shared" si="57"/>
        <v>1</v>
      </c>
      <c r="I623" t="str">
        <f t="shared" ca="1" si="58"/>
        <v>411</v>
      </c>
      <c r="J623" t="str">
        <f t="shared" ca="1" si="59"/>
        <v>Regular</v>
      </c>
    </row>
    <row r="624" spans="1:10" x14ac:dyDescent="0.35">
      <c r="A624" t="s">
        <v>2410</v>
      </c>
      <c r="B624" s="2">
        <f>_xlfn.MAXIFS(clean_sales!P:P,clean_sales!C:C,RFM_Analysis!A624)</f>
        <v>45989</v>
      </c>
      <c r="C624">
        <f t="shared" ca="1" si="54"/>
        <v>39</v>
      </c>
      <c r="D624">
        <f>COUNTIFS(clean_sales!C:C,RFM_Analysis!A624)</f>
        <v>1</v>
      </c>
      <c r="E624">
        <f>SUMIFS(clean_sales!T:T,clean_sales!C:C,RFM_Analysis!A624)</f>
        <v>232000</v>
      </c>
      <c r="F624">
        <f t="shared" ca="1" si="55"/>
        <v>5</v>
      </c>
      <c r="G624">
        <f t="shared" si="56"/>
        <v>1</v>
      </c>
      <c r="H624">
        <f t="shared" si="57"/>
        <v>4</v>
      </c>
      <c r="I624" t="str">
        <f t="shared" ca="1" si="58"/>
        <v>514</v>
      </c>
      <c r="J624" t="str">
        <f t="shared" ca="1" si="59"/>
        <v>Regular</v>
      </c>
    </row>
    <row r="625" spans="1:10" x14ac:dyDescent="0.35">
      <c r="A625" t="s">
        <v>2411</v>
      </c>
      <c r="B625" s="2">
        <f>_xlfn.MAXIFS(clean_sales!P:P,clean_sales!C:C,RFM_Analysis!A625)</f>
        <v>45820</v>
      </c>
      <c r="C625">
        <f t="shared" ca="1" si="54"/>
        <v>208</v>
      </c>
      <c r="D625">
        <f>COUNTIFS(clean_sales!C:C,RFM_Analysis!A625)</f>
        <v>1</v>
      </c>
      <c r="E625">
        <f>SUMIFS(clean_sales!T:T,clean_sales!C:C,RFM_Analysis!A625)</f>
        <v>3600</v>
      </c>
      <c r="F625">
        <f t="shared" ca="1" si="55"/>
        <v>2</v>
      </c>
      <c r="G625">
        <f t="shared" si="56"/>
        <v>1</v>
      </c>
      <c r="H625">
        <f t="shared" si="57"/>
        <v>1</v>
      </c>
      <c r="I625" t="str">
        <f t="shared" ca="1" si="58"/>
        <v>211</v>
      </c>
      <c r="J625" t="str">
        <f t="shared" ca="1" si="59"/>
        <v>At Risk</v>
      </c>
    </row>
    <row r="626" spans="1:10" x14ac:dyDescent="0.35">
      <c r="A626" t="s">
        <v>2412</v>
      </c>
      <c r="B626" s="2">
        <f>_xlfn.MAXIFS(clean_sales!P:P,clean_sales!C:C,RFM_Analysis!A626)</f>
        <v>45888</v>
      </c>
      <c r="C626">
        <f t="shared" ca="1" si="54"/>
        <v>140</v>
      </c>
      <c r="D626">
        <f>COUNTIFS(clean_sales!C:C,RFM_Analysis!A626)</f>
        <v>1</v>
      </c>
      <c r="E626">
        <f>SUMIFS(clean_sales!T:T,clean_sales!C:C,RFM_Analysis!A626)</f>
        <v>13500</v>
      </c>
      <c r="F626">
        <f t="shared" ca="1" si="55"/>
        <v>3</v>
      </c>
      <c r="G626">
        <f t="shared" si="56"/>
        <v>1</v>
      </c>
      <c r="H626">
        <f t="shared" si="57"/>
        <v>1</v>
      </c>
      <c r="I626" t="str">
        <f t="shared" ca="1" si="58"/>
        <v>311</v>
      </c>
      <c r="J626" t="str">
        <f t="shared" ca="1" si="59"/>
        <v>Regular</v>
      </c>
    </row>
    <row r="627" spans="1:10" x14ac:dyDescent="0.35">
      <c r="A627" t="s">
        <v>2413</v>
      </c>
      <c r="B627" s="2">
        <f>_xlfn.MAXIFS(clean_sales!P:P,clean_sales!C:C,RFM_Analysis!A627)</f>
        <v>45707</v>
      </c>
      <c r="C627">
        <f t="shared" ca="1" si="54"/>
        <v>321</v>
      </c>
      <c r="D627">
        <f>COUNTIFS(clean_sales!C:C,RFM_Analysis!A627)</f>
        <v>1</v>
      </c>
      <c r="E627">
        <f>SUMIFS(clean_sales!T:T,clean_sales!C:C,RFM_Analysis!A627)</f>
        <v>116000</v>
      </c>
      <c r="F627">
        <f t="shared" ca="1" si="55"/>
        <v>1</v>
      </c>
      <c r="G627">
        <f t="shared" si="56"/>
        <v>1</v>
      </c>
      <c r="H627">
        <f t="shared" si="57"/>
        <v>3</v>
      </c>
      <c r="I627" t="str">
        <f t="shared" ca="1" si="58"/>
        <v>113</v>
      </c>
      <c r="J627" t="str">
        <f t="shared" ca="1" si="59"/>
        <v>At Risk</v>
      </c>
    </row>
    <row r="628" spans="1:10" x14ac:dyDescent="0.35">
      <c r="A628" t="s">
        <v>2414</v>
      </c>
      <c r="B628" s="2">
        <f>_xlfn.MAXIFS(clean_sales!P:P,clean_sales!C:C,RFM_Analysis!A628)</f>
        <v>45914</v>
      </c>
      <c r="C628">
        <f t="shared" ca="1" si="54"/>
        <v>114</v>
      </c>
      <c r="D628">
        <f>COUNTIFS(clean_sales!C:C,RFM_Analysis!A628)</f>
        <v>1</v>
      </c>
      <c r="E628">
        <f>SUMIFS(clean_sales!T:T,clean_sales!C:C,RFM_Analysis!A628)</f>
        <v>260000</v>
      </c>
      <c r="F628">
        <f t="shared" ca="1" si="55"/>
        <v>3</v>
      </c>
      <c r="G628">
        <f t="shared" si="56"/>
        <v>1</v>
      </c>
      <c r="H628">
        <f t="shared" si="57"/>
        <v>4</v>
      </c>
      <c r="I628" t="str">
        <f t="shared" ca="1" si="58"/>
        <v>314</v>
      </c>
      <c r="J628" t="str">
        <f t="shared" ca="1" si="59"/>
        <v>Regular</v>
      </c>
    </row>
    <row r="629" spans="1:10" x14ac:dyDescent="0.35">
      <c r="A629" t="s">
        <v>2415</v>
      </c>
      <c r="B629" s="2">
        <f>_xlfn.MAXIFS(clean_sales!P:P,clean_sales!C:C,RFM_Analysis!A629)</f>
        <v>45781</v>
      </c>
      <c r="C629">
        <f t="shared" ca="1" si="54"/>
        <v>247</v>
      </c>
      <c r="D629">
        <f>COUNTIFS(clean_sales!C:C,RFM_Analysis!A629)</f>
        <v>1</v>
      </c>
      <c r="E629">
        <f>SUMIFS(clean_sales!T:T,clean_sales!C:C,RFM_Analysis!A629)</f>
        <v>48000</v>
      </c>
      <c r="F629">
        <f t="shared" ca="1" si="55"/>
        <v>1</v>
      </c>
      <c r="G629">
        <f t="shared" si="56"/>
        <v>1</v>
      </c>
      <c r="H629">
        <f t="shared" si="57"/>
        <v>2</v>
      </c>
      <c r="I629" t="str">
        <f t="shared" ca="1" si="58"/>
        <v>112</v>
      </c>
      <c r="J629" t="str">
        <f t="shared" ca="1" si="59"/>
        <v>At Risk</v>
      </c>
    </row>
    <row r="630" spans="1:10" x14ac:dyDescent="0.35">
      <c r="A630" t="s">
        <v>2416</v>
      </c>
      <c r="B630" s="2">
        <f>_xlfn.MAXIFS(clean_sales!P:P,clean_sales!C:C,RFM_Analysis!A630)</f>
        <v>46008</v>
      </c>
      <c r="C630">
        <f t="shared" ca="1" si="54"/>
        <v>20</v>
      </c>
      <c r="D630">
        <f>COUNTIFS(clean_sales!C:C,RFM_Analysis!A630)</f>
        <v>1</v>
      </c>
      <c r="E630">
        <f>SUMIFS(clean_sales!T:T,clean_sales!C:C,RFM_Analysis!A630)</f>
        <v>325000</v>
      </c>
      <c r="F630">
        <f t="shared" ca="1" si="55"/>
        <v>5</v>
      </c>
      <c r="G630">
        <f t="shared" si="56"/>
        <v>1</v>
      </c>
      <c r="H630">
        <f t="shared" si="57"/>
        <v>5</v>
      </c>
      <c r="I630" t="str">
        <f t="shared" ca="1" si="58"/>
        <v>515</v>
      </c>
      <c r="J630" t="str">
        <f t="shared" ca="1" si="59"/>
        <v>Regular</v>
      </c>
    </row>
    <row r="631" spans="1:10" x14ac:dyDescent="0.35">
      <c r="A631" t="s">
        <v>2417</v>
      </c>
      <c r="B631" s="2">
        <f>_xlfn.MAXIFS(clean_sales!P:P,clean_sales!C:C,RFM_Analysis!A631)</f>
        <v>45715</v>
      </c>
      <c r="C631">
        <f t="shared" ca="1" si="54"/>
        <v>313</v>
      </c>
      <c r="D631">
        <f>COUNTIFS(clean_sales!C:C,RFM_Analysis!A631)</f>
        <v>1</v>
      </c>
      <c r="E631">
        <f>SUMIFS(clean_sales!T:T,clean_sales!C:C,RFM_Analysis!A631)</f>
        <v>5000</v>
      </c>
      <c r="F631">
        <f t="shared" ca="1" si="55"/>
        <v>1</v>
      </c>
      <c r="G631">
        <f t="shared" si="56"/>
        <v>1</v>
      </c>
      <c r="H631">
        <f t="shared" si="57"/>
        <v>1</v>
      </c>
      <c r="I631" t="str">
        <f t="shared" ca="1" si="58"/>
        <v>111</v>
      </c>
      <c r="J631" t="str">
        <f t="shared" ca="1" si="59"/>
        <v>At Risk</v>
      </c>
    </row>
    <row r="632" spans="1:10" x14ac:dyDescent="0.35">
      <c r="A632" t="s">
        <v>2418</v>
      </c>
      <c r="B632" s="2">
        <f>_xlfn.MAXIFS(clean_sales!P:P,clean_sales!C:C,RFM_Analysis!A632)</f>
        <v>45841</v>
      </c>
      <c r="C632">
        <f t="shared" ca="1" si="54"/>
        <v>187</v>
      </c>
      <c r="D632">
        <f>COUNTIFS(clean_sales!C:C,RFM_Analysis!A632)</f>
        <v>2</v>
      </c>
      <c r="E632">
        <f>SUMIFS(clean_sales!T:T,clean_sales!C:C,RFM_Analysis!A632)</f>
        <v>118000</v>
      </c>
      <c r="F632">
        <f t="shared" ca="1" si="55"/>
        <v>2</v>
      </c>
      <c r="G632">
        <f t="shared" si="56"/>
        <v>3</v>
      </c>
      <c r="H632">
        <f t="shared" si="57"/>
        <v>3</v>
      </c>
      <c r="I632" t="str">
        <f t="shared" ca="1" si="58"/>
        <v>233</v>
      </c>
      <c r="J632" t="str">
        <f t="shared" ca="1" si="59"/>
        <v>At Risk</v>
      </c>
    </row>
    <row r="633" spans="1:10" x14ac:dyDescent="0.35">
      <c r="A633" t="s">
        <v>2419</v>
      </c>
      <c r="B633" s="2">
        <f>_xlfn.MAXIFS(clean_sales!P:P,clean_sales!C:C,RFM_Analysis!A633)</f>
        <v>45684</v>
      </c>
      <c r="C633">
        <f t="shared" ca="1" si="54"/>
        <v>344</v>
      </c>
      <c r="D633">
        <f>COUNTIFS(clean_sales!C:C,RFM_Analysis!A633)</f>
        <v>1</v>
      </c>
      <c r="E633">
        <f>SUMIFS(clean_sales!T:T,clean_sales!C:C,RFM_Analysis!A633)</f>
        <v>60000</v>
      </c>
      <c r="F633">
        <f t="shared" ca="1" si="55"/>
        <v>1</v>
      </c>
      <c r="G633">
        <f t="shared" si="56"/>
        <v>1</v>
      </c>
      <c r="H633">
        <f t="shared" si="57"/>
        <v>3</v>
      </c>
      <c r="I633" t="str">
        <f t="shared" ca="1" si="58"/>
        <v>113</v>
      </c>
      <c r="J633" t="str">
        <f t="shared" ca="1" si="59"/>
        <v>At Risk</v>
      </c>
    </row>
    <row r="634" spans="1:10" x14ac:dyDescent="0.35">
      <c r="A634" t="s">
        <v>2420</v>
      </c>
      <c r="B634" s="2">
        <f>_xlfn.MAXIFS(clean_sales!P:P,clean_sales!C:C,RFM_Analysis!A634)</f>
        <v>45793</v>
      </c>
      <c r="C634">
        <f t="shared" ca="1" si="54"/>
        <v>235</v>
      </c>
      <c r="D634">
        <f>COUNTIFS(clean_sales!C:C,RFM_Analysis!A634)</f>
        <v>2</v>
      </c>
      <c r="E634">
        <f>SUMIFS(clean_sales!T:T,clean_sales!C:C,RFM_Analysis!A634)</f>
        <v>231000</v>
      </c>
      <c r="F634">
        <f t="shared" ca="1" si="55"/>
        <v>2</v>
      </c>
      <c r="G634">
        <f t="shared" si="56"/>
        <v>3</v>
      </c>
      <c r="H634">
        <f t="shared" si="57"/>
        <v>4</v>
      </c>
      <c r="I634" t="str">
        <f t="shared" ca="1" si="58"/>
        <v>234</v>
      </c>
      <c r="J634" t="str">
        <f t="shared" ca="1" si="59"/>
        <v>At Risk</v>
      </c>
    </row>
    <row r="635" spans="1:10" x14ac:dyDescent="0.35">
      <c r="A635" t="s">
        <v>2421</v>
      </c>
      <c r="B635" s="2">
        <f>_xlfn.MAXIFS(clean_sales!P:P,clean_sales!C:C,RFM_Analysis!A635)</f>
        <v>46001</v>
      </c>
      <c r="C635">
        <f t="shared" ca="1" si="54"/>
        <v>27</v>
      </c>
      <c r="D635">
        <f>COUNTIFS(clean_sales!C:C,RFM_Analysis!A635)</f>
        <v>1</v>
      </c>
      <c r="E635">
        <f>SUMIFS(clean_sales!T:T,clean_sales!C:C,RFM_Analysis!A635)</f>
        <v>12000</v>
      </c>
      <c r="F635">
        <f t="shared" ca="1" si="55"/>
        <v>5</v>
      </c>
      <c r="G635">
        <f t="shared" si="56"/>
        <v>1</v>
      </c>
      <c r="H635">
        <f t="shared" si="57"/>
        <v>1</v>
      </c>
      <c r="I635" t="str">
        <f t="shared" ca="1" si="58"/>
        <v>511</v>
      </c>
      <c r="J635" t="str">
        <f t="shared" ca="1" si="59"/>
        <v>Regular</v>
      </c>
    </row>
    <row r="636" spans="1:10" x14ac:dyDescent="0.35">
      <c r="A636" t="s">
        <v>2422</v>
      </c>
      <c r="B636" s="2">
        <f>_xlfn.MAXIFS(clean_sales!P:P,clean_sales!C:C,RFM_Analysis!A636)</f>
        <v>45747</v>
      </c>
      <c r="C636">
        <f t="shared" ca="1" si="54"/>
        <v>281</v>
      </c>
      <c r="D636">
        <f>COUNTIFS(clean_sales!C:C,RFM_Analysis!A636)</f>
        <v>1</v>
      </c>
      <c r="E636">
        <f>SUMIFS(clean_sales!T:T,clean_sales!C:C,RFM_Analysis!A636)</f>
        <v>3600</v>
      </c>
      <c r="F636">
        <f t="shared" ca="1" si="55"/>
        <v>1</v>
      </c>
      <c r="G636">
        <f t="shared" si="56"/>
        <v>1</v>
      </c>
      <c r="H636">
        <f t="shared" si="57"/>
        <v>1</v>
      </c>
      <c r="I636" t="str">
        <f t="shared" ca="1" si="58"/>
        <v>111</v>
      </c>
      <c r="J636" t="str">
        <f t="shared" ca="1" si="59"/>
        <v>At Risk</v>
      </c>
    </row>
    <row r="637" spans="1:10" x14ac:dyDescent="0.35">
      <c r="A637" t="s">
        <v>2423</v>
      </c>
      <c r="B637" s="2">
        <f>_xlfn.MAXIFS(clean_sales!P:P,clean_sales!C:C,RFM_Analysis!A637)</f>
        <v>45923</v>
      </c>
      <c r="C637">
        <f t="shared" ca="1" si="54"/>
        <v>105</v>
      </c>
      <c r="D637">
        <f>COUNTIFS(clean_sales!C:C,RFM_Analysis!A637)</f>
        <v>1</v>
      </c>
      <c r="E637">
        <f>SUMIFS(clean_sales!T:T,clean_sales!C:C,RFM_Analysis!A637)</f>
        <v>58000</v>
      </c>
      <c r="F637">
        <f t="shared" ca="1" si="55"/>
        <v>4</v>
      </c>
      <c r="G637">
        <f t="shared" si="56"/>
        <v>1</v>
      </c>
      <c r="H637">
        <f t="shared" si="57"/>
        <v>2</v>
      </c>
      <c r="I637" t="str">
        <f t="shared" ca="1" si="58"/>
        <v>412</v>
      </c>
      <c r="J637" t="str">
        <f t="shared" ca="1" si="59"/>
        <v>Regular</v>
      </c>
    </row>
    <row r="638" spans="1:10" x14ac:dyDescent="0.35">
      <c r="A638" t="s">
        <v>2424</v>
      </c>
      <c r="B638" s="2">
        <f>_xlfn.MAXIFS(clean_sales!P:P,clean_sales!C:C,RFM_Analysis!A638)</f>
        <v>45828</v>
      </c>
      <c r="C638">
        <f t="shared" ca="1" si="54"/>
        <v>200</v>
      </c>
      <c r="D638">
        <f>COUNTIFS(clean_sales!C:C,RFM_Analysis!A638)</f>
        <v>1</v>
      </c>
      <c r="E638">
        <f>SUMIFS(clean_sales!T:T,clean_sales!C:C,RFM_Analysis!A638)</f>
        <v>15000</v>
      </c>
      <c r="F638">
        <f t="shared" ca="1" si="55"/>
        <v>2</v>
      </c>
      <c r="G638">
        <f t="shared" si="56"/>
        <v>1</v>
      </c>
      <c r="H638">
        <f t="shared" si="57"/>
        <v>1</v>
      </c>
      <c r="I638" t="str">
        <f t="shared" ca="1" si="58"/>
        <v>211</v>
      </c>
      <c r="J638" t="str">
        <f t="shared" ca="1" si="59"/>
        <v>At Risk</v>
      </c>
    </row>
    <row r="639" spans="1:10" x14ac:dyDescent="0.35">
      <c r="A639" t="s">
        <v>2425</v>
      </c>
      <c r="B639" s="2">
        <f>_xlfn.MAXIFS(clean_sales!P:P,clean_sales!C:C,RFM_Analysis!A639)</f>
        <v>45951</v>
      </c>
      <c r="C639">
        <f t="shared" ca="1" si="54"/>
        <v>77</v>
      </c>
      <c r="D639">
        <f>COUNTIFS(clean_sales!C:C,RFM_Analysis!A639)</f>
        <v>1</v>
      </c>
      <c r="E639">
        <f>SUMIFS(clean_sales!T:T,clean_sales!C:C,RFM_Analysis!A639)</f>
        <v>5000</v>
      </c>
      <c r="F639">
        <f t="shared" ca="1" si="55"/>
        <v>4</v>
      </c>
      <c r="G639">
        <f t="shared" si="56"/>
        <v>1</v>
      </c>
      <c r="H639">
        <f t="shared" si="57"/>
        <v>1</v>
      </c>
      <c r="I639" t="str">
        <f t="shared" ca="1" si="58"/>
        <v>411</v>
      </c>
      <c r="J639" t="str">
        <f t="shared" ca="1" si="59"/>
        <v>Regular</v>
      </c>
    </row>
    <row r="640" spans="1:10" x14ac:dyDescent="0.35">
      <c r="A640" t="s">
        <v>2426</v>
      </c>
      <c r="B640" s="2">
        <f>_xlfn.MAXIFS(clean_sales!P:P,clean_sales!C:C,RFM_Analysis!A640)</f>
        <v>45863</v>
      </c>
      <c r="C640">
        <f t="shared" ca="1" si="54"/>
        <v>165</v>
      </c>
      <c r="D640">
        <f>COUNTIFS(clean_sales!C:C,RFM_Analysis!A640)</f>
        <v>1</v>
      </c>
      <c r="E640">
        <f>SUMIFS(clean_sales!T:T,clean_sales!C:C,RFM_Analysis!A640)</f>
        <v>116000</v>
      </c>
      <c r="F640">
        <f t="shared" ca="1" si="55"/>
        <v>3</v>
      </c>
      <c r="G640">
        <f t="shared" si="56"/>
        <v>1</v>
      </c>
      <c r="H640">
        <f t="shared" si="57"/>
        <v>3</v>
      </c>
      <c r="I640" t="str">
        <f t="shared" ca="1" si="58"/>
        <v>313</v>
      </c>
      <c r="J640" t="str">
        <f t="shared" ca="1" si="59"/>
        <v>Regular</v>
      </c>
    </row>
    <row r="641" spans="1:10" x14ac:dyDescent="0.35">
      <c r="A641" t="s">
        <v>2427</v>
      </c>
      <c r="B641" s="2">
        <f>_xlfn.MAXIFS(clean_sales!P:P,clean_sales!C:C,RFM_Analysis!A641)</f>
        <v>46016</v>
      </c>
      <c r="C641">
        <f t="shared" ca="1" si="54"/>
        <v>12</v>
      </c>
      <c r="D641">
        <f>COUNTIFS(clean_sales!C:C,RFM_Analysis!A641)</f>
        <v>2</v>
      </c>
      <c r="E641">
        <f>SUMIFS(clean_sales!T:T,clean_sales!C:C,RFM_Analysis!A641)</f>
        <v>219000</v>
      </c>
      <c r="F641">
        <f t="shared" ca="1" si="55"/>
        <v>5</v>
      </c>
      <c r="G641">
        <f t="shared" si="56"/>
        <v>3</v>
      </c>
      <c r="H641">
        <f t="shared" si="57"/>
        <v>4</v>
      </c>
      <c r="I641" t="str">
        <f t="shared" ca="1" si="58"/>
        <v>534</v>
      </c>
      <c r="J641" t="str">
        <f t="shared" ca="1" si="59"/>
        <v>Regular</v>
      </c>
    </row>
    <row r="642" spans="1:10" x14ac:dyDescent="0.35">
      <c r="A642" t="s">
        <v>2428</v>
      </c>
      <c r="B642" s="2">
        <f>_xlfn.MAXIFS(clean_sales!P:P,clean_sales!C:C,RFM_Analysis!A642)</f>
        <v>45948</v>
      </c>
      <c r="C642">
        <f t="shared" ca="1" si="54"/>
        <v>80</v>
      </c>
      <c r="D642">
        <f>COUNTIFS(clean_sales!C:C,RFM_Analysis!A642)</f>
        <v>2</v>
      </c>
      <c r="E642">
        <f>SUMIFS(clean_sales!T:T,clean_sales!C:C,RFM_Analysis!A642)</f>
        <v>232000</v>
      </c>
      <c r="F642">
        <f t="shared" ca="1" si="55"/>
        <v>4</v>
      </c>
      <c r="G642">
        <f t="shared" si="56"/>
        <v>3</v>
      </c>
      <c r="H642">
        <f t="shared" si="57"/>
        <v>4</v>
      </c>
      <c r="I642" t="str">
        <f t="shared" ca="1" si="58"/>
        <v>434</v>
      </c>
      <c r="J642" t="str">
        <f t="shared" ca="1" si="59"/>
        <v>Regular</v>
      </c>
    </row>
    <row r="643" spans="1:10" x14ac:dyDescent="0.35">
      <c r="A643" t="s">
        <v>2429</v>
      </c>
      <c r="B643" s="2">
        <f>_xlfn.MAXIFS(clean_sales!P:P,clean_sales!C:C,RFM_Analysis!A643)</f>
        <v>45769</v>
      </c>
      <c r="C643">
        <f t="shared" ref="C643:C696" ca="1" si="60">TODAY()-B643</f>
        <v>259</v>
      </c>
      <c r="D643">
        <f>COUNTIFS(clean_sales!C:C,RFM_Analysis!A643)</f>
        <v>1</v>
      </c>
      <c r="E643">
        <f>SUMIFS(clean_sales!T:T,clean_sales!C:C,RFM_Analysis!A643)</f>
        <v>65000</v>
      </c>
      <c r="F643">
        <f t="shared" ref="F643:F696" ca="1" si="61">IF(C643&lt;=PERCENTILE($C:$C,0.2),5,
IF(C643&lt;=PERCENTILE($C:$C,0.4),4,
IF(C643&lt;=PERCENTILE($C:$C,0.6),3,
IF(C643&lt;=PERCENTILE($C:$C,0.8),2,1))))</f>
        <v>1</v>
      </c>
      <c r="G643">
        <f t="shared" ref="G643:G696" si="62">IF(D643&lt;=PERCENTILE($D:$D,0.2),1,
IF(D643&lt;=PERCENTILE($D:$D,0.4),2,
IF(D643&lt;=PERCENTILE($D:$D,0.6),3,
IF(D643&lt;=PERCENTILE($D:$D,0.8),4,5))))</f>
        <v>1</v>
      </c>
      <c r="H643">
        <f t="shared" ref="H643:H696" si="63">IF(E643&lt;=PERCENTILE($E:$E,0.2),1,
IF(E643&lt;=PERCENTILE($E:$E,0.4),2,
IF(E643&lt;=PERCENTILE($E:$E,0.6),3,
IF(E643&lt;=PERCENTILE($E:$E,0.8),4,5))))</f>
        <v>3</v>
      </c>
      <c r="I643" t="str">
        <f t="shared" ref="I643:I696" ca="1" si="64">F643&amp;G643&amp;H643</f>
        <v>113</v>
      </c>
      <c r="J643" t="str">
        <f t="shared" ref="J643:J696" ca="1" si="65">IF(I643="555","Champions",
IF(AND(F643&gt;=4,G643&gt;=4),"Loyal",
IF(F643&lt;=2,"At Risk","Regular")))</f>
        <v>At Risk</v>
      </c>
    </row>
    <row r="644" spans="1:10" x14ac:dyDescent="0.35">
      <c r="A644" t="s">
        <v>2430</v>
      </c>
      <c r="B644" s="2">
        <f>_xlfn.MAXIFS(clean_sales!P:P,clean_sales!C:C,RFM_Analysis!A644)</f>
        <v>46019</v>
      </c>
      <c r="C644">
        <f t="shared" ca="1" si="60"/>
        <v>9</v>
      </c>
      <c r="D644">
        <f>COUNTIFS(clean_sales!C:C,RFM_Analysis!A644)</f>
        <v>3</v>
      </c>
      <c r="E644">
        <f>SUMIFS(clean_sales!T:T,clean_sales!C:C,RFM_Analysis!A644)</f>
        <v>305500</v>
      </c>
      <c r="F644">
        <f t="shared" ca="1" si="61"/>
        <v>5</v>
      </c>
      <c r="G644">
        <f t="shared" si="62"/>
        <v>5</v>
      </c>
      <c r="H644">
        <f t="shared" si="63"/>
        <v>4</v>
      </c>
      <c r="I644" t="str">
        <f t="shared" ca="1" si="64"/>
        <v>554</v>
      </c>
      <c r="J644" t="str">
        <f t="shared" ca="1" si="65"/>
        <v>Loyal</v>
      </c>
    </row>
    <row r="645" spans="1:10" x14ac:dyDescent="0.35">
      <c r="A645" t="s">
        <v>2431</v>
      </c>
      <c r="B645" s="2">
        <f>_xlfn.MAXIFS(clean_sales!P:P,clean_sales!C:C,RFM_Analysis!A645)</f>
        <v>46016</v>
      </c>
      <c r="C645">
        <f t="shared" ca="1" si="60"/>
        <v>12</v>
      </c>
      <c r="D645">
        <f>COUNTIFS(clean_sales!C:C,RFM_Analysis!A645)</f>
        <v>2</v>
      </c>
      <c r="E645">
        <f>SUMIFS(clean_sales!T:T,clean_sales!C:C,RFM_Analysis!A645)</f>
        <v>548000</v>
      </c>
      <c r="F645">
        <f t="shared" ca="1" si="61"/>
        <v>5</v>
      </c>
      <c r="G645">
        <f t="shared" si="62"/>
        <v>3</v>
      </c>
      <c r="H645">
        <f t="shared" si="63"/>
        <v>5</v>
      </c>
      <c r="I645" t="str">
        <f t="shared" ca="1" si="64"/>
        <v>535</v>
      </c>
      <c r="J645" t="str">
        <f t="shared" ca="1" si="65"/>
        <v>Regular</v>
      </c>
    </row>
    <row r="646" spans="1:10" x14ac:dyDescent="0.35">
      <c r="A646" t="s">
        <v>2432</v>
      </c>
      <c r="B646" s="2">
        <f>_xlfn.MAXIFS(clean_sales!P:P,clean_sales!C:C,RFM_Analysis!A646)</f>
        <v>45950</v>
      </c>
      <c r="C646">
        <f t="shared" ca="1" si="60"/>
        <v>78</v>
      </c>
      <c r="D646">
        <f>COUNTIFS(clean_sales!C:C,RFM_Analysis!A646)</f>
        <v>1</v>
      </c>
      <c r="E646">
        <f>SUMIFS(clean_sales!T:T,clean_sales!C:C,RFM_Analysis!A646)</f>
        <v>9000</v>
      </c>
      <c r="F646">
        <f t="shared" ca="1" si="61"/>
        <v>4</v>
      </c>
      <c r="G646">
        <f t="shared" si="62"/>
        <v>1</v>
      </c>
      <c r="H646">
        <f t="shared" si="63"/>
        <v>1</v>
      </c>
      <c r="I646" t="str">
        <f t="shared" ca="1" si="64"/>
        <v>411</v>
      </c>
      <c r="J646" t="str">
        <f t="shared" ca="1" si="65"/>
        <v>Regular</v>
      </c>
    </row>
    <row r="647" spans="1:10" x14ac:dyDescent="0.35">
      <c r="A647" t="s">
        <v>2433</v>
      </c>
      <c r="B647" s="2">
        <f>_xlfn.MAXIFS(clean_sales!P:P,clean_sales!C:C,RFM_Analysis!A647)</f>
        <v>45800</v>
      </c>
      <c r="C647">
        <f t="shared" ca="1" si="60"/>
        <v>228</v>
      </c>
      <c r="D647">
        <f>COUNTIFS(clean_sales!C:C,RFM_Analysis!A647)</f>
        <v>1</v>
      </c>
      <c r="E647">
        <f>SUMIFS(clean_sales!T:T,clean_sales!C:C,RFM_Analysis!A647)</f>
        <v>216000</v>
      </c>
      <c r="F647">
        <f t="shared" ca="1" si="61"/>
        <v>2</v>
      </c>
      <c r="G647">
        <f t="shared" si="62"/>
        <v>1</v>
      </c>
      <c r="H647">
        <f t="shared" si="63"/>
        <v>4</v>
      </c>
      <c r="I647" t="str">
        <f t="shared" ca="1" si="64"/>
        <v>214</v>
      </c>
      <c r="J647" t="str">
        <f t="shared" ca="1" si="65"/>
        <v>At Risk</v>
      </c>
    </row>
    <row r="648" spans="1:10" x14ac:dyDescent="0.35">
      <c r="A648" t="s">
        <v>2434</v>
      </c>
      <c r="B648" s="2">
        <f>_xlfn.MAXIFS(clean_sales!P:P,clean_sales!C:C,RFM_Analysis!A648)</f>
        <v>45895</v>
      </c>
      <c r="C648">
        <f t="shared" ca="1" si="60"/>
        <v>133</v>
      </c>
      <c r="D648">
        <f>COUNTIFS(clean_sales!C:C,RFM_Analysis!A648)</f>
        <v>1</v>
      </c>
      <c r="E648">
        <f>SUMIFS(clean_sales!T:T,clean_sales!C:C,RFM_Analysis!A648)</f>
        <v>174000</v>
      </c>
      <c r="F648">
        <f t="shared" ca="1" si="61"/>
        <v>3</v>
      </c>
      <c r="G648">
        <f t="shared" si="62"/>
        <v>1</v>
      </c>
      <c r="H648">
        <f t="shared" si="63"/>
        <v>4</v>
      </c>
      <c r="I648" t="str">
        <f t="shared" ca="1" si="64"/>
        <v>314</v>
      </c>
      <c r="J648" t="str">
        <f t="shared" ca="1" si="65"/>
        <v>Regular</v>
      </c>
    </row>
    <row r="649" spans="1:10" x14ac:dyDescent="0.35">
      <c r="A649" t="s">
        <v>2435</v>
      </c>
      <c r="B649" s="2">
        <f>_xlfn.MAXIFS(clean_sales!P:P,clean_sales!C:C,RFM_Analysis!A649)</f>
        <v>46010</v>
      </c>
      <c r="C649">
        <f t="shared" ca="1" si="60"/>
        <v>18</v>
      </c>
      <c r="D649">
        <f>COUNTIFS(clean_sales!C:C,RFM_Analysis!A649)</f>
        <v>2</v>
      </c>
      <c r="E649">
        <f>SUMIFS(clean_sales!T:T,clean_sales!C:C,RFM_Analysis!A649)</f>
        <v>12200</v>
      </c>
      <c r="F649">
        <f t="shared" ca="1" si="61"/>
        <v>5</v>
      </c>
      <c r="G649">
        <f t="shared" si="62"/>
        <v>3</v>
      </c>
      <c r="H649">
        <f t="shared" si="63"/>
        <v>1</v>
      </c>
      <c r="I649" t="str">
        <f t="shared" ca="1" si="64"/>
        <v>531</v>
      </c>
      <c r="J649" t="str">
        <f t="shared" ca="1" si="65"/>
        <v>Regular</v>
      </c>
    </row>
    <row r="650" spans="1:10" x14ac:dyDescent="0.35">
      <c r="A650" t="s">
        <v>2436</v>
      </c>
      <c r="B650" s="2">
        <f>_xlfn.MAXIFS(clean_sales!P:P,clean_sales!C:C,RFM_Analysis!A650)</f>
        <v>45867</v>
      </c>
      <c r="C650">
        <f t="shared" ca="1" si="60"/>
        <v>161</v>
      </c>
      <c r="D650">
        <f>COUNTIFS(clean_sales!C:C,RFM_Analysis!A650)</f>
        <v>2</v>
      </c>
      <c r="E650">
        <f>SUMIFS(clean_sales!T:T,clean_sales!C:C,RFM_Analysis!A650)</f>
        <v>45000</v>
      </c>
      <c r="F650">
        <f t="shared" ca="1" si="61"/>
        <v>3</v>
      </c>
      <c r="G650">
        <f t="shared" si="62"/>
        <v>3</v>
      </c>
      <c r="H650">
        <f t="shared" si="63"/>
        <v>2</v>
      </c>
      <c r="I650" t="str">
        <f t="shared" ca="1" si="64"/>
        <v>332</v>
      </c>
      <c r="J650" t="str">
        <f t="shared" ca="1" si="65"/>
        <v>Regular</v>
      </c>
    </row>
    <row r="651" spans="1:10" x14ac:dyDescent="0.35">
      <c r="A651" t="s">
        <v>2437</v>
      </c>
      <c r="B651" s="2">
        <f>_xlfn.MAXIFS(clean_sales!P:P,clean_sales!C:C,RFM_Analysis!A651)</f>
        <v>45993</v>
      </c>
      <c r="C651">
        <f t="shared" ca="1" si="60"/>
        <v>35</v>
      </c>
      <c r="D651">
        <f>COUNTIFS(clean_sales!C:C,RFM_Analysis!A651)</f>
        <v>1</v>
      </c>
      <c r="E651">
        <f>SUMIFS(clean_sales!T:T,clean_sales!C:C,RFM_Analysis!A651)</f>
        <v>15000</v>
      </c>
      <c r="F651">
        <f t="shared" ca="1" si="61"/>
        <v>5</v>
      </c>
      <c r="G651">
        <f t="shared" si="62"/>
        <v>1</v>
      </c>
      <c r="H651">
        <f t="shared" si="63"/>
        <v>1</v>
      </c>
      <c r="I651" t="str">
        <f t="shared" ca="1" si="64"/>
        <v>511</v>
      </c>
      <c r="J651" t="str">
        <f t="shared" ca="1" si="65"/>
        <v>Regular</v>
      </c>
    </row>
    <row r="652" spans="1:10" x14ac:dyDescent="0.35">
      <c r="A652" t="s">
        <v>2438</v>
      </c>
      <c r="B652" s="2">
        <f>_xlfn.MAXIFS(clean_sales!P:P,clean_sales!C:C,RFM_Analysis!A652)</f>
        <v>45808</v>
      </c>
      <c r="C652">
        <f t="shared" ca="1" si="60"/>
        <v>220</v>
      </c>
      <c r="D652">
        <f>COUNTIFS(clean_sales!C:C,RFM_Analysis!A652)</f>
        <v>1</v>
      </c>
      <c r="E652">
        <f>SUMIFS(clean_sales!T:T,clean_sales!C:C,RFM_Analysis!A652)</f>
        <v>5000</v>
      </c>
      <c r="F652">
        <f t="shared" ca="1" si="61"/>
        <v>2</v>
      </c>
      <c r="G652">
        <f t="shared" si="62"/>
        <v>1</v>
      </c>
      <c r="H652">
        <f t="shared" si="63"/>
        <v>1</v>
      </c>
      <c r="I652" t="str">
        <f t="shared" ca="1" si="64"/>
        <v>211</v>
      </c>
      <c r="J652" t="str">
        <f t="shared" ca="1" si="65"/>
        <v>At Risk</v>
      </c>
    </row>
    <row r="653" spans="1:10" x14ac:dyDescent="0.35">
      <c r="A653" t="s">
        <v>2439</v>
      </c>
      <c r="B653" s="2">
        <f>_xlfn.MAXIFS(clean_sales!P:P,clean_sales!C:C,RFM_Analysis!A653)</f>
        <v>45735</v>
      </c>
      <c r="C653">
        <f t="shared" ca="1" si="60"/>
        <v>293</v>
      </c>
      <c r="D653">
        <f>COUNTIFS(clean_sales!C:C,RFM_Analysis!A653)</f>
        <v>1</v>
      </c>
      <c r="E653">
        <f>SUMIFS(clean_sales!T:T,clean_sales!C:C,RFM_Analysis!A653)</f>
        <v>260000</v>
      </c>
      <c r="F653">
        <f t="shared" ca="1" si="61"/>
        <v>1</v>
      </c>
      <c r="G653">
        <f t="shared" si="62"/>
        <v>1</v>
      </c>
      <c r="H653">
        <f t="shared" si="63"/>
        <v>4</v>
      </c>
      <c r="I653" t="str">
        <f t="shared" ca="1" si="64"/>
        <v>114</v>
      </c>
      <c r="J653" t="str">
        <f t="shared" ca="1" si="65"/>
        <v>At Risk</v>
      </c>
    </row>
    <row r="654" spans="1:10" x14ac:dyDescent="0.35">
      <c r="A654" t="s">
        <v>2440</v>
      </c>
      <c r="B654" s="2">
        <f>_xlfn.MAXIFS(clean_sales!P:P,clean_sales!C:C,RFM_Analysis!A654)</f>
        <v>46019</v>
      </c>
      <c r="C654">
        <f t="shared" ca="1" si="60"/>
        <v>9</v>
      </c>
      <c r="D654">
        <f>COUNTIFS(clean_sales!C:C,RFM_Analysis!A654)</f>
        <v>1</v>
      </c>
      <c r="E654">
        <f>SUMIFS(clean_sales!T:T,clean_sales!C:C,RFM_Analysis!A654)</f>
        <v>65000</v>
      </c>
      <c r="F654">
        <f t="shared" ca="1" si="61"/>
        <v>5</v>
      </c>
      <c r="G654">
        <f t="shared" si="62"/>
        <v>1</v>
      </c>
      <c r="H654">
        <f t="shared" si="63"/>
        <v>3</v>
      </c>
      <c r="I654" t="str">
        <f t="shared" ca="1" si="64"/>
        <v>513</v>
      </c>
      <c r="J654" t="str">
        <f t="shared" ca="1" si="65"/>
        <v>Regular</v>
      </c>
    </row>
    <row r="655" spans="1:10" x14ac:dyDescent="0.35">
      <c r="A655" t="s">
        <v>2441</v>
      </c>
      <c r="B655" s="2">
        <f>_xlfn.MAXIFS(clean_sales!P:P,clean_sales!C:C,RFM_Analysis!A655)</f>
        <v>45862</v>
      </c>
      <c r="C655">
        <f t="shared" ca="1" si="60"/>
        <v>166</v>
      </c>
      <c r="D655">
        <f>COUNTIFS(clean_sales!C:C,RFM_Analysis!A655)</f>
        <v>2</v>
      </c>
      <c r="E655">
        <f>SUMIFS(clean_sales!T:T,clean_sales!C:C,RFM_Analysis!A655)</f>
        <v>141000</v>
      </c>
      <c r="F655">
        <f t="shared" ca="1" si="61"/>
        <v>3</v>
      </c>
      <c r="G655">
        <f t="shared" si="62"/>
        <v>3</v>
      </c>
      <c r="H655">
        <f t="shared" si="63"/>
        <v>3</v>
      </c>
      <c r="I655" t="str">
        <f t="shared" ca="1" si="64"/>
        <v>333</v>
      </c>
      <c r="J655" t="str">
        <f t="shared" ca="1" si="65"/>
        <v>Regular</v>
      </c>
    </row>
    <row r="656" spans="1:10" x14ac:dyDescent="0.35">
      <c r="A656" t="s">
        <v>2442</v>
      </c>
      <c r="B656" s="2">
        <f>_xlfn.MAXIFS(clean_sales!P:P,clean_sales!C:C,RFM_Analysis!A656)</f>
        <v>45797</v>
      </c>
      <c r="C656">
        <f t="shared" ca="1" si="60"/>
        <v>231</v>
      </c>
      <c r="D656">
        <f>COUNTIFS(clean_sales!C:C,RFM_Analysis!A656)</f>
        <v>1</v>
      </c>
      <c r="E656">
        <f>SUMIFS(clean_sales!T:T,clean_sales!C:C,RFM_Analysis!A656)</f>
        <v>195000</v>
      </c>
      <c r="F656">
        <f t="shared" ca="1" si="61"/>
        <v>2</v>
      </c>
      <c r="G656">
        <f t="shared" si="62"/>
        <v>1</v>
      </c>
      <c r="H656">
        <f t="shared" si="63"/>
        <v>4</v>
      </c>
      <c r="I656" t="str">
        <f t="shared" ca="1" si="64"/>
        <v>214</v>
      </c>
      <c r="J656" t="str">
        <f t="shared" ca="1" si="65"/>
        <v>At Risk</v>
      </c>
    </row>
    <row r="657" spans="1:10" x14ac:dyDescent="0.35">
      <c r="A657" t="s">
        <v>2443</v>
      </c>
      <c r="B657" s="2">
        <f>_xlfn.MAXIFS(clean_sales!P:P,clean_sales!C:C,RFM_Analysis!A657)</f>
        <v>45933</v>
      </c>
      <c r="C657">
        <f t="shared" ca="1" si="60"/>
        <v>95</v>
      </c>
      <c r="D657">
        <f>COUNTIFS(clean_sales!C:C,RFM_Analysis!A657)</f>
        <v>1</v>
      </c>
      <c r="E657">
        <f>SUMIFS(clean_sales!T:T,clean_sales!C:C,RFM_Analysis!A657)</f>
        <v>288000</v>
      </c>
      <c r="F657">
        <f t="shared" ca="1" si="61"/>
        <v>4</v>
      </c>
      <c r="G657">
        <f t="shared" si="62"/>
        <v>1</v>
      </c>
      <c r="H657">
        <f t="shared" si="63"/>
        <v>4</v>
      </c>
      <c r="I657" t="str">
        <f t="shared" ca="1" si="64"/>
        <v>414</v>
      </c>
      <c r="J657" t="str">
        <f t="shared" ca="1" si="65"/>
        <v>Regular</v>
      </c>
    </row>
    <row r="658" spans="1:10" x14ac:dyDescent="0.35">
      <c r="A658" t="s">
        <v>2444</v>
      </c>
      <c r="B658" s="2">
        <f>_xlfn.MAXIFS(clean_sales!P:P,clean_sales!C:C,RFM_Analysis!A658)</f>
        <v>45782</v>
      </c>
      <c r="C658">
        <f t="shared" ca="1" si="60"/>
        <v>246</v>
      </c>
      <c r="D658">
        <f>COUNTIFS(clean_sales!C:C,RFM_Analysis!A658)</f>
        <v>1</v>
      </c>
      <c r="E658">
        <f>SUMIFS(clean_sales!T:T,clean_sales!C:C,RFM_Analysis!A658)</f>
        <v>325000</v>
      </c>
      <c r="F658">
        <f t="shared" ca="1" si="61"/>
        <v>1</v>
      </c>
      <c r="G658">
        <f t="shared" si="62"/>
        <v>1</v>
      </c>
      <c r="H658">
        <f t="shared" si="63"/>
        <v>5</v>
      </c>
      <c r="I658" t="str">
        <f t="shared" ca="1" si="64"/>
        <v>115</v>
      </c>
      <c r="J658" t="str">
        <f t="shared" ca="1" si="65"/>
        <v>At Risk</v>
      </c>
    </row>
    <row r="659" spans="1:10" x14ac:dyDescent="0.35">
      <c r="A659" t="s">
        <v>2445</v>
      </c>
      <c r="B659" s="2">
        <f>_xlfn.MAXIFS(clean_sales!P:P,clean_sales!C:C,RFM_Analysis!A659)</f>
        <v>45957</v>
      </c>
      <c r="C659">
        <f t="shared" ca="1" si="60"/>
        <v>71</v>
      </c>
      <c r="D659">
        <f>COUNTIFS(clean_sales!C:C,RFM_Analysis!A659)</f>
        <v>1</v>
      </c>
      <c r="E659">
        <f>SUMIFS(clean_sales!T:T,clean_sales!C:C,RFM_Analysis!A659)</f>
        <v>18000</v>
      </c>
      <c r="F659">
        <f t="shared" ca="1" si="61"/>
        <v>4</v>
      </c>
      <c r="G659">
        <f t="shared" si="62"/>
        <v>1</v>
      </c>
      <c r="H659">
        <f t="shared" si="63"/>
        <v>2</v>
      </c>
      <c r="I659" t="str">
        <f t="shared" ca="1" si="64"/>
        <v>412</v>
      </c>
      <c r="J659" t="str">
        <f t="shared" ca="1" si="65"/>
        <v>Regular</v>
      </c>
    </row>
    <row r="660" spans="1:10" x14ac:dyDescent="0.35">
      <c r="A660" t="s">
        <v>2446</v>
      </c>
      <c r="B660" s="2">
        <f>_xlfn.MAXIFS(clean_sales!P:P,clean_sales!C:C,RFM_Analysis!A660)</f>
        <v>45833</v>
      </c>
      <c r="C660">
        <f t="shared" ca="1" si="60"/>
        <v>195</v>
      </c>
      <c r="D660">
        <f>COUNTIFS(clean_sales!C:C,RFM_Analysis!A660)</f>
        <v>1</v>
      </c>
      <c r="E660">
        <f>SUMIFS(clean_sales!T:T,clean_sales!C:C,RFM_Analysis!A660)</f>
        <v>4500</v>
      </c>
      <c r="F660">
        <f t="shared" ca="1" si="61"/>
        <v>2</v>
      </c>
      <c r="G660">
        <f t="shared" si="62"/>
        <v>1</v>
      </c>
      <c r="H660">
        <f t="shared" si="63"/>
        <v>1</v>
      </c>
      <c r="I660" t="str">
        <f t="shared" ca="1" si="64"/>
        <v>211</v>
      </c>
      <c r="J660" t="str">
        <f t="shared" ca="1" si="65"/>
        <v>At Risk</v>
      </c>
    </row>
    <row r="661" spans="1:10" x14ac:dyDescent="0.35">
      <c r="A661" t="s">
        <v>2447</v>
      </c>
      <c r="B661" s="2">
        <f>_xlfn.MAXIFS(clean_sales!P:P,clean_sales!C:C,RFM_Analysis!A661)</f>
        <v>45769</v>
      </c>
      <c r="C661">
        <f t="shared" ca="1" si="60"/>
        <v>259</v>
      </c>
      <c r="D661">
        <f>COUNTIFS(clean_sales!C:C,RFM_Analysis!A661)</f>
        <v>1</v>
      </c>
      <c r="E661">
        <f>SUMIFS(clean_sales!T:T,clean_sales!C:C,RFM_Analysis!A661)</f>
        <v>1800</v>
      </c>
      <c r="F661">
        <f t="shared" ca="1" si="61"/>
        <v>1</v>
      </c>
      <c r="G661">
        <f t="shared" si="62"/>
        <v>1</v>
      </c>
      <c r="H661">
        <f t="shared" si="63"/>
        <v>1</v>
      </c>
      <c r="I661" t="str">
        <f t="shared" ca="1" si="64"/>
        <v>111</v>
      </c>
      <c r="J661" t="str">
        <f t="shared" ca="1" si="65"/>
        <v>At Risk</v>
      </c>
    </row>
    <row r="662" spans="1:10" x14ac:dyDescent="0.35">
      <c r="A662" t="s">
        <v>2448</v>
      </c>
      <c r="B662" s="2">
        <f>_xlfn.MAXIFS(clean_sales!P:P,clean_sales!C:C,RFM_Analysis!A662)</f>
        <v>45709</v>
      </c>
      <c r="C662">
        <f t="shared" ca="1" si="60"/>
        <v>319</v>
      </c>
      <c r="D662">
        <f>COUNTIFS(clean_sales!C:C,RFM_Analysis!A662)</f>
        <v>1</v>
      </c>
      <c r="E662">
        <f>SUMIFS(clean_sales!T:T,clean_sales!C:C,RFM_Analysis!A662)</f>
        <v>360000</v>
      </c>
      <c r="F662">
        <f t="shared" ca="1" si="61"/>
        <v>1</v>
      </c>
      <c r="G662">
        <f t="shared" si="62"/>
        <v>1</v>
      </c>
      <c r="H662">
        <f t="shared" si="63"/>
        <v>5</v>
      </c>
      <c r="I662" t="str">
        <f t="shared" ca="1" si="64"/>
        <v>115</v>
      </c>
      <c r="J662" t="str">
        <f t="shared" ca="1" si="65"/>
        <v>At Risk</v>
      </c>
    </row>
    <row r="663" spans="1:10" x14ac:dyDescent="0.35">
      <c r="A663" t="s">
        <v>2449</v>
      </c>
      <c r="B663" s="2">
        <f>_xlfn.MAXIFS(clean_sales!P:P,clean_sales!C:C,RFM_Analysis!A663)</f>
        <v>45915</v>
      </c>
      <c r="C663">
        <f t="shared" ca="1" si="60"/>
        <v>113</v>
      </c>
      <c r="D663">
        <f>COUNTIFS(clean_sales!C:C,RFM_Analysis!A663)</f>
        <v>1</v>
      </c>
      <c r="E663">
        <f>SUMIFS(clean_sales!T:T,clean_sales!C:C,RFM_Analysis!A663)</f>
        <v>116000</v>
      </c>
      <c r="F663">
        <f t="shared" ca="1" si="61"/>
        <v>3</v>
      </c>
      <c r="G663">
        <f t="shared" si="62"/>
        <v>1</v>
      </c>
      <c r="H663">
        <f t="shared" si="63"/>
        <v>3</v>
      </c>
      <c r="I663" t="str">
        <f t="shared" ca="1" si="64"/>
        <v>313</v>
      </c>
      <c r="J663" t="str">
        <f t="shared" ca="1" si="65"/>
        <v>Regular</v>
      </c>
    </row>
    <row r="664" spans="1:10" x14ac:dyDescent="0.35">
      <c r="A664" t="s">
        <v>2450</v>
      </c>
      <c r="B664" s="2">
        <f>_xlfn.MAXIFS(clean_sales!P:P,clean_sales!C:C,RFM_Analysis!A664)</f>
        <v>45744</v>
      </c>
      <c r="C664">
        <f t="shared" ca="1" si="60"/>
        <v>284</v>
      </c>
      <c r="D664">
        <f>COUNTIFS(clean_sales!C:C,RFM_Analysis!A664)</f>
        <v>1</v>
      </c>
      <c r="E664">
        <f>SUMIFS(clean_sales!T:T,clean_sales!C:C,RFM_Analysis!A664)</f>
        <v>325000</v>
      </c>
      <c r="F664">
        <f t="shared" ca="1" si="61"/>
        <v>1</v>
      </c>
      <c r="G664">
        <f t="shared" si="62"/>
        <v>1</v>
      </c>
      <c r="H664">
        <f t="shared" si="63"/>
        <v>5</v>
      </c>
      <c r="I664" t="str">
        <f t="shared" ca="1" si="64"/>
        <v>115</v>
      </c>
      <c r="J664" t="str">
        <f t="shared" ca="1" si="65"/>
        <v>At Risk</v>
      </c>
    </row>
    <row r="665" spans="1:10" x14ac:dyDescent="0.35">
      <c r="A665" t="s">
        <v>2451</v>
      </c>
      <c r="B665" s="2">
        <f>_xlfn.MAXIFS(clean_sales!P:P,clean_sales!C:C,RFM_Analysis!A665)</f>
        <v>45836</v>
      </c>
      <c r="C665">
        <f t="shared" ca="1" si="60"/>
        <v>192</v>
      </c>
      <c r="D665">
        <f>COUNTIFS(clean_sales!C:C,RFM_Analysis!A665)</f>
        <v>1</v>
      </c>
      <c r="E665">
        <f>SUMIFS(clean_sales!T:T,clean_sales!C:C,RFM_Analysis!A665)</f>
        <v>72000</v>
      </c>
      <c r="F665">
        <f t="shared" ca="1" si="61"/>
        <v>2</v>
      </c>
      <c r="G665">
        <f t="shared" si="62"/>
        <v>1</v>
      </c>
      <c r="H665">
        <f t="shared" si="63"/>
        <v>3</v>
      </c>
      <c r="I665" t="str">
        <f t="shared" ca="1" si="64"/>
        <v>213</v>
      </c>
      <c r="J665" t="str">
        <f t="shared" ca="1" si="65"/>
        <v>At Risk</v>
      </c>
    </row>
    <row r="666" spans="1:10" x14ac:dyDescent="0.35">
      <c r="A666" t="s">
        <v>2452</v>
      </c>
      <c r="B666" s="2">
        <f>_xlfn.MAXIFS(clean_sales!P:P,clean_sales!C:C,RFM_Analysis!A666)</f>
        <v>45859</v>
      </c>
      <c r="C666">
        <f t="shared" ca="1" si="60"/>
        <v>169</v>
      </c>
      <c r="D666">
        <f>COUNTIFS(clean_sales!C:C,RFM_Analysis!A666)</f>
        <v>2</v>
      </c>
      <c r="E666">
        <f>SUMIFS(clean_sales!T:T,clean_sales!C:C,RFM_Analysis!A666)</f>
        <v>37000</v>
      </c>
      <c r="F666">
        <f t="shared" ca="1" si="61"/>
        <v>2</v>
      </c>
      <c r="G666">
        <f t="shared" si="62"/>
        <v>3</v>
      </c>
      <c r="H666">
        <f t="shared" si="63"/>
        <v>2</v>
      </c>
      <c r="I666" t="str">
        <f t="shared" ca="1" si="64"/>
        <v>232</v>
      </c>
      <c r="J666" t="str">
        <f t="shared" ca="1" si="65"/>
        <v>At Risk</v>
      </c>
    </row>
    <row r="667" spans="1:10" x14ac:dyDescent="0.35">
      <c r="A667" t="s">
        <v>2453</v>
      </c>
      <c r="B667" s="2">
        <f>_xlfn.MAXIFS(clean_sales!P:P,clean_sales!C:C,RFM_Analysis!A667)</f>
        <v>45686</v>
      </c>
      <c r="C667">
        <f t="shared" ca="1" si="60"/>
        <v>342</v>
      </c>
      <c r="D667">
        <f>COUNTIFS(clean_sales!C:C,RFM_Analysis!A667)</f>
        <v>1</v>
      </c>
      <c r="E667">
        <f>SUMIFS(clean_sales!T:T,clean_sales!C:C,RFM_Analysis!A667)</f>
        <v>12000</v>
      </c>
      <c r="F667">
        <f t="shared" ca="1" si="61"/>
        <v>1</v>
      </c>
      <c r="G667">
        <f t="shared" si="62"/>
        <v>1</v>
      </c>
      <c r="H667">
        <f t="shared" si="63"/>
        <v>1</v>
      </c>
      <c r="I667" t="str">
        <f t="shared" ca="1" si="64"/>
        <v>111</v>
      </c>
      <c r="J667" t="str">
        <f t="shared" ca="1" si="65"/>
        <v>At Risk</v>
      </c>
    </row>
    <row r="668" spans="1:10" x14ac:dyDescent="0.35">
      <c r="A668" t="s">
        <v>2454</v>
      </c>
      <c r="B668" s="2">
        <f>_xlfn.MAXIFS(clean_sales!P:P,clean_sales!C:C,RFM_Analysis!A668)</f>
        <v>45980</v>
      </c>
      <c r="C668">
        <f t="shared" ca="1" si="60"/>
        <v>48</v>
      </c>
      <c r="D668">
        <f>COUNTIFS(clean_sales!C:C,RFM_Analysis!A668)</f>
        <v>1</v>
      </c>
      <c r="E668">
        <f>SUMIFS(clean_sales!T:T,clean_sales!C:C,RFM_Analysis!A668)</f>
        <v>36000</v>
      </c>
      <c r="F668">
        <f t="shared" ca="1" si="61"/>
        <v>5</v>
      </c>
      <c r="G668">
        <f t="shared" si="62"/>
        <v>1</v>
      </c>
      <c r="H668">
        <f t="shared" si="63"/>
        <v>2</v>
      </c>
      <c r="I668" t="str">
        <f t="shared" ca="1" si="64"/>
        <v>512</v>
      </c>
      <c r="J668" t="str">
        <f t="shared" ca="1" si="65"/>
        <v>Regular</v>
      </c>
    </row>
    <row r="669" spans="1:10" x14ac:dyDescent="0.35">
      <c r="A669" t="s">
        <v>2455</v>
      </c>
      <c r="B669" s="2">
        <f>_xlfn.MAXIFS(clean_sales!P:P,clean_sales!C:C,RFM_Analysis!A669)</f>
        <v>45962</v>
      </c>
      <c r="C669">
        <f t="shared" ca="1" si="60"/>
        <v>66</v>
      </c>
      <c r="D669">
        <f>COUNTIFS(clean_sales!C:C,RFM_Analysis!A669)</f>
        <v>1</v>
      </c>
      <c r="E669">
        <f>SUMIFS(clean_sales!T:T,clean_sales!C:C,RFM_Analysis!A669)</f>
        <v>325000</v>
      </c>
      <c r="F669">
        <f t="shared" ca="1" si="61"/>
        <v>4</v>
      </c>
      <c r="G669">
        <f t="shared" si="62"/>
        <v>1</v>
      </c>
      <c r="H669">
        <f t="shared" si="63"/>
        <v>5</v>
      </c>
      <c r="I669" t="str">
        <f t="shared" ca="1" si="64"/>
        <v>415</v>
      </c>
      <c r="J669" t="str">
        <f t="shared" ca="1" si="65"/>
        <v>Regular</v>
      </c>
    </row>
    <row r="670" spans="1:10" x14ac:dyDescent="0.35">
      <c r="A670" t="s">
        <v>2456</v>
      </c>
      <c r="B670" s="2">
        <f>_xlfn.MAXIFS(clean_sales!P:P,clean_sales!C:C,RFM_Analysis!A670)</f>
        <v>45921</v>
      </c>
      <c r="C670">
        <f t="shared" ca="1" si="60"/>
        <v>107</v>
      </c>
      <c r="D670">
        <f>COUNTIFS(clean_sales!C:C,RFM_Analysis!A670)</f>
        <v>1</v>
      </c>
      <c r="E670">
        <f>SUMIFS(clean_sales!T:T,clean_sales!C:C,RFM_Analysis!A670)</f>
        <v>232000</v>
      </c>
      <c r="F670">
        <f t="shared" ca="1" si="61"/>
        <v>4</v>
      </c>
      <c r="G670">
        <f t="shared" si="62"/>
        <v>1</v>
      </c>
      <c r="H670">
        <f t="shared" si="63"/>
        <v>4</v>
      </c>
      <c r="I670" t="str">
        <f t="shared" ca="1" si="64"/>
        <v>414</v>
      </c>
      <c r="J670" t="str">
        <f t="shared" ca="1" si="65"/>
        <v>Regular</v>
      </c>
    </row>
    <row r="671" spans="1:10" x14ac:dyDescent="0.35">
      <c r="A671" t="s">
        <v>2457</v>
      </c>
      <c r="B671" s="2">
        <f>_xlfn.MAXIFS(clean_sales!P:P,clean_sales!C:C,RFM_Analysis!A671)</f>
        <v>45892</v>
      </c>
      <c r="C671">
        <f t="shared" ca="1" si="60"/>
        <v>136</v>
      </c>
      <c r="D671">
        <f>COUNTIFS(clean_sales!C:C,RFM_Analysis!A671)</f>
        <v>1</v>
      </c>
      <c r="E671">
        <f>SUMIFS(clean_sales!T:T,clean_sales!C:C,RFM_Analysis!A671)</f>
        <v>7200</v>
      </c>
      <c r="F671">
        <f t="shared" ca="1" si="61"/>
        <v>3</v>
      </c>
      <c r="G671">
        <f t="shared" si="62"/>
        <v>1</v>
      </c>
      <c r="H671">
        <f t="shared" si="63"/>
        <v>1</v>
      </c>
      <c r="I671" t="str">
        <f t="shared" ca="1" si="64"/>
        <v>311</v>
      </c>
      <c r="J671" t="str">
        <f t="shared" ca="1" si="65"/>
        <v>Regular</v>
      </c>
    </row>
    <row r="672" spans="1:10" x14ac:dyDescent="0.35">
      <c r="A672" t="s">
        <v>2458</v>
      </c>
      <c r="B672" s="2">
        <f>_xlfn.MAXIFS(clean_sales!P:P,clean_sales!C:C,RFM_Analysis!A672)</f>
        <v>45880</v>
      </c>
      <c r="C672">
        <f t="shared" ca="1" si="60"/>
        <v>148</v>
      </c>
      <c r="D672">
        <f>COUNTIFS(clean_sales!C:C,RFM_Analysis!A672)</f>
        <v>1</v>
      </c>
      <c r="E672">
        <f>SUMIFS(clean_sales!T:T,clean_sales!C:C,RFM_Analysis!A672)</f>
        <v>116000</v>
      </c>
      <c r="F672">
        <f t="shared" ca="1" si="61"/>
        <v>3</v>
      </c>
      <c r="G672">
        <f t="shared" si="62"/>
        <v>1</v>
      </c>
      <c r="H672">
        <f t="shared" si="63"/>
        <v>3</v>
      </c>
      <c r="I672" t="str">
        <f t="shared" ca="1" si="64"/>
        <v>313</v>
      </c>
      <c r="J672" t="str">
        <f t="shared" ca="1" si="65"/>
        <v>Regular</v>
      </c>
    </row>
    <row r="673" spans="1:10" x14ac:dyDescent="0.35">
      <c r="A673" t="s">
        <v>2459</v>
      </c>
      <c r="B673" s="2">
        <f>_xlfn.MAXIFS(clean_sales!P:P,clean_sales!C:C,RFM_Analysis!A673)</f>
        <v>45807</v>
      </c>
      <c r="C673">
        <f t="shared" ca="1" si="60"/>
        <v>221</v>
      </c>
      <c r="D673">
        <f>COUNTIFS(clean_sales!C:C,RFM_Analysis!A673)</f>
        <v>1</v>
      </c>
      <c r="E673">
        <f>SUMIFS(clean_sales!T:T,clean_sales!C:C,RFM_Analysis!A673)</f>
        <v>20000</v>
      </c>
      <c r="F673">
        <f t="shared" ca="1" si="61"/>
        <v>2</v>
      </c>
      <c r="G673">
        <f t="shared" si="62"/>
        <v>1</v>
      </c>
      <c r="H673">
        <f t="shared" si="63"/>
        <v>2</v>
      </c>
      <c r="I673" t="str">
        <f t="shared" ca="1" si="64"/>
        <v>212</v>
      </c>
      <c r="J673" t="str">
        <f t="shared" ca="1" si="65"/>
        <v>At Risk</v>
      </c>
    </row>
    <row r="674" spans="1:10" x14ac:dyDescent="0.35">
      <c r="A674" t="s">
        <v>2460</v>
      </c>
      <c r="B674" s="2">
        <f>_xlfn.MAXIFS(clean_sales!P:P,clean_sales!C:C,RFM_Analysis!A674)</f>
        <v>45818</v>
      </c>
      <c r="C674">
        <f t="shared" ca="1" si="60"/>
        <v>210</v>
      </c>
      <c r="D674">
        <f>COUNTIFS(clean_sales!C:C,RFM_Analysis!A674)</f>
        <v>1</v>
      </c>
      <c r="E674">
        <f>SUMIFS(clean_sales!T:T,clean_sales!C:C,RFM_Analysis!A674)</f>
        <v>195000</v>
      </c>
      <c r="F674">
        <f t="shared" ca="1" si="61"/>
        <v>2</v>
      </c>
      <c r="G674">
        <f t="shared" si="62"/>
        <v>1</v>
      </c>
      <c r="H674">
        <f t="shared" si="63"/>
        <v>4</v>
      </c>
      <c r="I674" t="str">
        <f t="shared" ca="1" si="64"/>
        <v>214</v>
      </c>
      <c r="J674" t="str">
        <f t="shared" ca="1" si="65"/>
        <v>At Risk</v>
      </c>
    </row>
    <row r="675" spans="1:10" x14ac:dyDescent="0.35">
      <c r="A675" t="s">
        <v>2461</v>
      </c>
      <c r="B675" s="2">
        <f>_xlfn.MAXIFS(clean_sales!P:P,clean_sales!C:C,RFM_Analysis!A675)</f>
        <v>45932</v>
      </c>
      <c r="C675">
        <f t="shared" ca="1" si="60"/>
        <v>96</v>
      </c>
      <c r="D675">
        <f>COUNTIFS(clean_sales!C:C,RFM_Analysis!A675)</f>
        <v>1</v>
      </c>
      <c r="E675">
        <f>SUMIFS(clean_sales!T:T,clean_sales!C:C,RFM_Analysis!A675)</f>
        <v>360000</v>
      </c>
      <c r="F675">
        <f t="shared" ca="1" si="61"/>
        <v>4</v>
      </c>
      <c r="G675">
        <f t="shared" si="62"/>
        <v>1</v>
      </c>
      <c r="H675">
        <f t="shared" si="63"/>
        <v>5</v>
      </c>
      <c r="I675" t="str">
        <f t="shared" ca="1" si="64"/>
        <v>415</v>
      </c>
      <c r="J675" t="str">
        <f t="shared" ca="1" si="65"/>
        <v>Regular</v>
      </c>
    </row>
    <row r="676" spans="1:10" x14ac:dyDescent="0.35">
      <c r="A676" t="s">
        <v>2462</v>
      </c>
      <c r="B676" s="2">
        <f>_xlfn.MAXIFS(clean_sales!P:P,clean_sales!C:C,RFM_Analysis!A676)</f>
        <v>45816</v>
      </c>
      <c r="C676">
        <f t="shared" ca="1" si="60"/>
        <v>212</v>
      </c>
      <c r="D676">
        <f>COUNTIFS(clean_sales!C:C,RFM_Analysis!A676)</f>
        <v>1</v>
      </c>
      <c r="E676">
        <f>SUMIFS(clean_sales!T:T,clean_sales!C:C,RFM_Analysis!A676)</f>
        <v>24000</v>
      </c>
      <c r="F676">
        <f t="shared" ca="1" si="61"/>
        <v>2</v>
      </c>
      <c r="G676">
        <f t="shared" si="62"/>
        <v>1</v>
      </c>
      <c r="H676">
        <f t="shared" si="63"/>
        <v>2</v>
      </c>
      <c r="I676" t="str">
        <f t="shared" ca="1" si="64"/>
        <v>212</v>
      </c>
      <c r="J676" t="str">
        <f t="shared" ca="1" si="65"/>
        <v>At Risk</v>
      </c>
    </row>
    <row r="677" spans="1:10" x14ac:dyDescent="0.35">
      <c r="A677" t="s">
        <v>2463</v>
      </c>
      <c r="B677" s="2">
        <f>_xlfn.MAXIFS(clean_sales!P:P,clean_sales!C:C,RFM_Analysis!A677)</f>
        <v>45803</v>
      </c>
      <c r="C677">
        <f t="shared" ca="1" si="60"/>
        <v>225</v>
      </c>
      <c r="D677">
        <f>COUNTIFS(clean_sales!C:C,RFM_Analysis!A677)</f>
        <v>1</v>
      </c>
      <c r="E677">
        <f>SUMIFS(clean_sales!T:T,clean_sales!C:C,RFM_Analysis!A677)</f>
        <v>5000</v>
      </c>
      <c r="F677">
        <f t="shared" ca="1" si="61"/>
        <v>2</v>
      </c>
      <c r="G677">
        <f t="shared" si="62"/>
        <v>1</v>
      </c>
      <c r="H677">
        <f t="shared" si="63"/>
        <v>1</v>
      </c>
      <c r="I677" t="str">
        <f t="shared" ca="1" si="64"/>
        <v>211</v>
      </c>
      <c r="J677" t="str">
        <f t="shared" ca="1" si="65"/>
        <v>At Risk</v>
      </c>
    </row>
    <row r="678" spans="1:10" x14ac:dyDescent="0.35">
      <c r="A678" t="s">
        <v>2464</v>
      </c>
      <c r="B678" s="2">
        <f>_xlfn.MAXIFS(clean_sales!P:P,clean_sales!C:C,RFM_Analysis!A678)</f>
        <v>45963</v>
      </c>
      <c r="C678">
        <f t="shared" ca="1" si="60"/>
        <v>65</v>
      </c>
      <c r="D678">
        <f>COUNTIFS(clean_sales!C:C,RFM_Analysis!A678)</f>
        <v>1</v>
      </c>
      <c r="E678">
        <f>SUMIFS(clean_sales!T:T,clean_sales!C:C,RFM_Analysis!A678)</f>
        <v>20000</v>
      </c>
      <c r="F678">
        <f t="shared" ca="1" si="61"/>
        <v>4</v>
      </c>
      <c r="G678">
        <f t="shared" si="62"/>
        <v>1</v>
      </c>
      <c r="H678">
        <f t="shared" si="63"/>
        <v>2</v>
      </c>
      <c r="I678" t="str">
        <f t="shared" ca="1" si="64"/>
        <v>412</v>
      </c>
      <c r="J678" t="str">
        <f t="shared" ca="1" si="65"/>
        <v>Regular</v>
      </c>
    </row>
    <row r="679" spans="1:10" x14ac:dyDescent="0.35">
      <c r="A679" t="s">
        <v>2465</v>
      </c>
      <c r="B679" s="2">
        <f>_xlfn.MAXIFS(clean_sales!P:P,clean_sales!C:C,RFM_Analysis!A679)</f>
        <v>45958</v>
      </c>
      <c r="C679">
        <f t="shared" ca="1" si="60"/>
        <v>70</v>
      </c>
      <c r="D679">
        <f>COUNTIFS(clean_sales!C:C,RFM_Analysis!A679)</f>
        <v>1</v>
      </c>
      <c r="E679">
        <f>SUMIFS(clean_sales!T:T,clean_sales!C:C,RFM_Analysis!A679)</f>
        <v>130000</v>
      </c>
      <c r="F679">
        <f t="shared" ca="1" si="61"/>
        <v>4</v>
      </c>
      <c r="G679">
        <f t="shared" si="62"/>
        <v>1</v>
      </c>
      <c r="H679">
        <f t="shared" si="63"/>
        <v>3</v>
      </c>
      <c r="I679" t="str">
        <f t="shared" ca="1" si="64"/>
        <v>413</v>
      </c>
      <c r="J679" t="str">
        <f t="shared" ca="1" si="65"/>
        <v>Regular</v>
      </c>
    </row>
    <row r="680" spans="1:10" x14ac:dyDescent="0.35">
      <c r="A680" t="s">
        <v>2466</v>
      </c>
      <c r="B680" s="2">
        <f>_xlfn.MAXIFS(clean_sales!P:P,clean_sales!C:C,RFM_Analysis!A680)</f>
        <v>45668</v>
      </c>
      <c r="C680">
        <f t="shared" ca="1" si="60"/>
        <v>360</v>
      </c>
      <c r="D680">
        <f>COUNTIFS(clean_sales!C:C,RFM_Analysis!A680)</f>
        <v>1</v>
      </c>
      <c r="E680">
        <f>SUMIFS(clean_sales!T:T,clean_sales!C:C,RFM_Analysis!A680)</f>
        <v>116000</v>
      </c>
      <c r="F680">
        <f t="shared" ca="1" si="61"/>
        <v>1</v>
      </c>
      <c r="G680">
        <f t="shared" si="62"/>
        <v>1</v>
      </c>
      <c r="H680">
        <f t="shared" si="63"/>
        <v>3</v>
      </c>
      <c r="I680" t="str">
        <f t="shared" ca="1" si="64"/>
        <v>113</v>
      </c>
      <c r="J680" t="str">
        <f t="shared" ca="1" si="65"/>
        <v>At Risk</v>
      </c>
    </row>
    <row r="681" spans="1:10" x14ac:dyDescent="0.35">
      <c r="A681" t="s">
        <v>2467</v>
      </c>
      <c r="B681" s="2">
        <f>_xlfn.MAXIFS(clean_sales!P:P,clean_sales!C:C,RFM_Analysis!A681)</f>
        <v>45836</v>
      </c>
      <c r="C681">
        <f t="shared" ca="1" si="60"/>
        <v>192</v>
      </c>
      <c r="D681">
        <f>COUNTIFS(clean_sales!C:C,RFM_Analysis!A681)</f>
        <v>1</v>
      </c>
      <c r="E681">
        <f>SUMIFS(clean_sales!T:T,clean_sales!C:C,RFM_Analysis!A681)</f>
        <v>290000</v>
      </c>
      <c r="F681">
        <f t="shared" ca="1" si="61"/>
        <v>2</v>
      </c>
      <c r="G681">
        <f t="shared" si="62"/>
        <v>1</v>
      </c>
      <c r="H681">
        <f t="shared" si="63"/>
        <v>4</v>
      </c>
      <c r="I681" t="str">
        <f t="shared" ca="1" si="64"/>
        <v>214</v>
      </c>
      <c r="J681" t="str">
        <f t="shared" ca="1" si="65"/>
        <v>At Risk</v>
      </c>
    </row>
    <row r="682" spans="1:10" x14ac:dyDescent="0.35">
      <c r="A682" t="s">
        <v>2468</v>
      </c>
      <c r="B682" s="2">
        <f>_xlfn.MAXIFS(clean_sales!P:P,clean_sales!C:C,RFM_Analysis!A682)</f>
        <v>45898</v>
      </c>
      <c r="C682">
        <f t="shared" ca="1" si="60"/>
        <v>130</v>
      </c>
      <c r="D682">
        <f>COUNTIFS(clean_sales!C:C,RFM_Analysis!A682)</f>
        <v>1</v>
      </c>
      <c r="E682">
        <f>SUMIFS(clean_sales!T:T,clean_sales!C:C,RFM_Analysis!A682)</f>
        <v>60000</v>
      </c>
      <c r="F682">
        <f t="shared" ca="1" si="61"/>
        <v>3</v>
      </c>
      <c r="G682">
        <f t="shared" si="62"/>
        <v>1</v>
      </c>
      <c r="H682">
        <f t="shared" si="63"/>
        <v>3</v>
      </c>
      <c r="I682" t="str">
        <f t="shared" ca="1" si="64"/>
        <v>313</v>
      </c>
      <c r="J682" t="str">
        <f t="shared" ca="1" si="65"/>
        <v>Regular</v>
      </c>
    </row>
    <row r="683" spans="1:10" x14ac:dyDescent="0.35">
      <c r="A683" t="s">
        <v>2469</v>
      </c>
      <c r="B683" s="2">
        <f>_xlfn.MAXIFS(clean_sales!P:P,clean_sales!C:C,RFM_Analysis!A683)</f>
        <v>45846</v>
      </c>
      <c r="C683">
        <f t="shared" ca="1" si="60"/>
        <v>182</v>
      </c>
      <c r="D683">
        <f>COUNTIFS(clean_sales!C:C,RFM_Analysis!A683)</f>
        <v>1</v>
      </c>
      <c r="E683">
        <f>SUMIFS(clean_sales!T:T,clean_sales!C:C,RFM_Analysis!A683)</f>
        <v>5400</v>
      </c>
      <c r="F683">
        <f t="shared" ca="1" si="61"/>
        <v>2</v>
      </c>
      <c r="G683">
        <f t="shared" si="62"/>
        <v>1</v>
      </c>
      <c r="H683">
        <f t="shared" si="63"/>
        <v>1</v>
      </c>
      <c r="I683" t="str">
        <f t="shared" ca="1" si="64"/>
        <v>211</v>
      </c>
      <c r="J683" t="str">
        <f t="shared" ca="1" si="65"/>
        <v>At Risk</v>
      </c>
    </row>
    <row r="684" spans="1:10" x14ac:dyDescent="0.35">
      <c r="A684" t="s">
        <v>2470</v>
      </c>
      <c r="B684" s="2">
        <f>_xlfn.MAXIFS(clean_sales!P:P,clean_sales!C:C,RFM_Analysis!A684)</f>
        <v>45812</v>
      </c>
      <c r="C684">
        <f t="shared" ca="1" si="60"/>
        <v>216</v>
      </c>
      <c r="D684">
        <f>COUNTIFS(clean_sales!C:C,RFM_Analysis!A684)</f>
        <v>1</v>
      </c>
      <c r="E684">
        <f>SUMIFS(clean_sales!T:T,clean_sales!C:C,RFM_Analysis!A684)</f>
        <v>24000</v>
      </c>
      <c r="F684">
        <f t="shared" ca="1" si="61"/>
        <v>2</v>
      </c>
      <c r="G684">
        <f t="shared" si="62"/>
        <v>1</v>
      </c>
      <c r="H684">
        <f t="shared" si="63"/>
        <v>2</v>
      </c>
      <c r="I684" t="str">
        <f t="shared" ca="1" si="64"/>
        <v>212</v>
      </c>
      <c r="J684" t="str">
        <f t="shared" ca="1" si="65"/>
        <v>At Risk</v>
      </c>
    </row>
    <row r="685" spans="1:10" x14ac:dyDescent="0.35">
      <c r="A685" t="s">
        <v>2471</v>
      </c>
      <c r="B685" s="2">
        <f>_xlfn.MAXIFS(clean_sales!P:P,clean_sales!C:C,RFM_Analysis!A685)</f>
        <v>45764</v>
      </c>
      <c r="C685">
        <f t="shared" ca="1" si="60"/>
        <v>264</v>
      </c>
      <c r="D685">
        <f>COUNTIFS(clean_sales!C:C,RFM_Analysis!A685)</f>
        <v>1</v>
      </c>
      <c r="E685">
        <f>SUMIFS(clean_sales!T:T,clean_sales!C:C,RFM_Analysis!A685)</f>
        <v>116000</v>
      </c>
      <c r="F685">
        <f t="shared" ca="1" si="61"/>
        <v>1</v>
      </c>
      <c r="G685">
        <f t="shared" si="62"/>
        <v>1</v>
      </c>
      <c r="H685">
        <f t="shared" si="63"/>
        <v>3</v>
      </c>
      <c r="I685" t="str">
        <f t="shared" ca="1" si="64"/>
        <v>113</v>
      </c>
      <c r="J685" t="str">
        <f t="shared" ca="1" si="65"/>
        <v>At Risk</v>
      </c>
    </row>
    <row r="686" spans="1:10" x14ac:dyDescent="0.35">
      <c r="A686" t="s">
        <v>2472</v>
      </c>
      <c r="B686" s="2">
        <f>_xlfn.MAXIFS(clean_sales!P:P,clean_sales!C:C,RFM_Analysis!A686)</f>
        <v>45880</v>
      </c>
      <c r="C686">
        <f t="shared" ca="1" si="60"/>
        <v>148</v>
      </c>
      <c r="D686">
        <f>COUNTIFS(clean_sales!C:C,RFM_Analysis!A686)</f>
        <v>1</v>
      </c>
      <c r="E686">
        <f>SUMIFS(clean_sales!T:T,clean_sales!C:C,RFM_Analysis!A686)</f>
        <v>65000</v>
      </c>
      <c r="F686">
        <f t="shared" ca="1" si="61"/>
        <v>3</v>
      </c>
      <c r="G686">
        <f t="shared" si="62"/>
        <v>1</v>
      </c>
      <c r="H686">
        <f t="shared" si="63"/>
        <v>3</v>
      </c>
      <c r="I686" t="str">
        <f t="shared" ca="1" si="64"/>
        <v>313</v>
      </c>
      <c r="J686" t="str">
        <f t="shared" ca="1" si="65"/>
        <v>Regular</v>
      </c>
    </row>
    <row r="687" spans="1:10" x14ac:dyDescent="0.35">
      <c r="A687" t="s">
        <v>2473</v>
      </c>
      <c r="B687" s="2">
        <f>_xlfn.MAXIFS(clean_sales!P:P,clean_sales!C:C,RFM_Analysis!A687)</f>
        <v>45837</v>
      </c>
      <c r="C687">
        <f t="shared" ca="1" si="60"/>
        <v>191</v>
      </c>
      <c r="D687">
        <f>COUNTIFS(clean_sales!C:C,RFM_Analysis!A687)</f>
        <v>1</v>
      </c>
      <c r="E687">
        <f>SUMIFS(clean_sales!T:T,clean_sales!C:C,RFM_Analysis!A687)</f>
        <v>58000</v>
      </c>
      <c r="F687">
        <f t="shared" ca="1" si="61"/>
        <v>2</v>
      </c>
      <c r="G687">
        <f t="shared" si="62"/>
        <v>1</v>
      </c>
      <c r="H687">
        <f t="shared" si="63"/>
        <v>2</v>
      </c>
      <c r="I687" t="str">
        <f t="shared" ca="1" si="64"/>
        <v>212</v>
      </c>
      <c r="J687" t="str">
        <f t="shared" ca="1" si="65"/>
        <v>At Risk</v>
      </c>
    </row>
    <row r="688" spans="1:10" x14ac:dyDescent="0.35">
      <c r="A688" t="s">
        <v>2474</v>
      </c>
      <c r="B688" s="2">
        <f>_xlfn.MAXIFS(clean_sales!P:P,clean_sales!C:C,RFM_Analysis!A688)</f>
        <v>45714</v>
      </c>
      <c r="C688">
        <f t="shared" ca="1" si="60"/>
        <v>314</v>
      </c>
      <c r="D688">
        <f>COUNTIFS(clean_sales!C:C,RFM_Analysis!A688)</f>
        <v>1</v>
      </c>
      <c r="E688">
        <f>SUMIFS(clean_sales!T:T,clean_sales!C:C,RFM_Analysis!A688)</f>
        <v>10000</v>
      </c>
      <c r="F688">
        <f t="shared" ca="1" si="61"/>
        <v>1</v>
      </c>
      <c r="G688">
        <f t="shared" si="62"/>
        <v>1</v>
      </c>
      <c r="H688">
        <f t="shared" si="63"/>
        <v>1</v>
      </c>
      <c r="I688" t="str">
        <f t="shared" ca="1" si="64"/>
        <v>111</v>
      </c>
      <c r="J688" t="str">
        <f t="shared" ca="1" si="65"/>
        <v>At Risk</v>
      </c>
    </row>
    <row r="689" spans="1:10" x14ac:dyDescent="0.35">
      <c r="A689" t="s">
        <v>2475</v>
      </c>
      <c r="B689" s="2">
        <f>_xlfn.MAXIFS(clean_sales!P:P,clean_sales!C:C,RFM_Analysis!A689)</f>
        <v>45951</v>
      </c>
      <c r="C689">
        <f t="shared" ca="1" si="60"/>
        <v>77</v>
      </c>
      <c r="D689">
        <f>COUNTIFS(clean_sales!C:C,RFM_Analysis!A689)</f>
        <v>1</v>
      </c>
      <c r="E689">
        <f>SUMIFS(clean_sales!T:T,clean_sales!C:C,RFM_Analysis!A689)</f>
        <v>15000</v>
      </c>
      <c r="F689">
        <f t="shared" ca="1" si="61"/>
        <v>4</v>
      </c>
      <c r="G689">
        <f t="shared" si="62"/>
        <v>1</v>
      </c>
      <c r="H689">
        <f t="shared" si="63"/>
        <v>1</v>
      </c>
      <c r="I689" t="str">
        <f t="shared" ca="1" si="64"/>
        <v>411</v>
      </c>
      <c r="J689" t="str">
        <f t="shared" ca="1" si="65"/>
        <v>Regular</v>
      </c>
    </row>
    <row r="690" spans="1:10" x14ac:dyDescent="0.35">
      <c r="A690" t="s">
        <v>2476</v>
      </c>
      <c r="B690" s="2">
        <f>_xlfn.MAXIFS(clean_sales!P:P,clean_sales!C:C,RFM_Analysis!A690)</f>
        <v>45990</v>
      </c>
      <c r="C690">
        <f t="shared" ca="1" si="60"/>
        <v>38</v>
      </c>
      <c r="D690">
        <f>COUNTIFS(clean_sales!C:C,RFM_Analysis!A690)</f>
        <v>1</v>
      </c>
      <c r="E690">
        <f>SUMIFS(clean_sales!T:T,clean_sales!C:C,RFM_Analysis!A690)</f>
        <v>216000</v>
      </c>
      <c r="F690">
        <f t="shared" ca="1" si="61"/>
        <v>5</v>
      </c>
      <c r="G690">
        <f t="shared" si="62"/>
        <v>1</v>
      </c>
      <c r="H690">
        <f t="shared" si="63"/>
        <v>4</v>
      </c>
      <c r="I690" t="str">
        <f t="shared" ca="1" si="64"/>
        <v>514</v>
      </c>
      <c r="J690" t="str">
        <f t="shared" ca="1" si="65"/>
        <v>Regular</v>
      </c>
    </row>
    <row r="691" spans="1:10" x14ac:dyDescent="0.35">
      <c r="A691" t="s">
        <v>2477</v>
      </c>
      <c r="B691" s="2">
        <f>_xlfn.MAXIFS(clean_sales!P:P,clean_sales!C:C,RFM_Analysis!A691)</f>
        <v>45668</v>
      </c>
      <c r="C691">
        <f t="shared" ca="1" si="60"/>
        <v>360</v>
      </c>
      <c r="D691">
        <f>COUNTIFS(clean_sales!C:C,RFM_Analysis!A691)</f>
        <v>1</v>
      </c>
      <c r="E691">
        <f>SUMIFS(clean_sales!T:T,clean_sales!C:C,RFM_Analysis!A691)</f>
        <v>36000</v>
      </c>
      <c r="F691">
        <f t="shared" ca="1" si="61"/>
        <v>1</v>
      </c>
      <c r="G691">
        <f t="shared" si="62"/>
        <v>1</v>
      </c>
      <c r="H691">
        <f t="shared" si="63"/>
        <v>2</v>
      </c>
      <c r="I691" t="str">
        <f t="shared" ca="1" si="64"/>
        <v>112</v>
      </c>
      <c r="J691" t="str">
        <f t="shared" ca="1" si="65"/>
        <v>At Risk</v>
      </c>
    </row>
    <row r="692" spans="1:10" x14ac:dyDescent="0.35">
      <c r="A692" t="s">
        <v>2478</v>
      </c>
      <c r="B692" s="2">
        <f>_xlfn.MAXIFS(clean_sales!P:P,clean_sales!C:C,RFM_Analysis!A692)</f>
        <v>45937</v>
      </c>
      <c r="C692">
        <f t="shared" ca="1" si="60"/>
        <v>91</v>
      </c>
      <c r="D692">
        <f>COUNTIFS(clean_sales!C:C,RFM_Analysis!A692)</f>
        <v>1</v>
      </c>
      <c r="E692">
        <f>SUMIFS(clean_sales!T:T,clean_sales!C:C,RFM_Analysis!A692)</f>
        <v>9000</v>
      </c>
      <c r="F692">
        <f t="shared" ca="1" si="61"/>
        <v>4</v>
      </c>
      <c r="G692">
        <f t="shared" si="62"/>
        <v>1</v>
      </c>
      <c r="H692">
        <f t="shared" si="63"/>
        <v>1</v>
      </c>
      <c r="I692" t="str">
        <f t="shared" ca="1" si="64"/>
        <v>411</v>
      </c>
      <c r="J692" t="str">
        <f t="shared" ca="1" si="65"/>
        <v>Regular</v>
      </c>
    </row>
    <row r="693" spans="1:10" x14ac:dyDescent="0.35">
      <c r="A693" t="s">
        <v>2479</v>
      </c>
      <c r="B693" s="2">
        <f>_xlfn.MAXIFS(clean_sales!P:P,clean_sales!C:C,RFM_Analysis!A693)</f>
        <v>45844</v>
      </c>
      <c r="C693">
        <f t="shared" ca="1" si="60"/>
        <v>184</v>
      </c>
      <c r="D693">
        <f>COUNTIFS(clean_sales!C:C,RFM_Analysis!A693)</f>
        <v>1</v>
      </c>
      <c r="E693">
        <f>SUMIFS(clean_sales!T:T,clean_sales!C:C,RFM_Analysis!A693)</f>
        <v>195000</v>
      </c>
      <c r="F693">
        <f t="shared" ca="1" si="61"/>
        <v>2</v>
      </c>
      <c r="G693">
        <f t="shared" si="62"/>
        <v>1</v>
      </c>
      <c r="H693">
        <f t="shared" si="63"/>
        <v>4</v>
      </c>
      <c r="I693" t="str">
        <f t="shared" ca="1" si="64"/>
        <v>214</v>
      </c>
      <c r="J693" t="str">
        <f t="shared" ca="1" si="65"/>
        <v>At Risk</v>
      </c>
    </row>
    <row r="694" spans="1:10" x14ac:dyDescent="0.35">
      <c r="A694" t="s">
        <v>2480</v>
      </c>
      <c r="B694" s="2">
        <f>_xlfn.MAXIFS(clean_sales!P:P,clean_sales!C:C,RFM_Analysis!A694)</f>
        <v>45715</v>
      </c>
      <c r="C694">
        <f t="shared" ca="1" si="60"/>
        <v>313</v>
      </c>
      <c r="D694">
        <f>COUNTIFS(clean_sales!C:C,RFM_Analysis!A694)</f>
        <v>1</v>
      </c>
      <c r="E694">
        <f>SUMIFS(clean_sales!T:T,clean_sales!C:C,RFM_Analysis!A694)</f>
        <v>216000</v>
      </c>
      <c r="F694">
        <f t="shared" ca="1" si="61"/>
        <v>1</v>
      </c>
      <c r="G694">
        <f t="shared" si="62"/>
        <v>1</v>
      </c>
      <c r="H694">
        <f t="shared" si="63"/>
        <v>4</v>
      </c>
      <c r="I694" t="str">
        <f t="shared" ca="1" si="64"/>
        <v>114</v>
      </c>
      <c r="J694" t="str">
        <f t="shared" ca="1" si="65"/>
        <v>At Risk</v>
      </c>
    </row>
    <row r="695" spans="1:10" x14ac:dyDescent="0.35">
      <c r="A695" t="s">
        <v>2481</v>
      </c>
      <c r="B695" s="2">
        <f>_xlfn.MAXIFS(clean_sales!P:P,clean_sales!C:C,RFM_Analysis!A695)</f>
        <v>45982</v>
      </c>
      <c r="C695">
        <f t="shared" ca="1" si="60"/>
        <v>46</v>
      </c>
      <c r="D695">
        <f>COUNTIFS(clean_sales!C:C,RFM_Analysis!A695)</f>
        <v>1</v>
      </c>
      <c r="E695">
        <f>SUMIFS(clean_sales!T:T,clean_sales!C:C,RFM_Analysis!A695)</f>
        <v>3600</v>
      </c>
      <c r="F695">
        <f t="shared" ca="1" si="61"/>
        <v>5</v>
      </c>
      <c r="G695">
        <f t="shared" si="62"/>
        <v>1</v>
      </c>
      <c r="H695">
        <f t="shared" si="63"/>
        <v>1</v>
      </c>
      <c r="I695" t="str">
        <f t="shared" ca="1" si="64"/>
        <v>511</v>
      </c>
      <c r="J695" t="str">
        <f t="shared" ca="1" si="65"/>
        <v>Regular</v>
      </c>
    </row>
    <row r="696" spans="1:10" x14ac:dyDescent="0.35">
      <c r="A696" t="s">
        <v>2482</v>
      </c>
      <c r="B696" s="2">
        <f>_xlfn.MAXIFS(clean_sales!P:P,clean_sales!C:C,RFM_Analysis!A696)</f>
        <v>45819</v>
      </c>
      <c r="C696">
        <f t="shared" ca="1" si="60"/>
        <v>209</v>
      </c>
      <c r="D696">
        <f>COUNTIFS(clean_sales!C:C,RFM_Analysis!A696)</f>
        <v>1</v>
      </c>
      <c r="E696">
        <f>SUMIFS(clean_sales!T:T,clean_sales!C:C,RFM_Analysis!A696)</f>
        <v>12000</v>
      </c>
      <c r="F696">
        <f t="shared" ca="1" si="61"/>
        <v>2</v>
      </c>
      <c r="G696">
        <f t="shared" si="62"/>
        <v>1</v>
      </c>
      <c r="H696">
        <f t="shared" si="63"/>
        <v>1</v>
      </c>
      <c r="I696" t="str">
        <f t="shared" ca="1" si="64"/>
        <v>211</v>
      </c>
      <c r="J696" t="str">
        <f t="shared" ca="1" si="65"/>
        <v>At Risk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raw_sales</vt:lpstr>
      <vt:lpstr>clean_sales</vt:lpstr>
      <vt:lpstr>Dim_Customer</vt:lpstr>
      <vt:lpstr>Dim_Product</vt:lpstr>
      <vt:lpstr>Dim_Date</vt:lpstr>
      <vt:lpstr>Fact_Sales</vt:lpstr>
      <vt:lpstr>RFM_Analysis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 Sahu</cp:lastModifiedBy>
  <dcterms:created xsi:type="dcterms:W3CDTF">2026-01-05T18:08:59Z</dcterms:created>
  <dcterms:modified xsi:type="dcterms:W3CDTF">2026-01-05T21:59:21Z</dcterms:modified>
</cp:coreProperties>
</file>